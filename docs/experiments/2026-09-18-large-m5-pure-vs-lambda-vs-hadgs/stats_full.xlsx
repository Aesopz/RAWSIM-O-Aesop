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esop\Desktop\EE-RAWSim-O_PP\experiments\formal\2026-09-18_large_m5_pure_vs_lambda_vs_hadgs\"/>
    </mc:Choice>
  </mc:AlternateContent>
  <xr:revisionPtr revIDLastSave="0" documentId="13_ncr:1_{57F826A4-D824-498D-A9CA-2862677D8C28}" xr6:coauthVersionLast="47" xr6:coauthVersionMax="47" xr10:uidLastSave="{00000000-0000-0000-0000-000000000000}"/>
  <bookViews>
    <workbookView xWindow="28680" yWindow="-12645" windowWidth="16440" windowHeight="28320" xr2:uid="{00000000-000D-0000-FFFF-FFFF00000000}"/>
  </bookViews>
  <sheets>
    <sheet name="per_seed" sheetId="1" r:id="rId1"/>
    <sheet name="excel_check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21" i="2" l="1"/>
  <c r="D120" i="2"/>
  <c r="D119" i="2"/>
  <c r="D118" i="2"/>
  <c r="D117" i="2"/>
  <c r="D116" i="2"/>
  <c r="D115" i="2"/>
  <c r="D114" i="2"/>
  <c r="D113" i="2"/>
  <c r="D112" i="2"/>
  <c r="D111" i="2"/>
  <c r="D110" i="2"/>
  <c r="D109" i="2"/>
  <c r="D108" i="2"/>
  <c r="D107" i="2"/>
  <c r="D106" i="2"/>
  <c r="D105" i="2"/>
  <c r="D104" i="2"/>
  <c r="D103" i="2"/>
  <c r="D102" i="2"/>
  <c r="D101" i="2"/>
  <c r="D100" i="2"/>
  <c r="D99" i="2"/>
  <c r="D98" i="2"/>
  <c r="D97" i="2"/>
  <c r="D96" i="2"/>
  <c r="D95" i="2"/>
  <c r="D94" i="2"/>
  <c r="D93" i="2"/>
  <c r="D92" i="2"/>
  <c r="D91" i="2"/>
  <c r="D90" i="2"/>
  <c r="D89" i="2"/>
  <c r="D88" i="2"/>
  <c r="D87" i="2"/>
  <c r="D86" i="2"/>
  <c r="D85" i="2"/>
  <c r="D84" i="2"/>
  <c r="D83" i="2"/>
  <c r="D82" i="2"/>
  <c r="D81" i="2"/>
  <c r="D80" i="2"/>
  <c r="D79" i="2"/>
  <c r="D78" i="2"/>
  <c r="D77" i="2"/>
  <c r="D76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</calcChain>
</file>

<file path=xl/sharedStrings.xml><?xml version="1.0" encoding="utf-8"?>
<sst xmlns="http://schemas.openxmlformats.org/spreadsheetml/2006/main" count="408" uniqueCount="28">
  <si>
    <t>arm</t>
  </si>
  <si>
    <t>bots</t>
  </si>
  <si>
    <t>seed</t>
  </si>
  <si>
    <t>Items</t>
  </si>
  <si>
    <t>Lines</t>
  </si>
  <si>
    <t>Orders</t>
  </si>
  <si>
    <t>Pile-on</t>
  </si>
  <si>
    <t>Trips</t>
  </si>
  <si>
    <t>Trips/Orders</t>
  </si>
  <si>
    <t>m/Line</t>
  </si>
  <si>
    <t>EOR(kJ/order)</t>
  </si>
  <si>
    <t>TurnoverMedian(s)</t>
  </si>
  <si>
    <t>StationIdle(%)</t>
  </si>
  <si>
    <t>m5_pure_45b</t>
  </si>
  <si>
    <t>m5_lambda_45b</t>
  </si>
  <si>
    <t>hadgs_45b</t>
  </si>
  <si>
    <t>kind</t>
  </si>
  <si>
    <t>arm_or_comparison</t>
  </si>
  <si>
    <t>metric</t>
  </si>
  <si>
    <t>excel_value</t>
  </si>
  <si>
    <t>python_value</t>
  </si>
  <si>
    <t>mean</t>
  </si>
  <si>
    <t>sd</t>
  </si>
  <si>
    <t>pct</t>
  </si>
  <si>
    <t>m5_pure_45b vs hadgs_45b</t>
  </si>
  <si>
    <t>p</t>
  </si>
  <si>
    <t>m5_lambda_45b vs m5_pure_45b</t>
  </si>
  <si>
    <t>m5_lambda_45b vs hadgs_45b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</si>
</sst>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1"/>
  <sheetViews>
    <sheetView tabSelected="1" workbookViewId="0"/>
  </sheetViews>
  <sheetFormatPr defaultRowHeight="15.75"/>
  <cols>
    <col min="1" max="13" width="18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>
        <v>45</v>
      </c>
      <c r="C2">
        <v>0</v>
      </c>
      <c r="D2">
        <v>8061</v>
      </c>
      <c r="E2">
        <v>5265</v>
      </c>
      <c r="F2">
        <v>3343</v>
      </c>
      <c r="G2">
        <v>8.3159203980099505</v>
      </c>
      <c r="H2">
        <v>402</v>
      </c>
      <c r="I2">
        <v>0.1202512713131917</v>
      </c>
      <c r="J2">
        <v>21.98411289694188</v>
      </c>
      <c r="K2">
        <v>3.9647353754421002</v>
      </c>
      <c r="L2">
        <v>396.52064934695198</v>
      </c>
      <c r="M2">
        <v>6.7373578374869094</v>
      </c>
    </row>
    <row r="3" spans="1:13">
      <c r="A3" t="s">
        <v>13</v>
      </c>
      <c r="B3">
        <v>45</v>
      </c>
      <c r="C3">
        <v>1</v>
      </c>
      <c r="D3">
        <v>8216</v>
      </c>
      <c r="E3">
        <v>5301</v>
      </c>
      <c r="F3">
        <v>3330</v>
      </c>
      <c r="G3">
        <v>8.4517766497461935</v>
      </c>
      <c r="H3">
        <v>394</v>
      </c>
      <c r="I3">
        <v>0.11831831831831829</v>
      </c>
      <c r="J3">
        <v>21.5536907380149</v>
      </c>
      <c r="K3">
        <v>3.8956570329039302</v>
      </c>
      <c r="L3">
        <v>406.14731601365401</v>
      </c>
      <c r="M3">
        <v>4.9771251948753958</v>
      </c>
    </row>
    <row r="4" spans="1:13">
      <c r="A4" t="s">
        <v>13</v>
      </c>
      <c r="B4">
        <v>45</v>
      </c>
      <c r="C4">
        <v>2</v>
      </c>
      <c r="D4">
        <v>8140</v>
      </c>
      <c r="E4">
        <v>5253</v>
      </c>
      <c r="F4">
        <v>3247</v>
      </c>
      <c r="G4">
        <v>8.4557291666666661</v>
      </c>
      <c r="H4">
        <v>384</v>
      </c>
      <c r="I4">
        <v>0.1182630120110872</v>
      </c>
      <c r="J4">
        <v>21.393125486000379</v>
      </c>
      <c r="K4">
        <v>3.9550945624009799</v>
      </c>
      <c r="L4">
        <v>412.05833333333499</v>
      </c>
      <c r="M4">
        <v>5.8609306104363146</v>
      </c>
    </row>
    <row r="5" spans="1:13">
      <c r="A5" t="s">
        <v>13</v>
      </c>
      <c r="B5">
        <v>45</v>
      </c>
      <c r="C5">
        <v>3</v>
      </c>
      <c r="D5">
        <v>8161</v>
      </c>
      <c r="E5">
        <v>5314</v>
      </c>
      <c r="F5">
        <v>3339</v>
      </c>
      <c r="G5">
        <v>8.2444444444444436</v>
      </c>
      <c r="H5">
        <v>405</v>
      </c>
      <c r="I5">
        <v>0.1212938005390836</v>
      </c>
      <c r="J5">
        <v>21.379936379639439</v>
      </c>
      <c r="K5">
        <v>3.9003463243036398</v>
      </c>
      <c r="L5">
        <v>404.65398268030202</v>
      </c>
      <c r="M5">
        <v>5.6091506741605626</v>
      </c>
    </row>
    <row r="6" spans="1:13">
      <c r="A6" t="s">
        <v>13</v>
      </c>
      <c r="B6">
        <v>45</v>
      </c>
      <c r="C6">
        <v>4</v>
      </c>
      <c r="D6">
        <v>8147</v>
      </c>
      <c r="E6">
        <v>5256</v>
      </c>
      <c r="F6">
        <v>3279</v>
      </c>
      <c r="G6">
        <v>8.156716417910447</v>
      </c>
      <c r="H6">
        <v>402</v>
      </c>
      <c r="I6">
        <v>0.1225983531564501</v>
      </c>
      <c r="J6">
        <v>21.919283233947109</v>
      </c>
      <c r="K6">
        <v>4.0125867545940803</v>
      </c>
      <c r="L6">
        <v>394.61888888889598</v>
      </c>
      <c r="M6">
        <v>5.7777726420707047</v>
      </c>
    </row>
    <row r="7" spans="1:13">
      <c r="A7" t="s">
        <v>13</v>
      </c>
      <c r="B7">
        <v>45</v>
      </c>
      <c r="C7">
        <v>5</v>
      </c>
      <c r="D7">
        <v>8150</v>
      </c>
      <c r="E7">
        <v>5392</v>
      </c>
      <c r="F7">
        <v>3393</v>
      </c>
      <c r="G7">
        <v>8.2554744525547452</v>
      </c>
      <c r="H7">
        <v>411</v>
      </c>
      <c r="I7">
        <v>0.12113174182139699</v>
      </c>
      <c r="J7">
        <v>21.270346033910609</v>
      </c>
      <c r="K7">
        <v>3.9047869393777601</v>
      </c>
      <c r="L7">
        <v>375.546392485372</v>
      </c>
      <c r="M7">
        <v>5.7197666810841099</v>
      </c>
    </row>
    <row r="8" spans="1:13">
      <c r="A8" t="s">
        <v>13</v>
      </c>
      <c r="B8">
        <v>45</v>
      </c>
      <c r="C8">
        <v>6</v>
      </c>
      <c r="D8">
        <v>8174</v>
      </c>
      <c r="E8">
        <v>5295</v>
      </c>
      <c r="F8">
        <v>3343</v>
      </c>
      <c r="G8">
        <v>8.5280612244897966</v>
      </c>
      <c r="H8">
        <v>392</v>
      </c>
      <c r="I8">
        <v>0.1172599461561472</v>
      </c>
      <c r="J8">
        <v>21.35536519217262</v>
      </c>
      <c r="K8">
        <v>3.8886185829208499</v>
      </c>
      <c r="L8">
        <v>407.48101731969803</v>
      </c>
      <c r="M8">
        <v>5.4341277604272564</v>
      </c>
    </row>
    <row r="9" spans="1:13">
      <c r="A9" t="s">
        <v>13</v>
      </c>
      <c r="B9">
        <v>45</v>
      </c>
      <c r="C9">
        <v>7</v>
      </c>
      <c r="D9">
        <v>8165</v>
      </c>
      <c r="E9">
        <v>5250</v>
      </c>
      <c r="F9">
        <v>3269</v>
      </c>
      <c r="G9">
        <v>8.2550505050505052</v>
      </c>
      <c r="H9">
        <v>396</v>
      </c>
      <c r="I9">
        <v>0.1211379626797186</v>
      </c>
      <c r="J9">
        <v>21.44192975674552</v>
      </c>
      <c r="K9">
        <v>3.98034615392524</v>
      </c>
      <c r="L9">
        <v>402.02750359644801</v>
      </c>
      <c r="M9">
        <v>5.5529551300340216</v>
      </c>
    </row>
    <row r="10" spans="1:13">
      <c r="A10" t="s">
        <v>13</v>
      </c>
      <c r="B10">
        <v>45</v>
      </c>
      <c r="C10">
        <v>8</v>
      </c>
      <c r="D10">
        <v>8143</v>
      </c>
      <c r="E10">
        <v>5277</v>
      </c>
      <c r="F10">
        <v>3331</v>
      </c>
      <c r="G10">
        <v>8.4116161616161609</v>
      </c>
      <c r="H10">
        <v>396</v>
      </c>
      <c r="I10">
        <v>0.1188832182527769</v>
      </c>
      <c r="J10">
        <v>21.616256633506922</v>
      </c>
      <c r="K10">
        <v>3.9236284111741102</v>
      </c>
      <c r="L10">
        <v>402.74018758284501</v>
      </c>
      <c r="M10">
        <v>5.8060751611577084</v>
      </c>
    </row>
    <row r="11" spans="1:13">
      <c r="A11" t="s">
        <v>13</v>
      </c>
      <c r="B11">
        <v>45</v>
      </c>
      <c r="C11">
        <v>9</v>
      </c>
      <c r="D11">
        <v>8156</v>
      </c>
      <c r="E11">
        <v>5293</v>
      </c>
      <c r="F11">
        <v>3360</v>
      </c>
      <c r="G11">
        <v>8.5496183206106871</v>
      </c>
      <c r="H11">
        <v>393</v>
      </c>
      <c r="I11">
        <v>0.1169642857142857</v>
      </c>
      <c r="J11">
        <v>21.797279578212731</v>
      </c>
      <c r="K11">
        <v>3.94987305220763</v>
      </c>
      <c r="L11">
        <v>388.55277777777798</v>
      </c>
      <c r="M11">
        <v>5.6616050128718411</v>
      </c>
    </row>
    <row r="12" spans="1:13">
      <c r="A12" t="s">
        <v>14</v>
      </c>
      <c r="B12">
        <v>45</v>
      </c>
      <c r="C12">
        <v>0</v>
      </c>
      <c r="D12">
        <v>8328</v>
      </c>
      <c r="E12">
        <v>5381</v>
      </c>
      <c r="F12">
        <v>3409</v>
      </c>
      <c r="G12">
        <v>7.4758771929824563</v>
      </c>
      <c r="H12">
        <v>456</v>
      </c>
      <c r="I12">
        <v>0.1337635670284541</v>
      </c>
      <c r="J12">
        <v>20.777516014337479</v>
      </c>
      <c r="K12">
        <v>3.62290037798555</v>
      </c>
      <c r="L12">
        <v>381.92491340152202</v>
      </c>
      <c r="M12">
        <v>3.6891342240970459</v>
      </c>
    </row>
    <row r="13" spans="1:13">
      <c r="A13" t="s">
        <v>14</v>
      </c>
      <c r="B13">
        <v>45</v>
      </c>
      <c r="C13">
        <v>1</v>
      </c>
      <c r="D13">
        <v>8316</v>
      </c>
      <c r="E13">
        <v>5405</v>
      </c>
      <c r="F13">
        <v>3324</v>
      </c>
      <c r="G13">
        <v>7.6064073226544622</v>
      </c>
      <c r="H13">
        <v>437</v>
      </c>
      <c r="I13">
        <v>0.13146811070998801</v>
      </c>
      <c r="J13">
        <v>20.25337948345717</v>
      </c>
      <c r="K13">
        <v>3.6466145182048701</v>
      </c>
      <c r="L13">
        <v>412.02314575051702</v>
      </c>
      <c r="M13">
        <v>3.8320109822279629</v>
      </c>
    </row>
    <row r="14" spans="1:13">
      <c r="A14" t="s">
        <v>14</v>
      </c>
      <c r="B14">
        <v>45</v>
      </c>
      <c r="C14">
        <v>2</v>
      </c>
      <c r="D14">
        <v>8324</v>
      </c>
      <c r="E14">
        <v>5371</v>
      </c>
      <c r="F14">
        <v>3380</v>
      </c>
      <c r="G14">
        <v>7.7168949771689501</v>
      </c>
      <c r="H14">
        <v>438</v>
      </c>
      <c r="I14">
        <v>0.12958579881656801</v>
      </c>
      <c r="J14">
        <v>20.70861694183634</v>
      </c>
      <c r="K14">
        <v>3.6464953569353198</v>
      </c>
      <c r="L14">
        <v>402.07129869396101</v>
      </c>
      <c r="M14">
        <v>3.7022262137774171</v>
      </c>
    </row>
    <row r="15" spans="1:13">
      <c r="A15" t="s">
        <v>14</v>
      </c>
      <c r="B15">
        <v>45</v>
      </c>
      <c r="C15">
        <v>3</v>
      </c>
      <c r="D15">
        <v>8332</v>
      </c>
      <c r="E15">
        <v>5397</v>
      </c>
      <c r="F15">
        <v>3441</v>
      </c>
      <c r="G15">
        <v>7.6636971046770599</v>
      </c>
      <c r="H15">
        <v>449</v>
      </c>
      <c r="I15">
        <v>0.1304853240337111</v>
      </c>
      <c r="J15">
        <v>20.256725259566242</v>
      </c>
      <c r="K15">
        <v>3.49217952698026</v>
      </c>
      <c r="L15">
        <v>376.89028137424202</v>
      </c>
      <c r="M15">
        <v>3.6058670362805039</v>
      </c>
    </row>
    <row r="16" spans="1:13">
      <c r="A16" t="s">
        <v>14</v>
      </c>
      <c r="B16">
        <v>45</v>
      </c>
      <c r="C16">
        <v>4</v>
      </c>
      <c r="D16">
        <v>8298</v>
      </c>
      <c r="E16">
        <v>5357</v>
      </c>
      <c r="F16">
        <v>3340</v>
      </c>
      <c r="G16">
        <v>7.5225225225225234</v>
      </c>
      <c r="H16">
        <v>444</v>
      </c>
      <c r="I16">
        <v>0.13293413173652691</v>
      </c>
      <c r="J16">
        <v>20.386417143956511</v>
      </c>
      <c r="K16">
        <v>3.5784393916667199</v>
      </c>
      <c r="L16">
        <v>414.97870849900102</v>
      </c>
      <c r="M16">
        <v>4.015729166666735</v>
      </c>
    </row>
    <row r="17" spans="1:13">
      <c r="A17" t="s">
        <v>14</v>
      </c>
      <c r="B17">
        <v>45</v>
      </c>
      <c r="C17">
        <v>5</v>
      </c>
      <c r="D17">
        <v>8329</v>
      </c>
      <c r="E17">
        <v>5479</v>
      </c>
      <c r="F17">
        <v>3451</v>
      </c>
      <c r="G17">
        <v>7.634955752212389</v>
      </c>
      <c r="H17">
        <v>452</v>
      </c>
      <c r="I17">
        <v>0.13097652854245151</v>
      </c>
      <c r="J17">
        <v>20.329890075804158</v>
      </c>
      <c r="K17">
        <v>3.5526807515351599</v>
      </c>
      <c r="L17">
        <v>386.33694804091999</v>
      </c>
      <c r="M17">
        <v>3.6676713224782902</v>
      </c>
    </row>
    <row r="18" spans="1:13">
      <c r="A18" t="s">
        <v>14</v>
      </c>
      <c r="B18">
        <v>45</v>
      </c>
      <c r="C18">
        <v>6</v>
      </c>
      <c r="D18">
        <v>8289</v>
      </c>
      <c r="E18">
        <v>5420</v>
      </c>
      <c r="F18">
        <v>3405</v>
      </c>
      <c r="G18">
        <v>7.6862302483069973</v>
      </c>
      <c r="H18">
        <v>443</v>
      </c>
      <c r="I18">
        <v>0.13010279001468431</v>
      </c>
      <c r="J18">
        <v>20.33808467334207</v>
      </c>
      <c r="K18">
        <v>3.5732713590898899</v>
      </c>
      <c r="L18">
        <v>403.588708499002</v>
      </c>
      <c r="M18">
        <v>4.1389554513199176</v>
      </c>
    </row>
    <row r="19" spans="1:13">
      <c r="A19" t="s">
        <v>14</v>
      </c>
      <c r="B19">
        <v>45</v>
      </c>
      <c r="C19">
        <v>7</v>
      </c>
      <c r="D19">
        <v>8325</v>
      </c>
      <c r="E19">
        <v>5409</v>
      </c>
      <c r="F19">
        <v>3369</v>
      </c>
      <c r="G19">
        <v>7.4370860927152318</v>
      </c>
      <c r="H19">
        <v>453</v>
      </c>
      <c r="I19">
        <v>0.13446126447016921</v>
      </c>
      <c r="J19">
        <v>20.991225874092439</v>
      </c>
      <c r="K19">
        <v>3.7265996726082999</v>
      </c>
      <c r="L19">
        <v>395.85156568238898</v>
      </c>
      <c r="M19">
        <v>3.6889030429773508</v>
      </c>
    </row>
    <row r="20" spans="1:13">
      <c r="A20" t="s">
        <v>14</v>
      </c>
      <c r="B20">
        <v>45</v>
      </c>
      <c r="C20">
        <v>8</v>
      </c>
      <c r="D20">
        <v>8298</v>
      </c>
      <c r="E20">
        <v>5357</v>
      </c>
      <c r="F20">
        <v>3344</v>
      </c>
      <c r="G20">
        <v>7.8867924528301883</v>
      </c>
      <c r="H20">
        <v>424</v>
      </c>
      <c r="I20">
        <v>0.12679425837320571</v>
      </c>
      <c r="J20">
        <v>20.03182673472709</v>
      </c>
      <c r="K20">
        <v>3.5493354020071699</v>
      </c>
      <c r="L20">
        <v>406.16166666668801</v>
      </c>
      <c r="M20">
        <v>4.039065814922945</v>
      </c>
    </row>
    <row r="21" spans="1:13">
      <c r="A21" t="s">
        <v>14</v>
      </c>
      <c r="B21">
        <v>45</v>
      </c>
      <c r="C21">
        <v>9</v>
      </c>
      <c r="D21">
        <v>8343</v>
      </c>
      <c r="E21">
        <v>5393</v>
      </c>
      <c r="F21">
        <v>3390</v>
      </c>
      <c r="G21">
        <v>7.617977528089888</v>
      </c>
      <c r="H21">
        <v>445</v>
      </c>
      <c r="I21">
        <v>0.13126843657817111</v>
      </c>
      <c r="J21">
        <v>20.40824645247821</v>
      </c>
      <c r="K21">
        <v>3.6211016582943398</v>
      </c>
      <c r="L21">
        <v>371.95342712475099</v>
      </c>
      <c r="M21">
        <v>3.502566362629723</v>
      </c>
    </row>
    <row r="22" spans="1:13">
      <c r="A22" t="s">
        <v>15</v>
      </c>
      <c r="B22">
        <v>45</v>
      </c>
      <c r="C22">
        <v>0</v>
      </c>
      <c r="D22">
        <v>6528</v>
      </c>
      <c r="E22">
        <v>4276</v>
      </c>
      <c r="F22">
        <v>2917</v>
      </c>
      <c r="G22">
        <v>2.3831699346405228</v>
      </c>
      <c r="H22">
        <v>1224</v>
      </c>
      <c r="I22">
        <v>0.41960918752142612</v>
      </c>
      <c r="J22">
        <v>39.2663932099275</v>
      </c>
      <c r="K22">
        <v>7.3950041472249604</v>
      </c>
      <c r="L22">
        <v>173.39639248535099</v>
      </c>
      <c r="M22">
        <v>24.502879746732791</v>
      </c>
    </row>
    <row r="23" spans="1:13">
      <c r="A23" t="s">
        <v>15</v>
      </c>
      <c r="B23">
        <v>45</v>
      </c>
      <c r="C23">
        <v>1</v>
      </c>
      <c r="D23">
        <v>6378</v>
      </c>
      <c r="E23">
        <v>4116</v>
      </c>
      <c r="F23">
        <v>2745</v>
      </c>
      <c r="G23">
        <v>2.2536945812807878</v>
      </c>
      <c r="H23">
        <v>1218</v>
      </c>
      <c r="I23">
        <v>0.44371584699453548</v>
      </c>
      <c r="J23">
        <v>41.303311479957969</v>
      </c>
      <c r="K23">
        <v>7.9208222621248403</v>
      </c>
      <c r="L23">
        <v>184.347784970703</v>
      </c>
      <c r="M23">
        <v>26.250401910545381</v>
      </c>
    </row>
    <row r="24" spans="1:13">
      <c r="A24" t="s">
        <v>15</v>
      </c>
      <c r="B24">
        <v>45</v>
      </c>
      <c r="C24">
        <v>2</v>
      </c>
      <c r="D24">
        <v>6302</v>
      </c>
      <c r="E24">
        <v>4083</v>
      </c>
      <c r="F24">
        <v>2750</v>
      </c>
      <c r="G24">
        <v>2.217741935483871</v>
      </c>
      <c r="H24">
        <v>1240</v>
      </c>
      <c r="I24">
        <v>0.45090909090909093</v>
      </c>
      <c r="J24">
        <v>42.020374331351697</v>
      </c>
      <c r="K24">
        <v>7.95898857996026</v>
      </c>
      <c r="L24">
        <v>176.63380229040499</v>
      </c>
      <c r="M24">
        <v>27.1169873082831</v>
      </c>
    </row>
    <row r="25" spans="1:13">
      <c r="A25" t="s">
        <v>15</v>
      </c>
      <c r="B25">
        <v>45</v>
      </c>
      <c r="C25">
        <v>3</v>
      </c>
      <c r="D25">
        <v>6219</v>
      </c>
      <c r="E25">
        <v>4020</v>
      </c>
      <c r="F25">
        <v>2745</v>
      </c>
      <c r="G25">
        <v>2.240816326530612</v>
      </c>
      <c r="H25">
        <v>1225</v>
      </c>
      <c r="I25">
        <v>0.44626593806921683</v>
      </c>
      <c r="J25">
        <v>42.179258458173393</v>
      </c>
      <c r="K25">
        <v>7.8745836290681304</v>
      </c>
      <c r="L25">
        <v>173.40685424949299</v>
      </c>
      <c r="M25">
        <v>28.090319756526629</v>
      </c>
    </row>
    <row r="26" spans="1:13">
      <c r="A26" t="s">
        <v>15</v>
      </c>
      <c r="B26">
        <v>45</v>
      </c>
      <c r="C26">
        <v>4</v>
      </c>
      <c r="D26">
        <v>6250</v>
      </c>
      <c r="E26">
        <v>3998</v>
      </c>
      <c r="F26">
        <v>2714</v>
      </c>
      <c r="G26">
        <v>2.2541528239202662</v>
      </c>
      <c r="H26">
        <v>1204</v>
      </c>
      <c r="I26">
        <v>0.44362564480471628</v>
      </c>
      <c r="J26">
        <v>41.707968706177589</v>
      </c>
      <c r="K26">
        <v>7.8198038265569396</v>
      </c>
      <c r="L26">
        <v>178.565</v>
      </c>
      <c r="M26">
        <v>27.726082910506811</v>
      </c>
    </row>
    <row r="27" spans="1:13">
      <c r="A27" t="s">
        <v>15</v>
      </c>
      <c r="B27">
        <v>45</v>
      </c>
      <c r="C27">
        <v>5</v>
      </c>
      <c r="D27">
        <v>6547</v>
      </c>
      <c r="E27">
        <v>4265</v>
      </c>
      <c r="F27">
        <v>2921</v>
      </c>
      <c r="G27">
        <v>2.3942622950819672</v>
      </c>
      <c r="H27">
        <v>1220</v>
      </c>
      <c r="I27">
        <v>0.41766518315645329</v>
      </c>
      <c r="J27">
        <v>40.037323352645721</v>
      </c>
      <c r="K27">
        <v>7.4081536356318001</v>
      </c>
      <c r="L27">
        <v>174.05194804090101</v>
      </c>
      <c r="M27">
        <v>24.301109891704279</v>
      </c>
    </row>
    <row r="28" spans="1:13">
      <c r="A28" t="s">
        <v>15</v>
      </c>
      <c r="B28">
        <v>45</v>
      </c>
      <c r="C28">
        <v>6</v>
      </c>
      <c r="D28">
        <v>6291</v>
      </c>
      <c r="E28">
        <v>4085</v>
      </c>
      <c r="F28">
        <v>2770</v>
      </c>
      <c r="G28">
        <v>2.2320709105560028</v>
      </c>
      <c r="H28">
        <v>1241</v>
      </c>
      <c r="I28">
        <v>0.44801444043321298</v>
      </c>
      <c r="J28">
        <v>41.142236949488861</v>
      </c>
      <c r="K28">
        <v>7.7439143401071702</v>
      </c>
      <c r="L28">
        <v>172.98944444443899</v>
      </c>
      <c r="M28">
        <v>27.259165913140698</v>
      </c>
    </row>
    <row r="29" spans="1:13">
      <c r="A29" t="s">
        <v>15</v>
      </c>
      <c r="B29">
        <v>45</v>
      </c>
      <c r="C29">
        <v>7</v>
      </c>
      <c r="D29">
        <v>6336</v>
      </c>
      <c r="E29">
        <v>4081</v>
      </c>
      <c r="F29">
        <v>2805</v>
      </c>
      <c r="G29">
        <v>2.2842019543973939</v>
      </c>
      <c r="H29">
        <v>1228</v>
      </c>
      <c r="I29">
        <v>0.4377896613190731</v>
      </c>
      <c r="J29">
        <v>41.250208385067872</v>
      </c>
      <c r="K29">
        <v>7.6421315134964596</v>
      </c>
      <c r="L29">
        <v>173.092308820715</v>
      </c>
      <c r="M29">
        <v>26.717529574581871</v>
      </c>
    </row>
    <row r="30" spans="1:13">
      <c r="A30" t="s">
        <v>15</v>
      </c>
      <c r="B30">
        <v>45</v>
      </c>
      <c r="C30">
        <v>8</v>
      </c>
      <c r="D30">
        <v>6237</v>
      </c>
      <c r="E30">
        <v>4024</v>
      </c>
      <c r="F30">
        <v>2730</v>
      </c>
      <c r="G30">
        <v>2.2303921568627452</v>
      </c>
      <c r="H30">
        <v>1224</v>
      </c>
      <c r="I30">
        <v>0.44835164835164842</v>
      </c>
      <c r="J30">
        <v>41.998787341898357</v>
      </c>
      <c r="K30">
        <v>7.8270474501742902</v>
      </c>
      <c r="L30">
        <v>179.749639220185</v>
      </c>
      <c r="M30">
        <v>27.880077184487529</v>
      </c>
    </row>
    <row r="31" spans="1:13">
      <c r="A31" t="s">
        <v>15</v>
      </c>
      <c r="B31">
        <v>45</v>
      </c>
      <c r="C31">
        <v>9</v>
      </c>
      <c r="D31">
        <v>6321</v>
      </c>
      <c r="E31">
        <v>4054</v>
      </c>
      <c r="F31">
        <v>2789</v>
      </c>
      <c r="G31">
        <v>2.2601296596434359</v>
      </c>
      <c r="H31">
        <v>1234</v>
      </c>
      <c r="I31">
        <v>0.44245249193259228</v>
      </c>
      <c r="J31">
        <v>41.933069279272807</v>
      </c>
      <c r="K31">
        <v>7.7896482282732</v>
      </c>
      <c r="L31">
        <v>178.595649346964</v>
      </c>
      <c r="M31">
        <v>26.911620804589951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21"/>
  <sheetViews>
    <sheetView workbookViewId="0"/>
  </sheetViews>
  <sheetFormatPr defaultRowHeight="15.75"/>
  <cols>
    <col min="1" max="5" width="18" customWidth="1"/>
  </cols>
  <sheetData>
    <row r="1" spans="1:5">
      <c r="A1" t="s">
        <v>16</v>
      </c>
      <c r="B1" t="s">
        <v>17</v>
      </c>
      <c r="C1" t="s">
        <v>18</v>
      </c>
      <c r="D1" t="s">
        <v>19</v>
      </c>
      <c r="E1" t="s">
        <v>20</v>
      </c>
    </row>
    <row r="2" spans="1:5">
      <c r="A2" t="s">
        <v>21</v>
      </c>
      <c r="B2" t="s">
        <v>13</v>
      </c>
      <c r="C2" t="s">
        <v>3</v>
      </c>
      <c r="D2">
        <f>AVERAGE(per_seed!$D$2:$D$11)</f>
        <v>8151.3</v>
      </c>
      <c r="E2">
        <v>8151.3</v>
      </c>
    </row>
    <row r="3" spans="1:5">
      <c r="A3" t="s">
        <v>22</v>
      </c>
      <c r="B3" t="s">
        <v>13</v>
      </c>
      <c r="C3" t="s">
        <v>3</v>
      </c>
      <c r="D3">
        <f>_xlfn.STDEV.S(per_seed!$D$2:$D$11)</f>
        <v>38.551696893046525</v>
      </c>
      <c r="E3">
        <v>38.551696893046532</v>
      </c>
    </row>
    <row r="4" spans="1:5">
      <c r="A4" t="s">
        <v>21</v>
      </c>
      <c r="B4" t="s">
        <v>13</v>
      </c>
      <c r="C4" t="s">
        <v>4</v>
      </c>
      <c r="D4">
        <f>AVERAGE(per_seed!$E$2:$E$11)</f>
        <v>5289.6</v>
      </c>
      <c r="E4">
        <v>5289.6</v>
      </c>
    </row>
    <row r="5" spans="1:5">
      <c r="A5" t="s">
        <v>22</v>
      </c>
      <c r="B5" t="s">
        <v>13</v>
      </c>
      <c r="C5" t="s">
        <v>4</v>
      </c>
      <c r="D5">
        <f>_xlfn.STDEV.S(per_seed!$E$2:$E$11)</f>
        <v>42.232688761195398</v>
      </c>
      <c r="E5">
        <v>42.232688761195398</v>
      </c>
    </row>
    <row r="6" spans="1:5">
      <c r="A6" t="s">
        <v>21</v>
      </c>
      <c r="B6" t="s">
        <v>13</v>
      </c>
      <c r="C6" t="s">
        <v>5</v>
      </c>
      <c r="D6">
        <f>AVERAGE(per_seed!$F$2:$F$11)</f>
        <v>3323.4</v>
      </c>
      <c r="E6">
        <v>3323.4</v>
      </c>
    </row>
    <row r="7" spans="1:5">
      <c r="A7" t="s">
        <v>22</v>
      </c>
      <c r="B7" t="s">
        <v>13</v>
      </c>
      <c r="C7" t="s">
        <v>5</v>
      </c>
      <c r="D7">
        <f>_xlfn.STDEV.S(per_seed!$F$2:$F$11)</f>
        <v>44.801289663976817</v>
      </c>
      <c r="E7">
        <v>44.801289663976817</v>
      </c>
    </row>
    <row r="8" spans="1:5">
      <c r="A8" t="s">
        <v>21</v>
      </c>
      <c r="B8" t="s">
        <v>13</v>
      </c>
      <c r="C8" t="s">
        <v>6</v>
      </c>
      <c r="D8">
        <f>AVERAGE(per_seed!$G$2:$G$11)</f>
        <v>8.3624407741099596</v>
      </c>
      <c r="E8">
        <v>8.3624407741099596</v>
      </c>
    </row>
    <row r="9" spans="1:5">
      <c r="A9" t="s">
        <v>22</v>
      </c>
      <c r="B9" t="s">
        <v>13</v>
      </c>
      <c r="C9" t="s">
        <v>6</v>
      </c>
      <c r="D9">
        <f>_xlfn.STDEV.S(per_seed!$G$2:$G$11)</f>
        <v>0.13455757250765801</v>
      </c>
      <c r="E9">
        <v>0.13455757250765801</v>
      </c>
    </row>
    <row r="10" spans="1:5">
      <c r="A10" t="s">
        <v>21</v>
      </c>
      <c r="B10" t="s">
        <v>13</v>
      </c>
      <c r="C10" t="s">
        <v>7</v>
      </c>
      <c r="D10">
        <f>AVERAGE(per_seed!$H$2:$H$11)</f>
        <v>397.5</v>
      </c>
      <c r="E10">
        <v>397.5</v>
      </c>
    </row>
    <row r="11" spans="1:5">
      <c r="A11" t="s">
        <v>22</v>
      </c>
      <c r="B11" t="s">
        <v>13</v>
      </c>
      <c r="C11" t="s">
        <v>7</v>
      </c>
      <c r="D11">
        <f>_xlfn.STDEV.S(per_seed!$H$2:$H$11)</f>
        <v>7.6630426217150989</v>
      </c>
      <c r="E11">
        <v>7.6630426217150989</v>
      </c>
    </row>
    <row r="12" spans="1:5">
      <c r="A12" t="s">
        <v>21</v>
      </c>
      <c r="B12" t="s">
        <v>13</v>
      </c>
      <c r="C12" t="s">
        <v>8</v>
      </c>
      <c r="D12">
        <f>AVERAGE(per_seed!$I$2:$I$11)</f>
        <v>0.11961019099624562</v>
      </c>
      <c r="E12">
        <v>0.11961019099624561</v>
      </c>
    </row>
    <row r="13" spans="1:5">
      <c r="A13" t="s">
        <v>22</v>
      </c>
      <c r="B13" t="s">
        <v>13</v>
      </c>
      <c r="C13" t="s">
        <v>8</v>
      </c>
      <c r="D13">
        <f>_xlfn.STDEV.S(per_seed!$I$2:$I$11)</f>
        <v>1.9252885083890989E-3</v>
      </c>
      <c r="E13">
        <v>1.9252885083891019E-3</v>
      </c>
    </row>
    <row r="14" spans="1:5">
      <c r="A14" t="s">
        <v>21</v>
      </c>
      <c r="B14" t="s">
        <v>13</v>
      </c>
      <c r="C14" t="s">
        <v>9</v>
      </c>
      <c r="D14">
        <f>AVERAGE(per_seed!$J$2:$J$11)</f>
        <v>21.571132592909215</v>
      </c>
      <c r="E14">
        <v>21.571132592909208</v>
      </c>
    </row>
    <row r="15" spans="1:5">
      <c r="A15" t="s">
        <v>22</v>
      </c>
      <c r="B15" t="s">
        <v>13</v>
      </c>
      <c r="C15" t="s">
        <v>9</v>
      </c>
      <c r="D15">
        <f>_xlfn.STDEV.S(per_seed!$J$2:$J$11)</f>
        <v>0.25104414771647943</v>
      </c>
      <c r="E15">
        <v>0.2510441477164792</v>
      </c>
    </row>
    <row r="16" spans="1:5">
      <c r="A16" t="s">
        <v>21</v>
      </c>
      <c r="B16" t="s">
        <v>13</v>
      </c>
      <c r="C16" t="s">
        <v>10</v>
      </c>
      <c r="D16">
        <f>AVERAGE(per_seed!$K$2:$K$11)</f>
        <v>3.9375673189250322</v>
      </c>
      <c r="E16">
        <v>3.9375673189250322</v>
      </c>
    </row>
    <row r="17" spans="1:5">
      <c r="A17" t="s">
        <v>22</v>
      </c>
      <c r="B17" t="s">
        <v>13</v>
      </c>
      <c r="C17" t="s">
        <v>10</v>
      </c>
      <c r="D17">
        <f>_xlfn.STDEV.S(per_seed!$K$2:$K$11)</f>
        <v>4.1447936266028704E-2</v>
      </c>
      <c r="E17">
        <v>4.1447936266028697E-2</v>
      </c>
    </row>
    <row r="18" spans="1:5">
      <c r="A18" t="s">
        <v>21</v>
      </c>
      <c r="B18" t="s">
        <v>13</v>
      </c>
      <c r="C18" t="s">
        <v>11</v>
      </c>
      <c r="D18">
        <f>AVERAGE(per_seed!$L$2:$L$11)</f>
        <v>399.03470490252801</v>
      </c>
      <c r="E18">
        <v>399.03470490252801</v>
      </c>
    </row>
    <row r="19" spans="1:5">
      <c r="A19" t="s">
        <v>22</v>
      </c>
      <c r="B19" t="s">
        <v>13</v>
      </c>
      <c r="C19" t="s">
        <v>11</v>
      </c>
      <c r="D19">
        <f>_xlfn.STDEV.S(per_seed!$L$2:$L$11)</f>
        <v>10.714474007350928</v>
      </c>
      <c r="E19">
        <v>10.71447400735093</v>
      </c>
    </row>
    <row r="20" spans="1:5">
      <c r="A20" t="s">
        <v>21</v>
      </c>
      <c r="B20" t="s">
        <v>13</v>
      </c>
      <c r="C20" t="s">
        <v>12</v>
      </c>
      <c r="D20">
        <f>AVERAGE(per_seed!$M$2:$M$11)</f>
        <v>5.7136866704604827</v>
      </c>
      <c r="E20">
        <v>5.7136866704604818</v>
      </c>
    </row>
    <row r="21" spans="1:5">
      <c r="A21" t="s">
        <v>22</v>
      </c>
      <c r="B21" t="s">
        <v>13</v>
      </c>
      <c r="C21" t="s">
        <v>12</v>
      </c>
      <c r="D21">
        <f>_xlfn.STDEV.S(per_seed!$M$2:$M$11)</f>
        <v>0.44000176018878739</v>
      </c>
      <c r="E21">
        <v>0.44000176018878723</v>
      </c>
    </row>
    <row r="22" spans="1:5">
      <c r="A22" t="s">
        <v>21</v>
      </c>
      <c r="B22" t="s">
        <v>14</v>
      </c>
      <c r="C22" t="s">
        <v>3</v>
      </c>
      <c r="D22">
        <f>AVERAGE(per_seed!$D$12:$D$21)</f>
        <v>8318.2000000000007</v>
      </c>
      <c r="E22">
        <v>8318.2000000000007</v>
      </c>
    </row>
    <row r="23" spans="1:5">
      <c r="A23" t="s">
        <v>22</v>
      </c>
      <c r="B23" t="s">
        <v>14</v>
      </c>
      <c r="C23" t="s">
        <v>3</v>
      </c>
      <c r="D23">
        <f>_xlfn.STDEV.S(per_seed!$D$12:$D$21)</f>
        <v>17.548662500474375</v>
      </c>
      <c r="E23">
        <v>17.548662500474379</v>
      </c>
    </row>
    <row r="24" spans="1:5">
      <c r="A24" t="s">
        <v>21</v>
      </c>
      <c r="B24" t="s">
        <v>14</v>
      </c>
      <c r="C24" t="s">
        <v>4</v>
      </c>
      <c r="D24">
        <f>AVERAGE(per_seed!$E$12:$E$21)</f>
        <v>5396.9</v>
      </c>
      <c r="E24">
        <v>5396.9</v>
      </c>
    </row>
    <row r="25" spans="1:5">
      <c r="A25" t="s">
        <v>22</v>
      </c>
      <c r="B25" t="s">
        <v>14</v>
      </c>
      <c r="C25" t="s">
        <v>4</v>
      </c>
      <c r="D25">
        <f>_xlfn.STDEV.S(per_seed!$E$12:$E$21)</f>
        <v>35.914868477801477</v>
      </c>
      <c r="E25">
        <v>35.914868477801477</v>
      </c>
    </row>
    <row r="26" spans="1:5">
      <c r="A26" t="s">
        <v>21</v>
      </c>
      <c r="B26" t="s">
        <v>14</v>
      </c>
      <c r="C26" t="s">
        <v>5</v>
      </c>
      <c r="D26">
        <f>AVERAGE(per_seed!$F$12:$F$21)</f>
        <v>3385.3</v>
      </c>
      <c r="E26">
        <v>3385.3</v>
      </c>
    </row>
    <row r="27" spans="1:5">
      <c r="A27" t="s">
        <v>22</v>
      </c>
      <c r="B27" t="s">
        <v>14</v>
      </c>
      <c r="C27" t="s">
        <v>5</v>
      </c>
      <c r="D27">
        <f>_xlfn.STDEV.S(per_seed!$F$12:$F$21)</f>
        <v>42.426537816690995</v>
      </c>
      <c r="E27">
        <v>42.426537816691003</v>
      </c>
    </row>
    <row r="28" spans="1:5">
      <c r="A28" t="s">
        <v>21</v>
      </c>
      <c r="B28" t="s">
        <v>14</v>
      </c>
      <c r="C28" t="s">
        <v>6</v>
      </c>
      <c r="D28">
        <f>AVERAGE(per_seed!$G$12:$G$21)</f>
        <v>7.6248441194160161</v>
      </c>
      <c r="E28">
        <v>7.6248441194160126</v>
      </c>
    </row>
    <row r="29" spans="1:5">
      <c r="A29" t="s">
        <v>22</v>
      </c>
      <c r="B29" t="s">
        <v>14</v>
      </c>
      <c r="C29" t="s">
        <v>6</v>
      </c>
      <c r="D29">
        <f>_xlfn.STDEV.S(per_seed!$G$12:$G$21)</f>
        <v>0.12943095229030302</v>
      </c>
      <c r="E29">
        <v>0.1294309522903031</v>
      </c>
    </row>
    <row r="30" spans="1:5">
      <c r="A30" t="s">
        <v>21</v>
      </c>
      <c r="B30" t="s">
        <v>14</v>
      </c>
      <c r="C30" t="s">
        <v>7</v>
      </c>
      <c r="D30">
        <f>AVERAGE(per_seed!$H$12:$H$21)</f>
        <v>444.1</v>
      </c>
      <c r="E30">
        <v>444.1</v>
      </c>
    </row>
    <row r="31" spans="1:5">
      <c r="A31" t="s">
        <v>22</v>
      </c>
      <c r="B31" t="s">
        <v>14</v>
      </c>
      <c r="C31" t="s">
        <v>7</v>
      </c>
      <c r="D31">
        <f>_xlfn.STDEV.S(per_seed!$H$12:$H$21)</f>
        <v>9.4333922259645746</v>
      </c>
      <c r="E31">
        <v>9.4333922259645746</v>
      </c>
    </row>
    <row r="32" spans="1:5">
      <c r="A32" t="s">
        <v>21</v>
      </c>
      <c r="B32" t="s">
        <v>14</v>
      </c>
      <c r="C32" t="s">
        <v>8</v>
      </c>
      <c r="D32">
        <f>AVERAGE(per_seed!$I$12:$I$21)</f>
        <v>0.13118402103039301</v>
      </c>
      <c r="E32">
        <v>0.13118402103039301</v>
      </c>
    </row>
    <row r="33" spans="1:5">
      <c r="A33" t="s">
        <v>22</v>
      </c>
      <c r="B33" t="s">
        <v>14</v>
      </c>
      <c r="C33" t="s">
        <v>8</v>
      </c>
      <c r="D33">
        <f>_xlfn.STDEV.S(per_seed!$I$12:$I$21)</f>
        <v>2.2128343840324737E-3</v>
      </c>
      <c r="E33">
        <v>2.2128343840324628E-3</v>
      </c>
    </row>
    <row r="34" spans="1:5">
      <c r="A34" t="s">
        <v>21</v>
      </c>
      <c r="B34" t="s">
        <v>14</v>
      </c>
      <c r="C34" t="s">
        <v>9</v>
      </c>
      <c r="D34">
        <f>AVERAGE(per_seed!$J$12:$J$21)</f>
        <v>20.448192865359768</v>
      </c>
      <c r="E34">
        <v>20.448192865359768</v>
      </c>
    </row>
    <row r="35" spans="1:5">
      <c r="A35" t="s">
        <v>22</v>
      </c>
      <c r="B35" t="s">
        <v>14</v>
      </c>
      <c r="C35" t="s">
        <v>9</v>
      </c>
      <c r="D35">
        <f>_xlfn.STDEV.S(per_seed!$J$12:$J$21)</f>
        <v>0.28880278869695281</v>
      </c>
      <c r="E35">
        <v>0.28880278869695442</v>
      </c>
    </row>
    <row r="36" spans="1:5">
      <c r="A36" t="s">
        <v>21</v>
      </c>
      <c r="B36" t="s">
        <v>14</v>
      </c>
      <c r="C36" t="s">
        <v>10</v>
      </c>
      <c r="D36">
        <f>AVERAGE(per_seed!$K$12:$K$21)</f>
        <v>3.600961801530759</v>
      </c>
      <c r="E36">
        <v>3.600961801530759</v>
      </c>
    </row>
    <row r="37" spans="1:5">
      <c r="A37" t="s">
        <v>22</v>
      </c>
      <c r="B37" t="s">
        <v>14</v>
      </c>
      <c r="C37" t="s">
        <v>10</v>
      </c>
      <c r="D37">
        <f>_xlfn.STDEV.S(per_seed!$K$12:$K$21)</f>
        <v>6.5771669471154939E-2</v>
      </c>
      <c r="E37">
        <v>6.5771669471154939E-2</v>
      </c>
    </row>
    <row r="38" spans="1:5">
      <c r="A38" t="s">
        <v>21</v>
      </c>
      <c r="B38" t="s">
        <v>14</v>
      </c>
      <c r="C38" t="s">
        <v>11</v>
      </c>
      <c r="D38">
        <f>AVERAGE(per_seed!$L$12:$L$21)</f>
        <v>395.17806637329932</v>
      </c>
      <c r="E38">
        <v>395.17806637329932</v>
      </c>
    </row>
    <row r="39" spans="1:5">
      <c r="A39" t="s">
        <v>22</v>
      </c>
      <c r="B39" t="s">
        <v>14</v>
      </c>
      <c r="C39" t="s">
        <v>11</v>
      </c>
      <c r="D39">
        <f>_xlfn.STDEV.S(per_seed!$L$12:$L$21)</f>
        <v>15.065815399218005</v>
      </c>
      <c r="E39">
        <v>15.06581539921801</v>
      </c>
    </row>
    <row r="40" spans="1:5">
      <c r="A40" t="s">
        <v>21</v>
      </c>
      <c r="B40" t="s">
        <v>14</v>
      </c>
      <c r="C40" t="s">
        <v>12</v>
      </c>
      <c r="D40">
        <f>AVERAGE(per_seed!$M$12:$M$21)</f>
        <v>3.7882129617377891</v>
      </c>
      <c r="E40">
        <v>3.7882129617377891</v>
      </c>
    </row>
    <row r="41" spans="1:5">
      <c r="A41" t="s">
        <v>22</v>
      </c>
      <c r="B41" t="s">
        <v>14</v>
      </c>
      <c r="C41" t="s">
        <v>12</v>
      </c>
      <c r="D41">
        <f>_xlfn.STDEV.S(per_seed!$M$12:$M$21)</f>
        <v>0.20978200802083008</v>
      </c>
      <c r="E41">
        <v>0.20978200802083</v>
      </c>
    </row>
    <row r="42" spans="1:5">
      <c r="A42" t="s">
        <v>21</v>
      </c>
      <c r="B42" t="s">
        <v>15</v>
      </c>
      <c r="C42" t="s">
        <v>3</v>
      </c>
      <c r="D42">
        <f>AVERAGE(per_seed!$D$22:$D$31)</f>
        <v>6340.9</v>
      </c>
      <c r="E42">
        <v>6340.9</v>
      </c>
    </row>
    <row r="43" spans="1:5">
      <c r="A43" t="s">
        <v>22</v>
      </c>
      <c r="B43" t="s">
        <v>15</v>
      </c>
      <c r="C43" t="s">
        <v>3</v>
      </c>
      <c r="D43">
        <f>_xlfn.STDEV.S(per_seed!$D$22:$D$31)</f>
        <v>114.1153899446618</v>
      </c>
      <c r="E43">
        <v>114.1153899446618</v>
      </c>
    </row>
    <row r="44" spans="1:5">
      <c r="A44" t="s">
        <v>21</v>
      </c>
      <c r="B44" t="s">
        <v>15</v>
      </c>
      <c r="C44" t="s">
        <v>4</v>
      </c>
      <c r="D44">
        <f>AVERAGE(per_seed!$E$22:$E$31)</f>
        <v>4100.2</v>
      </c>
      <c r="E44">
        <v>4100.2</v>
      </c>
    </row>
    <row r="45" spans="1:5">
      <c r="A45" t="s">
        <v>22</v>
      </c>
      <c r="B45" t="s">
        <v>15</v>
      </c>
      <c r="C45" t="s">
        <v>4</v>
      </c>
      <c r="D45">
        <f>_xlfn.STDEV.S(per_seed!$E$22:$E$31)</f>
        <v>96.625048512277615</v>
      </c>
      <c r="E45">
        <v>96.625048512277601</v>
      </c>
    </row>
    <row r="46" spans="1:5">
      <c r="A46" t="s">
        <v>21</v>
      </c>
      <c r="B46" t="s">
        <v>15</v>
      </c>
      <c r="C46" t="s">
        <v>5</v>
      </c>
      <c r="D46">
        <f>AVERAGE(per_seed!$F$22:$F$31)</f>
        <v>2788.6</v>
      </c>
      <c r="E46">
        <v>2788.6</v>
      </c>
    </row>
    <row r="47" spans="1:5">
      <c r="A47" t="s">
        <v>22</v>
      </c>
      <c r="B47" t="s">
        <v>15</v>
      </c>
      <c r="C47" t="s">
        <v>5</v>
      </c>
      <c r="D47">
        <f>_xlfn.STDEV.S(per_seed!$F$22:$F$31)</f>
        <v>73.728028742278354</v>
      </c>
      <c r="E47">
        <v>73.72802874227834</v>
      </c>
    </row>
    <row r="48" spans="1:5">
      <c r="A48" t="s">
        <v>21</v>
      </c>
      <c r="B48" t="s">
        <v>15</v>
      </c>
      <c r="C48" t="s">
        <v>6</v>
      </c>
      <c r="D48">
        <f>AVERAGE(per_seed!$G$22:$G$31)</f>
        <v>2.2750632578397605</v>
      </c>
      <c r="E48">
        <v>2.27506325783976</v>
      </c>
    </row>
    <row r="49" spans="1:5">
      <c r="A49" t="s">
        <v>22</v>
      </c>
      <c r="B49" t="s">
        <v>15</v>
      </c>
      <c r="C49" t="s">
        <v>6</v>
      </c>
      <c r="D49">
        <f>_xlfn.STDEV.S(per_seed!$G$22:$G$31)</f>
        <v>6.2714781396950872E-2</v>
      </c>
      <c r="E49">
        <v>6.2714781396950844E-2</v>
      </c>
    </row>
    <row r="50" spans="1:5">
      <c r="A50" t="s">
        <v>21</v>
      </c>
      <c r="B50" t="s">
        <v>15</v>
      </c>
      <c r="C50" t="s">
        <v>7</v>
      </c>
      <c r="D50">
        <f>AVERAGE(per_seed!$H$22:$H$31)</f>
        <v>1225.8</v>
      </c>
      <c r="E50">
        <v>1225.8</v>
      </c>
    </row>
    <row r="51" spans="1:5">
      <c r="A51" t="s">
        <v>22</v>
      </c>
      <c r="B51" t="s">
        <v>15</v>
      </c>
      <c r="C51" t="s">
        <v>7</v>
      </c>
      <c r="D51">
        <f>_xlfn.STDEV.S(per_seed!$H$22:$H$31)</f>
        <v>10.962562555250381</v>
      </c>
      <c r="E51">
        <v>10.962562555250379</v>
      </c>
    </row>
    <row r="52" spans="1:5">
      <c r="A52" t="s">
        <v>21</v>
      </c>
      <c r="B52" t="s">
        <v>15</v>
      </c>
      <c r="C52" t="s">
        <v>8</v>
      </c>
      <c r="D52">
        <f>AVERAGE(per_seed!$I$22:$I$31)</f>
        <v>0.43983991334919664</v>
      </c>
      <c r="E52">
        <v>0.43983991334919659</v>
      </c>
    </row>
    <row r="53" spans="1:5">
      <c r="A53" t="s">
        <v>22</v>
      </c>
      <c r="B53" t="s">
        <v>15</v>
      </c>
      <c r="C53" t="s">
        <v>8</v>
      </c>
      <c r="D53">
        <f>_xlfn.STDEV.S(per_seed!$I$22:$I$31)</f>
        <v>1.1759051655409339E-2</v>
      </c>
      <c r="E53">
        <v>1.1759051655409331E-2</v>
      </c>
    </row>
    <row r="54" spans="1:5">
      <c r="A54" t="s">
        <v>21</v>
      </c>
      <c r="B54" t="s">
        <v>15</v>
      </c>
      <c r="C54" t="s">
        <v>9</v>
      </c>
      <c r="D54">
        <f>AVERAGE(per_seed!$J$22:$J$31)</f>
        <v>41.283893149396178</v>
      </c>
      <c r="E54">
        <v>41.283893149396178</v>
      </c>
    </row>
    <row r="55" spans="1:5">
      <c r="A55" t="s">
        <v>22</v>
      </c>
      <c r="B55" t="s">
        <v>15</v>
      </c>
      <c r="C55" t="s">
        <v>9</v>
      </c>
      <c r="D55">
        <f>_xlfn.STDEV.S(per_seed!$J$22:$J$31)</f>
        <v>0.94881490275905978</v>
      </c>
      <c r="E55">
        <v>0.94881490275906055</v>
      </c>
    </row>
    <row r="56" spans="1:5">
      <c r="A56" t="s">
        <v>21</v>
      </c>
      <c r="B56" t="s">
        <v>15</v>
      </c>
      <c r="C56" t="s">
        <v>10</v>
      </c>
      <c r="D56">
        <f>AVERAGE(per_seed!$K$22:$K$31)</f>
        <v>7.7380097612618028</v>
      </c>
      <c r="E56">
        <v>7.7380097612618046</v>
      </c>
    </row>
    <row r="57" spans="1:5">
      <c r="A57" t="s">
        <v>22</v>
      </c>
      <c r="B57" t="s">
        <v>15</v>
      </c>
      <c r="C57" t="s">
        <v>10</v>
      </c>
      <c r="D57">
        <f>_xlfn.STDEV.S(per_seed!$K$22:$K$31)</f>
        <v>0.19829114338790219</v>
      </c>
      <c r="E57">
        <v>0.19829114338790221</v>
      </c>
    </row>
    <row r="58" spans="1:5">
      <c r="A58" t="s">
        <v>21</v>
      </c>
      <c r="B58" t="s">
        <v>15</v>
      </c>
      <c r="C58" t="s">
        <v>11</v>
      </c>
      <c r="D58">
        <f>AVERAGE(per_seed!$L$22:$L$31)</f>
        <v>176.48288238691558</v>
      </c>
      <c r="E58">
        <v>176.48288238691561</v>
      </c>
    </row>
    <row r="59" spans="1:5">
      <c r="A59" t="s">
        <v>22</v>
      </c>
      <c r="B59" t="s">
        <v>15</v>
      </c>
      <c r="C59" t="s">
        <v>11</v>
      </c>
      <c r="D59">
        <f>_xlfn.STDEV.S(per_seed!$L$22:$L$31)</f>
        <v>3.7998256719471648</v>
      </c>
      <c r="E59">
        <v>3.7998256719471648</v>
      </c>
    </row>
    <row r="60" spans="1:5">
      <c r="A60" t="s">
        <v>21</v>
      </c>
      <c r="B60" t="s">
        <v>15</v>
      </c>
      <c r="C60" t="s">
        <v>12</v>
      </c>
      <c r="D60">
        <f>AVERAGE(per_seed!$M$22:$M$31)</f>
        <v>26.675617500109905</v>
      </c>
      <c r="E60">
        <v>26.675617500109901</v>
      </c>
    </row>
    <row r="61" spans="1:5">
      <c r="A61" t="s">
        <v>22</v>
      </c>
      <c r="B61" t="s">
        <v>15</v>
      </c>
      <c r="C61" t="s">
        <v>12</v>
      </c>
      <c r="D61">
        <f>_xlfn.STDEV.S(per_seed!$M$22:$M$31)</f>
        <v>1.3202801659162575</v>
      </c>
      <c r="E61">
        <v>1.320280165916258</v>
      </c>
    </row>
    <row r="62" spans="1:5">
      <c r="A62" t="s">
        <v>23</v>
      </c>
      <c r="B62" t="s">
        <v>24</v>
      </c>
      <c r="C62" t="s">
        <v>3</v>
      </c>
      <c r="D62">
        <f>(AVERAGE(per_seed!$D$2:$D$11)-AVERAGE(per_seed!$D$22:$D$31))/AVERAGE(per_seed!$D$22:$D$31)*100</f>
        <v>28.551152044662441</v>
      </c>
      <c r="E62">
        <v>28.551152044662441</v>
      </c>
    </row>
    <row r="63" spans="1:5">
      <c r="A63" t="s">
        <v>25</v>
      </c>
      <c r="B63" t="s">
        <v>24</v>
      </c>
      <c r="C63" t="s">
        <v>3</v>
      </c>
      <c r="D63">
        <f>_xlfn.T.TEST(per_seed!$D$22:$D$31,per_seed!$D$2:$D$11,2,1)</f>
        <v>1.0540943618995098E-11</v>
      </c>
      <c r="E63">
        <v>1.054094361899514E-11</v>
      </c>
    </row>
    <row r="64" spans="1:5">
      <c r="A64" t="s">
        <v>23</v>
      </c>
      <c r="B64" t="s">
        <v>24</v>
      </c>
      <c r="C64" t="s">
        <v>4</v>
      </c>
      <c r="D64">
        <f>(AVERAGE(per_seed!$E$2:$E$11)-AVERAGE(per_seed!$E$22:$E$31))/AVERAGE(per_seed!$E$22:$E$31)*100</f>
        <v>29.008341056533844</v>
      </c>
      <c r="E64">
        <v>29.00834105653384</v>
      </c>
    </row>
    <row r="65" spans="1:5">
      <c r="A65" t="s">
        <v>25</v>
      </c>
      <c r="B65" t="s">
        <v>24</v>
      </c>
      <c r="C65" t="s">
        <v>4</v>
      </c>
      <c r="D65">
        <f>_xlfn.T.TEST(per_seed!$E$22:$E$31,per_seed!$E$2:$E$11,2,1)</f>
        <v>9.0485000309541265E-12</v>
      </c>
      <c r="E65">
        <v>9.0485000309541637E-12</v>
      </c>
    </row>
    <row r="66" spans="1:5">
      <c r="A66" t="s">
        <v>23</v>
      </c>
      <c r="B66" t="s">
        <v>24</v>
      </c>
      <c r="C66" t="s">
        <v>5</v>
      </c>
      <c r="D66">
        <f>(AVERAGE(per_seed!$F$2:$F$11)-AVERAGE(per_seed!$F$22:$F$31))/AVERAGE(per_seed!$F$22:$F$31)*100</f>
        <v>19.178082191780828</v>
      </c>
      <c r="E66">
        <v>19.178082191780831</v>
      </c>
    </row>
    <row r="67" spans="1:5">
      <c r="A67" t="s">
        <v>25</v>
      </c>
      <c r="B67" t="s">
        <v>24</v>
      </c>
      <c r="C67" t="s">
        <v>5</v>
      </c>
      <c r="D67">
        <f>_xlfn.T.TEST(per_seed!$F$22:$F$31,per_seed!$F$2:$F$11,2,1)</f>
        <v>7.1919216986165303E-10</v>
      </c>
      <c r="E67">
        <v>7.1919216986165376E-10</v>
      </c>
    </row>
    <row r="68" spans="1:5">
      <c r="A68" t="s">
        <v>23</v>
      </c>
      <c r="B68" t="s">
        <v>24</v>
      </c>
      <c r="C68" t="s">
        <v>6</v>
      </c>
      <c r="D68">
        <f>(AVERAGE(per_seed!$G$2:$G$11)-AVERAGE(per_seed!$G$22:$G$31))/AVERAGE(per_seed!$G$22:$G$31)*100</f>
        <v>267.56959373737777</v>
      </c>
      <c r="E68">
        <v>267.56959373737777</v>
      </c>
    </row>
    <row r="69" spans="1:5">
      <c r="A69" t="s">
        <v>25</v>
      </c>
      <c r="B69" t="s">
        <v>24</v>
      </c>
      <c r="C69" t="s">
        <v>6</v>
      </c>
      <c r="D69">
        <f>_xlfn.T.TEST(per_seed!$G$22:$G$31,per_seed!$G$2:$G$11,2,1)</f>
        <v>1.5972802571204918E-15</v>
      </c>
      <c r="E69">
        <v>1.5972802571204819E-15</v>
      </c>
    </row>
    <row r="70" spans="1:5">
      <c r="A70" t="s">
        <v>23</v>
      </c>
      <c r="B70" t="s">
        <v>24</v>
      </c>
      <c r="C70" t="s">
        <v>7</v>
      </c>
      <c r="D70">
        <f>(AVERAGE(per_seed!$H$2:$H$11)-AVERAGE(per_seed!$H$22:$H$31))/AVERAGE(per_seed!$H$22:$H$31)*100</f>
        <v>-67.572197748409195</v>
      </c>
      <c r="E70">
        <v>-67.572197748409195</v>
      </c>
    </row>
    <row r="71" spans="1:5">
      <c r="A71" t="s">
        <v>25</v>
      </c>
      <c r="B71" t="s">
        <v>24</v>
      </c>
      <c r="C71" t="s">
        <v>7</v>
      </c>
      <c r="D71">
        <f>_xlfn.T.TEST(per_seed!$H$22:$H$31,per_seed!$H$2:$H$11,2,1)</f>
        <v>9.7075486852828414E-17</v>
      </c>
      <c r="E71">
        <v>9.7075486852828501E-17</v>
      </c>
    </row>
    <row r="72" spans="1:5">
      <c r="A72" t="s">
        <v>23</v>
      </c>
      <c r="B72" t="s">
        <v>24</v>
      </c>
      <c r="C72" t="s">
        <v>8</v>
      </c>
      <c r="D72">
        <f>(AVERAGE(per_seed!$I$2:$I$11)-AVERAGE(per_seed!$I$22:$I$31))/AVERAGE(per_seed!$I$22:$I$31)*100</f>
        <v>-72.805971589648564</v>
      </c>
      <c r="E72">
        <v>-72.805971589648564</v>
      </c>
    </row>
    <row r="73" spans="1:5">
      <c r="A73" t="s">
        <v>25</v>
      </c>
      <c r="B73" t="s">
        <v>24</v>
      </c>
      <c r="C73" t="s">
        <v>8</v>
      </c>
      <c r="D73">
        <f>_xlfn.T.TEST(per_seed!$I$22:$I$31,per_seed!$I$2:$I$11,2,1)</f>
        <v>3.7211263069771465E-14</v>
      </c>
      <c r="E73">
        <v>3.7211263069771888E-14</v>
      </c>
    </row>
    <row r="74" spans="1:5">
      <c r="A74" t="s">
        <v>23</v>
      </c>
      <c r="B74" t="s">
        <v>24</v>
      </c>
      <c r="C74" t="s">
        <v>9</v>
      </c>
      <c r="D74">
        <f>(AVERAGE(per_seed!$J$2:$J$11)-AVERAGE(per_seed!$J$22:$J$31))/AVERAGE(per_seed!$J$22:$J$31)*100</f>
        <v>-47.749277145814148</v>
      </c>
      <c r="E74">
        <v>-47.749277145814148</v>
      </c>
    </row>
    <row r="75" spans="1:5">
      <c r="A75" t="s">
        <v>25</v>
      </c>
      <c r="B75" t="s">
        <v>24</v>
      </c>
      <c r="C75" t="s">
        <v>9</v>
      </c>
      <c r="D75">
        <f>_xlfn.T.TEST(per_seed!$J$22:$J$31,per_seed!$J$2:$J$11,2,1)</f>
        <v>4.4552966774680408E-13</v>
      </c>
      <c r="E75">
        <v>4.4552966774680458E-13</v>
      </c>
    </row>
    <row r="76" spans="1:5">
      <c r="A76" t="s">
        <v>23</v>
      </c>
      <c r="B76" t="s">
        <v>24</v>
      </c>
      <c r="C76" t="s">
        <v>10</v>
      </c>
      <c r="D76">
        <f>(AVERAGE(per_seed!$K$2:$K$11)-AVERAGE(per_seed!$K$22:$K$31))/AVERAGE(per_seed!$K$22:$K$31)*100</f>
        <v>-49.113952548401144</v>
      </c>
      <c r="E76">
        <v>-49.113952548401159</v>
      </c>
    </row>
    <row r="77" spans="1:5">
      <c r="A77" t="s">
        <v>25</v>
      </c>
      <c r="B77" t="s">
        <v>24</v>
      </c>
      <c r="C77" t="s">
        <v>10</v>
      </c>
      <c r="D77">
        <f>_xlfn.T.TEST(per_seed!$K$22:$K$31,per_seed!$K$2:$K$11,2,1)</f>
        <v>6.4254580355795183E-13</v>
      </c>
      <c r="E77">
        <v>6.4254580355795021E-13</v>
      </c>
    </row>
    <row r="78" spans="1:5">
      <c r="A78" t="s">
        <v>23</v>
      </c>
      <c r="B78" t="s">
        <v>24</v>
      </c>
      <c r="C78" t="s">
        <v>11</v>
      </c>
      <c r="D78">
        <f>(AVERAGE(per_seed!$L$2:$L$11)-AVERAGE(per_seed!$L$22:$L$31))/AVERAGE(per_seed!$L$22:$L$31)*100</f>
        <v>126.10391416188271</v>
      </c>
      <c r="E78">
        <v>126.1039141618827</v>
      </c>
    </row>
    <row r="79" spans="1:5">
      <c r="A79" t="s">
        <v>25</v>
      </c>
      <c r="B79" t="s">
        <v>24</v>
      </c>
      <c r="C79" t="s">
        <v>11</v>
      </c>
      <c r="D79">
        <f>_xlfn.T.TEST(per_seed!$L$22:$L$31,per_seed!$L$2:$L$11,2,1)</f>
        <v>2.5955843100443566E-13</v>
      </c>
      <c r="E79">
        <v>2.5955843100443682E-13</v>
      </c>
    </row>
    <row r="80" spans="1:5">
      <c r="A80" t="s">
        <v>23</v>
      </c>
      <c r="B80" t="s">
        <v>24</v>
      </c>
      <c r="C80" t="s">
        <v>12</v>
      </c>
      <c r="D80">
        <f>(AVERAGE(per_seed!$M$2:$M$11)-AVERAGE(per_seed!$M$22:$M$31))/AVERAGE(per_seed!$M$22:$M$31)*100</f>
        <v>-78.580864452577558</v>
      </c>
      <c r="E80">
        <v>-78.580864452577558</v>
      </c>
    </row>
    <row r="81" spans="1:5">
      <c r="A81" t="s">
        <v>25</v>
      </c>
      <c r="B81" t="s">
        <v>24</v>
      </c>
      <c r="C81" t="s">
        <v>12</v>
      </c>
      <c r="D81">
        <f>_xlfn.T.TEST(per_seed!$M$22:$M$31,per_seed!$M$2:$M$11,2,1)</f>
        <v>1.0070922329709116E-11</v>
      </c>
      <c r="E81">
        <v>1.0070922329709159E-11</v>
      </c>
    </row>
    <row r="82" spans="1:5">
      <c r="A82" t="s">
        <v>23</v>
      </c>
      <c r="B82" t="s">
        <v>26</v>
      </c>
      <c r="C82" t="s">
        <v>3</v>
      </c>
      <c r="D82">
        <f>(AVERAGE(per_seed!$D$12:$D$21)-AVERAGE(per_seed!$D$2:$D$11))/AVERAGE(per_seed!$D$2:$D$11)*100</f>
        <v>2.047526161471183</v>
      </c>
      <c r="E82">
        <v>2.047526161471183</v>
      </c>
    </row>
    <row r="83" spans="1:5">
      <c r="A83" t="s">
        <v>25</v>
      </c>
      <c r="B83" t="s">
        <v>26</v>
      </c>
      <c r="C83" t="s">
        <v>3</v>
      </c>
      <c r="D83">
        <f>_xlfn.T.TEST(per_seed!$D$2:$D$11,per_seed!$D$12:$D$21,2,1)</f>
        <v>9.9481999395924934E-7</v>
      </c>
      <c r="E83">
        <v>9.9481999395927687E-7</v>
      </c>
    </row>
    <row r="84" spans="1:5">
      <c r="A84" t="s">
        <v>23</v>
      </c>
      <c r="B84" t="s">
        <v>26</v>
      </c>
      <c r="C84" t="s">
        <v>4</v>
      </c>
      <c r="D84">
        <f>(AVERAGE(per_seed!$E$12:$E$21)-AVERAGE(per_seed!$E$2:$E$11))/AVERAGE(per_seed!$E$2:$E$11)*100</f>
        <v>2.0285087719298107</v>
      </c>
      <c r="E84">
        <v>2.0285087719298112</v>
      </c>
    </row>
    <row r="85" spans="1:5">
      <c r="A85" t="s">
        <v>25</v>
      </c>
      <c r="B85" t="s">
        <v>26</v>
      </c>
      <c r="C85" t="s">
        <v>4</v>
      </c>
      <c r="D85">
        <f>_xlfn.T.TEST(per_seed!$E$2:$E$11,per_seed!$E$12:$E$21,2,1)</f>
        <v>1.6509457069049206E-7</v>
      </c>
      <c r="E85">
        <v>1.6509457069048369E-7</v>
      </c>
    </row>
    <row r="86" spans="1:5">
      <c r="A86" t="s">
        <v>23</v>
      </c>
      <c r="B86" t="s">
        <v>26</v>
      </c>
      <c r="C86" t="s">
        <v>5</v>
      </c>
      <c r="D86">
        <f>(AVERAGE(per_seed!$F$12:$F$21)-AVERAGE(per_seed!$F$2:$F$11))/AVERAGE(per_seed!$F$2:$F$11)*100</f>
        <v>1.8625504001925766</v>
      </c>
      <c r="E86">
        <v>1.862550400192577</v>
      </c>
    </row>
    <row r="87" spans="1:5">
      <c r="A87" t="s">
        <v>25</v>
      </c>
      <c r="B87" t="s">
        <v>26</v>
      </c>
      <c r="C87" t="s">
        <v>5</v>
      </c>
      <c r="D87">
        <f>_xlfn.T.TEST(per_seed!$F$2:$F$11,per_seed!$F$12:$F$21,2,1)</f>
        <v>1.257072130086646E-3</v>
      </c>
      <c r="E87">
        <v>1.2570721300866579E-3</v>
      </c>
    </row>
    <row r="88" spans="1:5">
      <c r="A88" t="s">
        <v>23</v>
      </c>
      <c r="B88" t="s">
        <v>26</v>
      </c>
      <c r="C88" t="s">
        <v>6</v>
      </c>
      <c r="D88">
        <f>(AVERAGE(per_seed!$G$12:$G$21)-AVERAGE(per_seed!$G$2:$G$11))/AVERAGE(per_seed!$G$2:$G$11)*100</f>
        <v>-8.8203513139074889</v>
      </c>
      <c r="E88">
        <v>-8.8203513139075209</v>
      </c>
    </row>
    <row r="89" spans="1:5">
      <c r="A89" t="s">
        <v>25</v>
      </c>
      <c r="B89" t="s">
        <v>26</v>
      </c>
      <c r="C89" t="s">
        <v>6</v>
      </c>
      <c r="D89">
        <f>_xlfn.T.TEST(per_seed!$G$2:$G$11,per_seed!$G$12:$G$21,2,1)</f>
        <v>3.9803038938616143E-8</v>
      </c>
      <c r="E89">
        <v>3.9803038938615117E-8</v>
      </c>
    </row>
    <row r="90" spans="1:5">
      <c r="A90" t="s">
        <v>23</v>
      </c>
      <c r="B90" t="s">
        <v>26</v>
      </c>
      <c r="C90" t="s">
        <v>7</v>
      </c>
      <c r="D90">
        <f>(AVERAGE(per_seed!$H$12:$H$21)-AVERAGE(per_seed!$H$2:$H$11))/AVERAGE(per_seed!$H$2:$H$11)*100</f>
        <v>11.723270440251579</v>
      </c>
      <c r="E90">
        <v>11.72327044025158</v>
      </c>
    </row>
    <row r="91" spans="1:5">
      <c r="A91" t="s">
        <v>25</v>
      </c>
      <c r="B91" t="s">
        <v>26</v>
      </c>
      <c r="C91" t="s">
        <v>7</v>
      </c>
      <c r="D91">
        <f>_xlfn.T.TEST(per_seed!$H$2:$H$11,per_seed!$H$12:$H$21,2,1)</f>
        <v>3.9907951432644739E-8</v>
      </c>
      <c r="E91">
        <v>3.9907951432644918E-8</v>
      </c>
    </row>
    <row r="92" spans="1:5">
      <c r="A92" t="s">
        <v>23</v>
      </c>
      <c r="B92" t="s">
        <v>26</v>
      </c>
      <c r="C92" t="s">
        <v>8</v>
      </c>
      <c r="D92">
        <f>(AVERAGE(per_seed!$I$12:$I$21)-AVERAGE(per_seed!$I$2:$I$11))/AVERAGE(per_seed!$I$2:$I$11)*100</f>
        <v>9.6762909061073827</v>
      </c>
      <c r="E92">
        <v>9.6762909061073703</v>
      </c>
    </row>
    <row r="93" spans="1:5">
      <c r="A93" t="s">
        <v>25</v>
      </c>
      <c r="B93" t="s">
        <v>26</v>
      </c>
      <c r="C93" t="s">
        <v>8</v>
      </c>
      <c r="D93">
        <f>_xlfn.T.TEST(per_seed!$I$2:$I$11,per_seed!$I$12:$I$21,2,1)</f>
        <v>3.9194603592832692E-8</v>
      </c>
      <c r="E93">
        <v>3.9194603592830773E-8</v>
      </c>
    </row>
    <row r="94" spans="1:5">
      <c r="A94" t="s">
        <v>23</v>
      </c>
      <c r="B94" t="s">
        <v>26</v>
      </c>
      <c r="C94" t="s">
        <v>9</v>
      </c>
      <c r="D94">
        <f>(AVERAGE(per_seed!$J$12:$J$21)-AVERAGE(per_seed!$J$2:$J$11))/AVERAGE(per_seed!$J$2:$J$11)*100</f>
        <v>-5.2057522835800274</v>
      </c>
      <c r="E94">
        <v>-5.2057522835800114</v>
      </c>
    </row>
    <row r="95" spans="1:5">
      <c r="A95" t="s">
        <v>25</v>
      </c>
      <c r="B95" t="s">
        <v>26</v>
      </c>
      <c r="C95" t="s">
        <v>9</v>
      </c>
      <c r="D95">
        <f>_xlfn.T.TEST(per_seed!$J$2:$J$11,per_seed!$J$12:$J$21,2,1)</f>
        <v>4.1906010011959415E-6</v>
      </c>
      <c r="E95">
        <v>4.19060100119611E-6</v>
      </c>
    </row>
    <row r="96" spans="1:5">
      <c r="A96" t="s">
        <v>23</v>
      </c>
      <c r="B96" t="s">
        <v>26</v>
      </c>
      <c r="C96" t="s">
        <v>10</v>
      </c>
      <c r="D96">
        <f>(AVERAGE(per_seed!$K$12:$K$21)-AVERAGE(per_seed!$K$2:$K$11))/AVERAGE(per_seed!$K$2:$K$11)*100</f>
        <v>-8.5485653991604025</v>
      </c>
      <c r="E96">
        <v>-8.5485653991604025</v>
      </c>
    </row>
    <row r="97" spans="1:5">
      <c r="A97" t="s">
        <v>25</v>
      </c>
      <c r="B97" t="s">
        <v>26</v>
      </c>
      <c r="C97" t="s">
        <v>10</v>
      </c>
      <c r="D97">
        <f>_xlfn.T.TEST(per_seed!$K$2:$K$11,per_seed!$K$12:$K$21,2,1)</f>
        <v>2.5206657742780025E-8</v>
      </c>
      <c r="E97">
        <v>2.5206657742779519E-8</v>
      </c>
    </row>
    <row r="98" spans="1:5">
      <c r="A98" t="s">
        <v>23</v>
      </c>
      <c r="B98" t="s">
        <v>26</v>
      </c>
      <c r="C98" t="s">
        <v>11</v>
      </c>
      <c r="D98">
        <f>(AVERAGE(per_seed!$L$12:$L$21)-AVERAGE(per_seed!$L$2:$L$11))/AVERAGE(per_seed!$L$2:$L$11)*100</f>
        <v>-0.96649200729814932</v>
      </c>
      <c r="E98">
        <v>-0.96649200729814932</v>
      </c>
    </row>
    <row r="99" spans="1:5">
      <c r="A99" t="s">
        <v>25</v>
      </c>
      <c r="B99" t="s">
        <v>26</v>
      </c>
      <c r="C99" t="s">
        <v>11</v>
      </c>
      <c r="D99">
        <f>_xlfn.T.TEST(per_seed!$L$2:$L$11,per_seed!$L$12:$L$21,2,1)</f>
        <v>0.41591898253350823</v>
      </c>
      <c r="E99">
        <v>0.41591898253350768</v>
      </c>
    </row>
    <row r="100" spans="1:5">
      <c r="A100" t="s">
        <v>23</v>
      </c>
      <c r="B100" t="s">
        <v>26</v>
      </c>
      <c r="C100" t="s">
        <v>12</v>
      </c>
      <c r="D100">
        <f>(AVERAGE(per_seed!$M$12:$M$21)-AVERAGE(per_seed!$M$2:$M$11))/AVERAGE(per_seed!$M$2:$M$11)*100</f>
        <v>-33.6993226926025</v>
      </c>
      <c r="E100">
        <v>-33.699322692602493</v>
      </c>
    </row>
    <row r="101" spans="1:5">
      <c r="A101" t="s">
        <v>25</v>
      </c>
      <c r="B101" t="s">
        <v>26</v>
      </c>
      <c r="C101" t="s">
        <v>12</v>
      </c>
      <c r="D101">
        <f>_xlfn.T.TEST(per_seed!$M$2:$M$11,per_seed!$M$12:$M$21,2,1)</f>
        <v>9.8182051734419804E-7</v>
      </c>
      <c r="E101">
        <v>9.8182051734419529E-7</v>
      </c>
    </row>
    <row r="102" spans="1:5">
      <c r="A102" t="s">
        <v>23</v>
      </c>
      <c r="B102" t="s">
        <v>27</v>
      </c>
      <c r="C102" t="s">
        <v>3</v>
      </c>
      <c r="D102">
        <f>(AVERAGE(per_seed!$D$12:$D$21)-AVERAGE(per_seed!$D$22:$D$31))/AVERAGE(per_seed!$D$22:$D$31)*100</f>
        <v>31.183270513649504</v>
      </c>
      <c r="E102">
        <v>31.1832705136495</v>
      </c>
    </row>
    <row r="103" spans="1:5">
      <c r="A103" t="s">
        <v>25</v>
      </c>
      <c r="B103" t="s">
        <v>27</v>
      </c>
      <c r="C103" t="s">
        <v>3</v>
      </c>
      <c r="D103">
        <f>_xlfn.T.TEST(per_seed!$D$22:$D$31,per_seed!$D$12:$D$21,2,1)</f>
        <v>7.2288511161001149E-13</v>
      </c>
      <c r="E103">
        <v>7.2288511161001977E-13</v>
      </c>
    </row>
    <row r="104" spans="1:5">
      <c r="A104" t="s">
        <v>23</v>
      </c>
      <c r="B104" t="s">
        <v>27</v>
      </c>
      <c r="C104" t="s">
        <v>4</v>
      </c>
      <c r="D104">
        <f>(AVERAGE(per_seed!$E$12:$E$21)-AVERAGE(per_seed!$E$22:$E$31))/AVERAGE(per_seed!$E$22:$E$31)*100</f>
        <v>31.625286571386756</v>
      </c>
      <c r="E104">
        <v>31.625286571386759</v>
      </c>
    </row>
    <row r="105" spans="1:5">
      <c r="A105" t="s">
        <v>25</v>
      </c>
      <c r="B105" t="s">
        <v>27</v>
      </c>
      <c r="C105" t="s">
        <v>4</v>
      </c>
      <c r="D105">
        <f>_xlfn.T.TEST(per_seed!$E$22:$E$31,per_seed!$E$12:$E$21,2,1)</f>
        <v>2.3974243582333626E-12</v>
      </c>
      <c r="E105">
        <v>2.3974243582333561E-12</v>
      </c>
    </row>
    <row r="106" spans="1:5">
      <c r="A106" t="s">
        <v>23</v>
      </c>
      <c r="B106" t="s">
        <v>27</v>
      </c>
      <c r="C106" t="s">
        <v>5</v>
      </c>
      <c r="D106">
        <f>(AVERAGE(per_seed!$F$12:$F$21)-AVERAGE(per_seed!$F$22:$F$31))/AVERAGE(per_seed!$F$22:$F$31)*100</f>
        <v>21.397834038585682</v>
      </c>
      <c r="E106">
        <v>21.397834038585678</v>
      </c>
    </row>
    <row r="107" spans="1:5">
      <c r="A107" t="s">
        <v>25</v>
      </c>
      <c r="B107" t="s">
        <v>27</v>
      </c>
      <c r="C107" t="s">
        <v>5</v>
      </c>
      <c r="D107">
        <f>_xlfn.T.TEST(per_seed!$F$22:$F$31,per_seed!$F$12:$F$21,2,1)</f>
        <v>1.2279752312526257E-10</v>
      </c>
      <c r="E107">
        <v>1.227975231252627E-10</v>
      </c>
    </row>
    <row r="108" spans="1:5">
      <c r="A108" t="s">
        <v>23</v>
      </c>
      <c r="B108" t="s">
        <v>27</v>
      </c>
      <c r="C108" t="s">
        <v>6</v>
      </c>
      <c r="D108">
        <f>(AVERAGE(per_seed!$G$12:$G$21)-AVERAGE(per_seed!$G$22:$G$31))/AVERAGE(per_seed!$G$22:$G$31)*100</f>
        <v>235.14866424663859</v>
      </c>
      <c r="E108">
        <v>235.14866424663839</v>
      </c>
    </row>
    <row r="109" spans="1:5">
      <c r="A109" t="s">
        <v>25</v>
      </c>
      <c r="B109" t="s">
        <v>27</v>
      </c>
      <c r="C109" t="s">
        <v>6</v>
      </c>
      <c r="D109">
        <f>_xlfn.T.TEST(per_seed!$G$22:$G$31,per_seed!$G$12:$G$21,2,1)</f>
        <v>4.9365075118485463E-15</v>
      </c>
      <c r="E109">
        <v>4.9365075118485842E-15</v>
      </c>
    </row>
    <row r="110" spans="1:5">
      <c r="A110" t="s">
        <v>23</v>
      </c>
      <c r="B110" t="s">
        <v>27</v>
      </c>
      <c r="C110" t="s">
        <v>7</v>
      </c>
      <c r="D110">
        <f>(AVERAGE(per_seed!$H$12:$H$21)-AVERAGE(per_seed!$H$22:$H$31))/AVERAGE(per_seed!$H$22:$H$31)*100</f>
        <v>-63.770598792625222</v>
      </c>
      <c r="E110">
        <v>-63.770598792625222</v>
      </c>
    </row>
    <row r="111" spans="1:5">
      <c r="A111" t="s">
        <v>25</v>
      </c>
      <c r="B111" t="s">
        <v>27</v>
      </c>
      <c r="C111" t="s">
        <v>7</v>
      </c>
      <c r="D111">
        <f>_xlfn.T.TEST(per_seed!$H$22:$H$31,per_seed!$H$12:$H$21,2,1)</f>
        <v>5.2453810822608004E-17</v>
      </c>
      <c r="E111">
        <v>5.2453810822608053E-17</v>
      </c>
    </row>
    <row r="112" spans="1:5">
      <c r="A112" t="s">
        <v>23</v>
      </c>
      <c r="B112" t="s">
        <v>27</v>
      </c>
      <c r="C112" t="s">
        <v>8</v>
      </c>
      <c r="D112">
        <f>(AVERAGE(per_seed!$I$12:$I$21)-AVERAGE(per_seed!$I$22:$I$31))/AVERAGE(per_seed!$I$22:$I$31)*100</f>
        <v>-70.174598291573488</v>
      </c>
      <c r="E112">
        <v>-70.174598291573488</v>
      </c>
    </row>
    <row r="113" spans="1:5">
      <c r="A113" t="s">
        <v>25</v>
      </c>
      <c r="B113" t="s">
        <v>27</v>
      </c>
      <c r="C113" t="s">
        <v>8</v>
      </c>
      <c r="D113">
        <f>_xlfn.T.TEST(per_seed!$I$22:$I$31,per_seed!$I$12:$I$21,2,1)</f>
        <v>6.6136371147810862E-14</v>
      </c>
      <c r="E113">
        <v>6.6136371147809978E-14</v>
      </c>
    </row>
    <row r="114" spans="1:5">
      <c r="A114" t="s">
        <v>23</v>
      </c>
      <c r="B114" t="s">
        <v>27</v>
      </c>
      <c r="C114" t="s">
        <v>9</v>
      </c>
      <c r="D114">
        <f>(AVERAGE(per_seed!$J$12:$J$21)-AVERAGE(per_seed!$J$22:$J$31))/AVERAGE(per_seed!$J$22:$J$31)*100</f>
        <v>-50.469320343983007</v>
      </c>
      <c r="E114">
        <v>-50.469320343983007</v>
      </c>
    </row>
    <row r="115" spans="1:5">
      <c r="A115" t="s">
        <v>25</v>
      </c>
      <c r="B115" t="s">
        <v>27</v>
      </c>
      <c r="C115" t="s">
        <v>9</v>
      </c>
      <c r="D115">
        <f>_xlfn.T.TEST(per_seed!$J$22:$J$31,per_seed!$J$12:$J$21,2,1)</f>
        <v>4.4199432821946433E-13</v>
      </c>
      <c r="E115">
        <v>4.41994328219471E-13</v>
      </c>
    </row>
    <row r="116" spans="1:5">
      <c r="A116" t="s">
        <v>23</v>
      </c>
      <c r="B116" t="s">
        <v>27</v>
      </c>
      <c r="C116" t="s">
        <v>10</v>
      </c>
      <c r="D116">
        <f>(AVERAGE(per_seed!$K$12:$K$21)-AVERAGE(per_seed!$K$22:$K$31))/AVERAGE(per_seed!$K$22:$K$31)*100</f>
        <v>-53.463979593848862</v>
      </c>
      <c r="E116">
        <v>-53.463979593848883</v>
      </c>
    </row>
    <row r="117" spans="1:5">
      <c r="A117" t="s">
        <v>25</v>
      </c>
      <c r="B117" t="s">
        <v>27</v>
      </c>
      <c r="C117" t="s">
        <v>10</v>
      </c>
      <c r="D117">
        <f>_xlfn.T.TEST(per_seed!$K$22:$K$31,per_seed!$K$12:$K$21,2,1)</f>
        <v>3.8696761368609546E-13</v>
      </c>
      <c r="E117">
        <v>3.8696761368609309E-13</v>
      </c>
    </row>
    <row r="118" spans="1:5">
      <c r="A118" t="s">
        <v>23</v>
      </c>
      <c r="B118" t="s">
        <v>27</v>
      </c>
      <c r="C118" t="s">
        <v>11</v>
      </c>
      <c r="D118">
        <f>(AVERAGE(per_seed!$L$12:$L$21)-AVERAGE(per_seed!$L$22:$L$31))/AVERAGE(per_seed!$L$22:$L$31)*100</f>
        <v>123.91863790331985</v>
      </c>
      <c r="E118">
        <v>123.91863790331981</v>
      </c>
    </row>
    <row r="119" spans="1:5">
      <c r="A119" t="s">
        <v>25</v>
      </c>
      <c r="B119" t="s">
        <v>27</v>
      </c>
      <c r="C119" t="s">
        <v>11</v>
      </c>
      <c r="D119">
        <f>_xlfn.T.TEST(per_seed!$L$22:$L$31,per_seed!$L$12:$L$21,2,1)</f>
        <v>2.2742782879612579E-12</v>
      </c>
      <c r="E119">
        <v>2.2742782879612599E-12</v>
      </c>
    </row>
    <row r="120" spans="1:5">
      <c r="A120" t="s">
        <v>23</v>
      </c>
      <c r="B120" t="s">
        <v>27</v>
      </c>
      <c r="C120" t="s">
        <v>12</v>
      </c>
      <c r="D120">
        <f>(AVERAGE(per_seed!$M$12:$M$21)-AVERAGE(per_seed!$M$22:$M$31))/AVERAGE(per_seed!$M$22:$M$31)*100</f>
        <v>-85.798968058669374</v>
      </c>
      <c r="E120">
        <v>-85.798968058669374</v>
      </c>
    </row>
    <row r="121" spans="1:5">
      <c r="A121" t="s">
        <v>25</v>
      </c>
      <c r="B121" t="s">
        <v>27</v>
      </c>
      <c r="C121" t="s">
        <v>12</v>
      </c>
      <c r="D121">
        <f>_xlfn.T.TEST(per_seed!$M$22:$M$31,per_seed!$M$12:$M$21,2,1)</f>
        <v>7.5684137539415804E-13</v>
      </c>
      <c r="E121">
        <v>7.5684137539415865E-13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per_seed</vt:lpstr>
      <vt:lpstr>excel_check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M11301111</cp:lastModifiedBy>
  <dcterms:created xsi:type="dcterms:W3CDTF">2026-09-17T18:12:22Z</dcterms:created>
  <dcterms:modified xsi:type="dcterms:W3CDTF">2026-09-17T18:12:26Z</dcterms:modified>
</cp:coreProperties>
</file>