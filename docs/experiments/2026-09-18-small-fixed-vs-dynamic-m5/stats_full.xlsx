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esop\Desktop\EE-RAWSim-O_PP\experiments\formal\2026-09-18_small_fixed_vs_dynamic_pricing_m5\"/>
    </mc:Choice>
  </mc:AlternateContent>
  <xr:revisionPtr revIDLastSave="0" documentId="13_ncr:1_{8EFAFE2D-7FB0-4FBC-BF6C-42CEF49EAEBF}" xr6:coauthVersionLast="47" xr6:coauthVersionMax="47" xr10:uidLastSave="{00000000-0000-0000-0000-000000000000}"/>
  <bookViews>
    <workbookView xWindow="28680" yWindow="-12645" windowWidth="16440" windowHeight="28320" xr2:uid="{00000000-000D-0000-FFFF-FFFF00000000}"/>
  </bookViews>
  <sheets>
    <sheet name="per_seed" sheetId="1" r:id="rId1"/>
    <sheet name="excel_check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01" i="2" l="1"/>
  <c r="D600" i="2"/>
  <c r="D599" i="2"/>
  <c r="D598" i="2"/>
  <c r="D597" i="2"/>
  <c r="D596" i="2"/>
  <c r="D595" i="2"/>
  <c r="D594" i="2"/>
  <c r="D593" i="2"/>
  <c r="D592" i="2"/>
  <c r="D591" i="2"/>
  <c r="D590" i="2"/>
  <c r="D589" i="2"/>
  <c r="D588" i="2"/>
  <c r="D587" i="2"/>
  <c r="D586" i="2"/>
  <c r="D585" i="2"/>
  <c r="D584" i="2"/>
  <c r="D583" i="2"/>
  <c r="D582" i="2"/>
  <c r="D581" i="2"/>
  <c r="D580" i="2"/>
  <c r="D579" i="2"/>
  <c r="D578" i="2"/>
  <c r="D577" i="2"/>
  <c r="D576" i="2"/>
  <c r="D575" i="2"/>
  <c r="D574" i="2"/>
  <c r="D573" i="2"/>
  <c r="D572" i="2"/>
  <c r="D571" i="2"/>
  <c r="D570" i="2"/>
  <c r="D569" i="2"/>
  <c r="D568" i="2"/>
  <c r="D567" i="2"/>
  <c r="D566" i="2"/>
  <c r="D565" i="2"/>
  <c r="D564" i="2"/>
  <c r="D563" i="2"/>
  <c r="D562" i="2"/>
  <c r="D561" i="2"/>
  <c r="D560" i="2"/>
  <c r="D559" i="2"/>
  <c r="D558" i="2"/>
  <c r="D557" i="2"/>
  <c r="D556" i="2"/>
  <c r="D555" i="2"/>
  <c r="D554" i="2"/>
  <c r="D553" i="2"/>
  <c r="D552" i="2"/>
  <c r="D551" i="2"/>
  <c r="D550" i="2"/>
  <c r="D549" i="2"/>
  <c r="D548" i="2"/>
  <c r="D547" i="2"/>
  <c r="D546" i="2"/>
  <c r="D545" i="2"/>
  <c r="D544" i="2"/>
  <c r="D543" i="2"/>
  <c r="D542" i="2"/>
  <c r="D541" i="2"/>
  <c r="D540" i="2"/>
  <c r="D539" i="2"/>
  <c r="D538" i="2"/>
  <c r="D537" i="2"/>
  <c r="D536" i="2"/>
  <c r="D535" i="2"/>
  <c r="D534" i="2"/>
  <c r="D533" i="2"/>
  <c r="D532" i="2"/>
  <c r="D531" i="2"/>
  <c r="D530" i="2"/>
  <c r="D529" i="2"/>
  <c r="D528" i="2"/>
  <c r="D527" i="2"/>
  <c r="D526" i="2"/>
  <c r="D525" i="2"/>
  <c r="D524" i="2"/>
  <c r="D523" i="2"/>
  <c r="D522" i="2"/>
  <c r="D521" i="2"/>
  <c r="D520" i="2"/>
  <c r="D519" i="2"/>
  <c r="D518" i="2"/>
  <c r="D517" i="2"/>
  <c r="D516" i="2"/>
  <c r="D515" i="2"/>
  <c r="D514" i="2"/>
  <c r="D513" i="2"/>
  <c r="D512" i="2"/>
  <c r="D511" i="2"/>
  <c r="D510" i="2"/>
  <c r="D509" i="2"/>
  <c r="D508" i="2"/>
  <c r="D507" i="2"/>
  <c r="D506" i="2"/>
  <c r="D505" i="2"/>
  <c r="D504" i="2"/>
  <c r="D503" i="2"/>
  <c r="D502" i="2"/>
  <c r="D501" i="2"/>
  <c r="D500" i="2"/>
  <c r="D499" i="2"/>
  <c r="D498" i="2"/>
  <c r="D497" i="2"/>
  <c r="D496" i="2"/>
  <c r="D495" i="2"/>
  <c r="D494" i="2"/>
  <c r="D493" i="2"/>
  <c r="D492" i="2"/>
  <c r="D491" i="2"/>
  <c r="D490" i="2"/>
  <c r="D489" i="2"/>
  <c r="D488" i="2"/>
  <c r="D487" i="2"/>
  <c r="D486" i="2"/>
  <c r="D485" i="2"/>
  <c r="D484" i="2"/>
  <c r="D483" i="2"/>
  <c r="D482" i="2"/>
  <c r="D481" i="2"/>
  <c r="D480" i="2"/>
  <c r="D479" i="2"/>
  <c r="D478" i="2"/>
  <c r="D477" i="2"/>
  <c r="D476" i="2"/>
  <c r="D475" i="2"/>
  <c r="D474" i="2"/>
  <c r="D473" i="2"/>
  <c r="D472" i="2"/>
  <c r="D471" i="2"/>
  <c r="D470" i="2"/>
  <c r="D469" i="2"/>
  <c r="D468" i="2"/>
  <c r="D467" i="2"/>
  <c r="D466" i="2"/>
  <c r="D465" i="2"/>
  <c r="D464" i="2"/>
  <c r="D463" i="2"/>
  <c r="D462" i="2"/>
  <c r="D461" i="2"/>
  <c r="D460" i="2"/>
  <c r="D459" i="2"/>
  <c r="D458" i="2"/>
  <c r="D457" i="2"/>
  <c r="D456" i="2"/>
  <c r="D455" i="2"/>
  <c r="D454" i="2"/>
  <c r="D453" i="2"/>
  <c r="D452" i="2"/>
  <c r="D451" i="2"/>
  <c r="D450" i="2"/>
  <c r="D449" i="2"/>
  <c r="D448" i="2"/>
  <c r="D447" i="2"/>
  <c r="D446" i="2"/>
  <c r="D445" i="2"/>
  <c r="D444" i="2"/>
  <c r="D443" i="2"/>
  <c r="D442" i="2"/>
  <c r="D441" i="2"/>
  <c r="D440" i="2"/>
  <c r="D439" i="2"/>
  <c r="D438" i="2"/>
  <c r="D437" i="2"/>
  <c r="D436" i="2"/>
  <c r="D435" i="2"/>
  <c r="D434" i="2"/>
  <c r="D433" i="2"/>
  <c r="D432" i="2"/>
  <c r="D431" i="2"/>
  <c r="D430" i="2"/>
  <c r="D429" i="2"/>
  <c r="D428" i="2"/>
  <c r="D427" i="2"/>
  <c r="D426" i="2"/>
  <c r="D425" i="2"/>
  <c r="D424" i="2"/>
  <c r="D423" i="2"/>
  <c r="D422" i="2"/>
  <c r="D421" i="2"/>
  <c r="D420" i="2"/>
  <c r="D419" i="2"/>
  <c r="D418" i="2"/>
  <c r="D417" i="2"/>
  <c r="D416" i="2"/>
  <c r="D415" i="2"/>
  <c r="D414" i="2"/>
  <c r="D413" i="2"/>
  <c r="D412" i="2"/>
  <c r="D411" i="2"/>
  <c r="D410" i="2"/>
  <c r="D409" i="2"/>
  <c r="D408" i="2"/>
  <c r="D407" i="2"/>
  <c r="D406" i="2"/>
  <c r="D405" i="2"/>
  <c r="D404" i="2"/>
  <c r="D403" i="2"/>
  <c r="D402" i="2"/>
  <c r="D401" i="2"/>
  <c r="D400" i="2"/>
  <c r="D399" i="2"/>
  <c r="D398" i="2"/>
  <c r="D397" i="2"/>
  <c r="D396" i="2"/>
  <c r="D395" i="2"/>
  <c r="D394" i="2"/>
  <c r="D393" i="2"/>
  <c r="D392" i="2"/>
  <c r="D391" i="2"/>
  <c r="D390" i="2"/>
  <c r="D389" i="2"/>
  <c r="D388" i="2"/>
  <c r="D387" i="2"/>
  <c r="D386" i="2"/>
  <c r="D385" i="2"/>
  <c r="D384" i="2"/>
  <c r="D383" i="2"/>
  <c r="D382" i="2"/>
  <c r="D381" i="2"/>
  <c r="D380" i="2"/>
  <c r="D379" i="2"/>
  <c r="D378" i="2"/>
  <c r="D377" i="2"/>
  <c r="D376" i="2"/>
  <c r="D375" i="2"/>
  <c r="D374" i="2"/>
  <c r="D373" i="2"/>
  <c r="D372" i="2"/>
  <c r="D371" i="2"/>
  <c r="D370" i="2"/>
  <c r="D369" i="2"/>
  <c r="D368" i="2"/>
  <c r="D367" i="2"/>
  <c r="D366" i="2"/>
  <c r="D365" i="2"/>
  <c r="D364" i="2"/>
  <c r="D363" i="2"/>
  <c r="D362" i="2"/>
  <c r="D361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<sst xmlns="http://schemas.openxmlformats.org/spreadsheetml/2006/main" count="1978" uniqueCount="52">
  <si>
    <t>arm</t>
  </si>
  <si>
    <t>bots</t>
  </si>
  <si>
    <t>seed</t>
  </si>
  <si>
    <t>Items</t>
  </si>
  <si>
    <t>Lines</t>
  </si>
  <si>
    <t>Orders</t>
  </si>
  <si>
    <t>Pile-on</t>
  </si>
  <si>
    <t>Trips</t>
  </si>
  <si>
    <t>Trips/Orders</t>
  </si>
  <si>
    <t>m/Line</t>
  </si>
  <si>
    <t>EOR(kJ/order)</t>
  </si>
  <si>
    <t>TurnoverMedian(s)</t>
  </si>
  <si>
    <t>StationIdle(%)</t>
  </si>
  <si>
    <t>m5_dyn_6b</t>
  </si>
  <si>
    <t>m5_fix3_6b</t>
  </si>
  <si>
    <t>m5_fix4_6b</t>
  </si>
  <si>
    <t>m5_fix5_6b</t>
  </si>
  <si>
    <t>m5_fix9_6b</t>
  </si>
  <si>
    <t>m5_fix14_6b</t>
  </si>
  <si>
    <t>m5_fix18_6b</t>
  </si>
  <si>
    <t>m5_fix22_6b</t>
  </si>
  <si>
    <t>m5_dyn_10b</t>
  </si>
  <si>
    <t>m5_fix3_10b</t>
  </si>
  <si>
    <t>m5_fix4_10b</t>
  </si>
  <si>
    <t>m5_fix5_10b</t>
  </si>
  <si>
    <t>m5_fix9_10b</t>
  </si>
  <si>
    <t>m5_fix14_10b</t>
  </si>
  <si>
    <t>m5_fix18_10b</t>
  </si>
  <si>
    <t>m5_fix22_10b</t>
  </si>
  <si>
    <t>kind</t>
  </si>
  <si>
    <t>arm_or_comparison</t>
  </si>
  <si>
    <t>metric</t>
  </si>
  <si>
    <t>excel_value</t>
  </si>
  <si>
    <t>python_value</t>
  </si>
  <si>
    <t>mean</t>
  </si>
  <si>
    <t>sd</t>
  </si>
  <si>
    <t>pct</t>
  </si>
  <si>
    <t>m5_fix3_6b vs m5_dyn_6b</t>
  </si>
  <si>
    <t>p</t>
  </si>
  <si>
    <t>m5_fix4_6b vs m5_dyn_6b</t>
  </si>
  <si>
    <t>m5_fix5_6b vs m5_dyn_6b</t>
  </si>
  <si>
    <t>m5_fix9_6b vs m5_dyn_6b</t>
  </si>
  <si>
    <t>m5_fix14_6b vs m5_dyn_6b</t>
  </si>
  <si>
    <t>m5_fix18_6b vs m5_dyn_6b</t>
  </si>
  <si>
    <t>m5_fix22_6b vs m5_dyn_6b</t>
  </si>
  <si>
    <t>m5_fix3_10b vs m5_dyn_10b</t>
  </si>
  <si>
    <t>m5_fix4_10b vs m5_dyn_10b</t>
  </si>
  <si>
    <t>m5_fix5_10b vs m5_dyn_10b</t>
  </si>
  <si>
    <t>m5_fix9_10b vs m5_dyn_10b</t>
  </si>
  <si>
    <t>m5_fix14_10b vs m5_dyn_10b</t>
  </si>
  <si>
    <t>m5_fix18_10b vs m5_dyn_10b</t>
  </si>
  <si>
    <t>m5_fix22_10b vs m5_dyn_10b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</si>
</sst>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1"/>
  <sheetViews>
    <sheetView tabSelected="1" workbookViewId="0"/>
  </sheetViews>
  <sheetFormatPr defaultRowHeight="15.75"/>
  <cols>
    <col min="1" max="13" width="18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6</v>
      </c>
      <c r="C2">
        <v>0</v>
      </c>
      <c r="D2">
        <v>1425</v>
      </c>
      <c r="E2">
        <v>928</v>
      </c>
      <c r="F2">
        <v>601</v>
      </c>
      <c r="G2">
        <v>5.2719298245614032</v>
      </c>
      <c r="H2">
        <v>114</v>
      </c>
      <c r="I2">
        <v>0.18968386023294509</v>
      </c>
      <c r="J2">
        <v>9.5613350054166055</v>
      </c>
      <c r="K2">
        <v>1.1796569366337499</v>
      </c>
      <c r="L2">
        <v>903.688888888252</v>
      </c>
      <c r="M2">
        <v>1.14629629644373</v>
      </c>
    </row>
    <row r="3" spans="1:13">
      <c r="A3" t="s">
        <v>13</v>
      </c>
      <c r="B3">
        <v>6</v>
      </c>
      <c r="C3">
        <v>1</v>
      </c>
      <c r="D3">
        <v>1422</v>
      </c>
      <c r="E3">
        <v>922</v>
      </c>
      <c r="F3">
        <v>567</v>
      </c>
      <c r="G3">
        <v>5.2990654205607477</v>
      </c>
      <c r="H3">
        <v>107</v>
      </c>
      <c r="I3">
        <v>0.1887125220458554</v>
      </c>
      <c r="J3">
        <v>9.4767218004166267</v>
      </c>
      <c r="K3">
        <v>1.2274096782942501</v>
      </c>
      <c r="L3">
        <v>917.51111111653495</v>
      </c>
      <c r="M3">
        <v>1.315740740887948</v>
      </c>
    </row>
    <row r="4" spans="1:13">
      <c r="A4" t="s">
        <v>13</v>
      </c>
      <c r="B4">
        <v>6</v>
      </c>
      <c r="C4">
        <v>2</v>
      </c>
      <c r="D4">
        <v>1416</v>
      </c>
      <c r="E4">
        <v>959</v>
      </c>
      <c r="F4">
        <v>598</v>
      </c>
      <c r="G4">
        <v>5.3873873873873874</v>
      </c>
      <c r="H4">
        <v>111</v>
      </c>
      <c r="I4">
        <v>0.18561872909699001</v>
      </c>
      <c r="J4">
        <v>8.912310502189678</v>
      </c>
      <c r="K4">
        <v>1.1553422787108301</v>
      </c>
      <c r="L4">
        <v>965.86666666328597</v>
      </c>
      <c r="M4">
        <v>1.681481481554979</v>
      </c>
    </row>
    <row r="5" spans="1:13">
      <c r="A5" t="s">
        <v>13</v>
      </c>
      <c r="B5">
        <v>6</v>
      </c>
      <c r="C5">
        <v>3</v>
      </c>
      <c r="D5">
        <v>1429</v>
      </c>
      <c r="E5">
        <v>928</v>
      </c>
      <c r="F5">
        <v>574</v>
      </c>
      <c r="G5">
        <v>5.2660550458715596</v>
      </c>
      <c r="H5">
        <v>109</v>
      </c>
      <c r="I5">
        <v>0.18989547038327531</v>
      </c>
      <c r="J5">
        <v>9.2504665590637174</v>
      </c>
      <c r="K5">
        <v>1.2045593314747001</v>
      </c>
      <c r="L5">
        <v>900.44444444976796</v>
      </c>
      <c r="M5">
        <v>0.85462962977699042</v>
      </c>
    </row>
    <row r="6" spans="1:13">
      <c r="A6" t="s">
        <v>13</v>
      </c>
      <c r="B6">
        <v>6</v>
      </c>
      <c r="C6">
        <v>4</v>
      </c>
      <c r="D6">
        <v>1417</v>
      </c>
      <c r="E6">
        <v>924</v>
      </c>
      <c r="F6">
        <v>582</v>
      </c>
      <c r="G6">
        <v>5.1052631578947372</v>
      </c>
      <c r="H6">
        <v>114</v>
      </c>
      <c r="I6">
        <v>0.19587628865979381</v>
      </c>
      <c r="J6">
        <v>9.5223462760679976</v>
      </c>
      <c r="K6">
        <v>1.2211763919940899</v>
      </c>
      <c r="L6">
        <v>870.08888888659999</v>
      </c>
      <c r="M6">
        <v>1.652777777924924</v>
      </c>
    </row>
    <row r="7" spans="1:13">
      <c r="A7" t="s">
        <v>13</v>
      </c>
      <c r="B7">
        <v>6</v>
      </c>
      <c r="C7">
        <v>5</v>
      </c>
      <c r="D7">
        <v>1426</v>
      </c>
      <c r="E7">
        <v>928</v>
      </c>
      <c r="F7">
        <v>585</v>
      </c>
      <c r="G7">
        <v>5.0431034482758621</v>
      </c>
      <c r="H7">
        <v>116</v>
      </c>
      <c r="I7">
        <v>0.19829059829059831</v>
      </c>
      <c r="J7">
        <v>9.630152665945884</v>
      </c>
      <c r="K7">
        <v>1.2201433098545</v>
      </c>
      <c r="L7">
        <v>907.11111111138598</v>
      </c>
      <c r="M7">
        <v>1.0219135803940209</v>
      </c>
    </row>
    <row r="8" spans="1:13">
      <c r="A8" t="s">
        <v>13</v>
      </c>
      <c r="B8">
        <v>6</v>
      </c>
      <c r="C8">
        <v>6</v>
      </c>
      <c r="D8">
        <v>1416</v>
      </c>
      <c r="E8">
        <v>922</v>
      </c>
      <c r="F8">
        <v>577</v>
      </c>
      <c r="G8">
        <v>5.3425925925925926</v>
      </c>
      <c r="H8">
        <v>108</v>
      </c>
      <c r="I8">
        <v>0.1871750433275563</v>
      </c>
      <c r="J8">
        <v>9.2087125453482965</v>
      </c>
      <c r="K8">
        <v>1.1816188295449701</v>
      </c>
      <c r="L8">
        <v>1052.9777777786201</v>
      </c>
      <c r="M8">
        <v>1.6895061729864549</v>
      </c>
    </row>
    <row r="9" spans="1:13">
      <c r="A9" t="s">
        <v>13</v>
      </c>
      <c r="B9">
        <v>6</v>
      </c>
      <c r="C9">
        <v>7</v>
      </c>
      <c r="D9">
        <v>1426</v>
      </c>
      <c r="E9">
        <v>935</v>
      </c>
      <c r="F9">
        <v>596</v>
      </c>
      <c r="G9">
        <v>5.0940170940170937</v>
      </c>
      <c r="H9">
        <v>117</v>
      </c>
      <c r="I9">
        <v>0.19630872483221479</v>
      </c>
      <c r="J9">
        <v>9.6213903743315825</v>
      </c>
      <c r="K9">
        <v>1.2124745850401599</v>
      </c>
      <c r="L9">
        <v>842.44444444511498</v>
      </c>
      <c r="M9">
        <v>1.0984567902710221</v>
      </c>
    </row>
    <row r="10" spans="1:13">
      <c r="A10" t="s">
        <v>13</v>
      </c>
      <c r="B10">
        <v>6</v>
      </c>
      <c r="C10">
        <v>8</v>
      </c>
      <c r="D10">
        <v>1422</v>
      </c>
      <c r="E10">
        <v>944</v>
      </c>
      <c r="F10">
        <v>582</v>
      </c>
      <c r="G10">
        <v>5.243243243243243</v>
      </c>
      <c r="H10">
        <v>111</v>
      </c>
      <c r="I10">
        <v>0.1907216494845361</v>
      </c>
      <c r="J10">
        <v>9.2822078036555187</v>
      </c>
      <c r="K10">
        <v>1.2155965540757601</v>
      </c>
      <c r="L10">
        <v>842.66666666493597</v>
      </c>
      <c r="M10">
        <v>1.305864197678017</v>
      </c>
    </row>
    <row r="11" spans="1:13">
      <c r="A11" t="s">
        <v>13</v>
      </c>
      <c r="B11">
        <v>6</v>
      </c>
      <c r="C11">
        <v>9</v>
      </c>
      <c r="D11">
        <v>1423</v>
      </c>
      <c r="E11">
        <v>922</v>
      </c>
      <c r="F11">
        <v>578</v>
      </c>
      <c r="G11">
        <v>5.2545454545454549</v>
      </c>
      <c r="H11">
        <v>110</v>
      </c>
      <c r="I11">
        <v>0.19031141868512111</v>
      </c>
      <c r="J11">
        <v>9.5552728685528638</v>
      </c>
      <c r="K11">
        <v>1.2136366999475601</v>
      </c>
      <c r="L11">
        <v>965.86666666693395</v>
      </c>
      <c r="M11">
        <v>1.217901234714946</v>
      </c>
    </row>
    <row r="12" spans="1:13">
      <c r="A12" t="s">
        <v>14</v>
      </c>
      <c r="B12">
        <v>6</v>
      </c>
      <c r="C12">
        <v>0</v>
      </c>
      <c r="D12">
        <v>999</v>
      </c>
      <c r="E12">
        <v>669</v>
      </c>
      <c r="F12">
        <v>433</v>
      </c>
      <c r="G12">
        <v>5.7733333333333334</v>
      </c>
      <c r="H12">
        <v>75</v>
      </c>
      <c r="I12">
        <v>0.17321016166281761</v>
      </c>
      <c r="J12">
        <v>9.7862481315396117</v>
      </c>
      <c r="K12">
        <v>1.2186980691210001</v>
      </c>
      <c r="L12">
        <v>750.84444444120095</v>
      </c>
      <c r="M12">
        <v>30.625</v>
      </c>
    </row>
    <row r="13" spans="1:13">
      <c r="A13" t="s">
        <v>14</v>
      </c>
      <c r="B13">
        <v>6</v>
      </c>
      <c r="C13">
        <v>1</v>
      </c>
      <c r="D13">
        <v>369</v>
      </c>
      <c r="E13">
        <v>248</v>
      </c>
      <c r="F13">
        <v>142</v>
      </c>
      <c r="G13">
        <v>5.4615384615384617</v>
      </c>
      <c r="H13">
        <v>26</v>
      </c>
      <c r="I13">
        <v>0.18309859154929581</v>
      </c>
      <c r="J13">
        <v>7.67741935483871</v>
      </c>
      <c r="K13">
        <v>1.0778160737741</v>
      </c>
      <c r="L13">
        <v>451.11111111147</v>
      </c>
      <c r="M13">
        <v>74.375</v>
      </c>
    </row>
    <row r="14" spans="1:13">
      <c r="A14" t="s">
        <v>14</v>
      </c>
      <c r="B14">
        <v>6</v>
      </c>
      <c r="C14">
        <v>2</v>
      </c>
      <c r="D14">
        <v>1071</v>
      </c>
      <c r="E14">
        <v>734</v>
      </c>
      <c r="F14">
        <v>466</v>
      </c>
      <c r="G14">
        <v>5.7530864197530862</v>
      </c>
      <c r="H14">
        <v>81</v>
      </c>
      <c r="I14">
        <v>0.1738197424892704</v>
      </c>
      <c r="J14">
        <v>9.3855585831062669</v>
      </c>
      <c r="K14">
        <v>1.18518161941221</v>
      </c>
      <c r="L14">
        <v>824.97777778161799</v>
      </c>
      <c r="M14">
        <v>25.625</v>
      </c>
    </row>
    <row r="15" spans="1:13">
      <c r="A15" t="s">
        <v>14</v>
      </c>
      <c r="B15">
        <v>6</v>
      </c>
      <c r="C15">
        <v>3</v>
      </c>
      <c r="D15">
        <v>977</v>
      </c>
      <c r="E15">
        <v>640</v>
      </c>
      <c r="F15">
        <v>402</v>
      </c>
      <c r="G15">
        <v>5.506849315068493</v>
      </c>
      <c r="H15">
        <v>73</v>
      </c>
      <c r="I15">
        <v>0.181592039800995</v>
      </c>
      <c r="J15">
        <v>10.39843750000002</v>
      </c>
      <c r="K15">
        <v>1.31706696941908</v>
      </c>
      <c r="L15">
        <v>681.15555555559604</v>
      </c>
      <c r="M15">
        <v>32.152777777777779</v>
      </c>
    </row>
    <row r="16" spans="1:13">
      <c r="A16" t="s">
        <v>14</v>
      </c>
      <c r="B16">
        <v>6</v>
      </c>
      <c r="C16">
        <v>4</v>
      </c>
      <c r="D16">
        <v>1017</v>
      </c>
      <c r="E16">
        <v>668</v>
      </c>
      <c r="F16">
        <v>411</v>
      </c>
      <c r="G16">
        <v>5.788732394366197</v>
      </c>
      <c r="H16">
        <v>71</v>
      </c>
      <c r="I16">
        <v>0.1727493917274939</v>
      </c>
      <c r="J16">
        <v>9.4940119760479043</v>
      </c>
      <c r="K16">
        <v>1.22922539583845</v>
      </c>
      <c r="L16">
        <v>832.71111111177402</v>
      </c>
      <c r="M16">
        <v>29.375</v>
      </c>
    </row>
    <row r="17" spans="1:13">
      <c r="A17" t="s">
        <v>14</v>
      </c>
      <c r="B17">
        <v>6</v>
      </c>
      <c r="C17">
        <v>5</v>
      </c>
      <c r="D17">
        <v>963</v>
      </c>
      <c r="E17">
        <v>634</v>
      </c>
      <c r="F17">
        <v>393</v>
      </c>
      <c r="G17">
        <v>5.3835616438356162</v>
      </c>
      <c r="H17">
        <v>73</v>
      </c>
      <c r="I17">
        <v>0.18575063613231549</v>
      </c>
      <c r="J17">
        <v>10.26971608832809</v>
      </c>
      <c r="K17">
        <v>1.3202562280204799</v>
      </c>
      <c r="L17">
        <v>783.95555555567796</v>
      </c>
      <c r="M17">
        <v>33.125</v>
      </c>
    </row>
    <row r="18" spans="1:13">
      <c r="A18" t="s">
        <v>14</v>
      </c>
      <c r="B18">
        <v>6</v>
      </c>
      <c r="C18">
        <v>6</v>
      </c>
      <c r="D18">
        <v>929</v>
      </c>
      <c r="E18">
        <v>604</v>
      </c>
      <c r="F18">
        <v>383</v>
      </c>
      <c r="G18">
        <v>5.0394736842105274</v>
      </c>
      <c r="H18">
        <v>76</v>
      </c>
      <c r="I18">
        <v>0.19843342036553521</v>
      </c>
      <c r="J18">
        <v>11.253311258278149</v>
      </c>
      <c r="K18">
        <v>1.4217215087538799</v>
      </c>
      <c r="L18">
        <v>726.75555555563301</v>
      </c>
      <c r="M18">
        <v>35.486111111111107</v>
      </c>
    </row>
    <row r="19" spans="1:13">
      <c r="A19" t="s">
        <v>14</v>
      </c>
      <c r="B19">
        <v>6</v>
      </c>
      <c r="C19">
        <v>7</v>
      </c>
      <c r="D19">
        <v>1059</v>
      </c>
      <c r="E19">
        <v>709</v>
      </c>
      <c r="F19">
        <v>439</v>
      </c>
      <c r="G19">
        <v>5.556962025316456</v>
      </c>
      <c r="H19">
        <v>79</v>
      </c>
      <c r="I19">
        <v>0.17995444191343959</v>
      </c>
      <c r="J19">
        <v>9.5077574047954858</v>
      </c>
      <c r="K19">
        <v>1.23852310071767</v>
      </c>
      <c r="L19">
        <v>779.24444444107803</v>
      </c>
      <c r="M19">
        <v>26.458333333333339</v>
      </c>
    </row>
    <row r="20" spans="1:13">
      <c r="A20" t="s">
        <v>14</v>
      </c>
      <c r="B20">
        <v>6</v>
      </c>
      <c r="C20">
        <v>8</v>
      </c>
      <c r="D20">
        <v>444</v>
      </c>
      <c r="E20">
        <v>301</v>
      </c>
      <c r="F20">
        <v>176</v>
      </c>
      <c r="G20">
        <v>5.8666666666666663</v>
      </c>
      <c r="H20">
        <v>30</v>
      </c>
      <c r="I20">
        <v>0.17045454545454539</v>
      </c>
      <c r="J20">
        <v>11.11960132890362</v>
      </c>
      <c r="K20">
        <v>1.5106684536842401</v>
      </c>
      <c r="L20">
        <v>582.75555555585697</v>
      </c>
      <c r="M20">
        <v>69.166666666666671</v>
      </c>
    </row>
    <row r="21" spans="1:13">
      <c r="A21" t="s">
        <v>14</v>
      </c>
      <c r="B21">
        <v>6</v>
      </c>
      <c r="C21">
        <v>9</v>
      </c>
      <c r="D21">
        <v>1000</v>
      </c>
      <c r="E21">
        <v>660</v>
      </c>
      <c r="F21">
        <v>401</v>
      </c>
      <c r="G21">
        <v>5.493150684931507</v>
      </c>
      <c r="H21">
        <v>73</v>
      </c>
      <c r="I21">
        <v>0.18204488778054859</v>
      </c>
      <c r="J21">
        <v>10.08333333333335</v>
      </c>
      <c r="K21">
        <v>1.33247746196441</v>
      </c>
      <c r="L21">
        <v>713.11111111167895</v>
      </c>
      <c r="M21">
        <v>30.555555555555561</v>
      </c>
    </row>
    <row r="22" spans="1:13">
      <c r="A22" t="s">
        <v>15</v>
      </c>
      <c r="B22">
        <v>6</v>
      </c>
      <c r="C22">
        <v>0</v>
      </c>
      <c r="D22">
        <v>369</v>
      </c>
      <c r="E22">
        <v>249</v>
      </c>
      <c r="F22">
        <v>152</v>
      </c>
      <c r="G22">
        <v>6.333333333333333</v>
      </c>
      <c r="H22">
        <v>24</v>
      </c>
      <c r="I22">
        <v>0.15789473684210531</v>
      </c>
      <c r="J22">
        <v>7.1847389558232528</v>
      </c>
      <c r="K22">
        <v>0.96331546641473498</v>
      </c>
      <c r="L22">
        <v>391.77777777787497</v>
      </c>
      <c r="M22">
        <v>74.375</v>
      </c>
    </row>
    <row r="23" spans="1:13">
      <c r="A23" t="s">
        <v>15</v>
      </c>
      <c r="B23">
        <v>6</v>
      </c>
      <c r="C23">
        <v>1</v>
      </c>
      <c r="D23">
        <v>1121</v>
      </c>
      <c r="E23">
        <v>732</v>
      </c>
      <c r="F23">
        <v>467</v>
      </c>
      <c r="G23">
        <v>5.3678160919540234</v>
      </c>
      <c r="H23">
        <v>87</v>
      </c>
      <c r="I23">
        <v>0.1862955032119914</v>
      </c>
      <c r="J23">
        <v>9.8592896174863522</v>
      </c>
      <c r="K23">
        <v>1.2310590482124999</v>
      </c>
      <c r="L23">
        <v>853.68888888915603</v>
      </c>
      <c r="M23">
        <v>22.152777777777779</v>
      </c>
    </row>
    <row r="24" spans="1:13">
      <c r="A24" t="s">
        <v>15</v>
      </c>
      <c r="B24">
        <v>6</v>
      </c>
      <c r="C24">
        <v>2</v>
      </c>
      <c r="D24">
        <v>1270</v>
      </c>
      <c r="E24">
        <v>859</v>
      </c>
      <c r="F24">
        <v>559</v>
      </c>
      <c r="G24">
        <v>5.6464646464646462</v>
      </c>
      <c r="H24">
        <v>99</v>
      </c>
      <c r="I24">
        <v>0.17710196779964221</v>
      </c>
      <c r="J24">
        <v>8.8707799767171238</v>
      </c>
      <c r="K24">
        <v>1.0967304548565</v>
      </c>
      <c r="L24">
        <v>747.51111111442401</v>
      </c>
      <c r="M24">
        <v>11.805555555555561</v>
      </c>
    </row>
    <row r="25" spans="1:13">
      <c r="A25" t="s">
        <v>15</v>
      </c>
      <c r="B25">
        <v>6</v>
      </c>
      <c r="C25">
        <v>3</v>
      </c>
      <c r="D25">
        <v>1304</v>
      </c>
      <c r="E25">
        <v>841</v>
      </c>
      <c r="F25">
        <v>539</v>
      </c>
      <c r="G25">
        <v>5.1826923076923066</v>
      </c>
      <c r="H25">
        <v>104</v>
      </c>
      <c r="I25">
        <v>0.1929499072356215</v>
      </c>
      <c r="J25">
        <v>9.3067776456599525</v>
      </c>
      <c r="K25">
        <v>1.17111664636979</v>
      </c>
      <c r="L25">
        <v>845.91111110797601</v>
      </c>
      <c r="M25">
        <v>9.5123456791595764</v>
      </c>
    </row>
    <row r="26" spans="1:13">
      <c r="A26" t="s">
        <v>15</v>
      </c>
      <c r="B26">
        <v>6</v>
      </c>
      <c r="C26">
        <v>4</v>
      </c>
      <c r="D26">
        <v>1297</v>
      </c>
      <c r="E26">
        <v>853</v>
      </c>
      <c r="F26">
        <v>541</v>
      </c>
      <c r="G26">
        <v>5.1037735849056602</v>
      </c>
      <c r="H26">
        <v>106</v>
      </c>
      <c r="I26">
        <v>0.1959334565619224</v>
      </c>
      <c r="J26">
        <v>9.2262602579132587</v>
      </c>
      <c r="K26">
        <v>1.1592510527959701</v>
      </c>
      <c r="L26">
        <v>813.11111111138496</v>
      </c>
      <c r="M26">
        <v>10.00216049397441</v>
      </c>
    </row>
    <row r="27" spans="1:13">
      <c r="A27" t="s">
        <v>15</v>
      </c>
      <c r="B27">
        <v>6</v>
      </c>
      <c r="C27">
        <v>5</v>
      </c>
      <c r="D27">
        <v>1339</v>
      </c>
      <c r="E27">
        <v>865</v>
      </c>
      <c r="F27">
        <v>561</v>
      </c>
      <c r="G27">
        <v>5.0999999999999996</v>
      </c>
      <c r="H27">
        <v>110</v>
      </c>
      <c r="I27">
        <v>0.19607843137254899</v>
      </c>
      <c r="J27">
        <v>9.7175311540927751</v>
      </c>
      <c r="K27">
        <v>1.19792408078364</v>
      </c>
      <c r="L27">
        <v>873.02222222291698</v>
      </c>
      <c r="M27">
        <v>7.0728395063200056</v>
      </c>
    </row>
    <row r="28" spans="1:13">
      <c r="A28" t="s">
        <v>15</v>
      </c>
      <c r="B28">
        <v>6</v>
      </c>
      <c r="C28">
        <v>6</v>
      </c>
      <c r="D28">
        <v>994</v>
      </c>
      <c r="E28">
        <v>653</v>
      </c>
      <c r="F28">
        <v>410</v>
      </c>
      <c r="G28">
        <v>5.2564102564102564</v>
      </c>
      <c r="H28">
        <v>78</v>
      </c>
      <c r="I28">
        <v>0.19024390243902439</v>
      </c>
      <c r="J28">
        <v>10.48545176110262</v>
      </c>
      <c r="K28">
        <v>1.34194554401291</v>
      </c>
      <c r="L28">
        <v>768.97777777762599</v>
      </c>
      <c r="M28">
        <v>30.972222222222221</v>
      </c>
    </row>
    <row r="29" spans="1:13">
      <c r="A29" t="s">
        <v>15</v>
      </c>
      <c r="B29">
        <v>6</v>
      </c>
      <c r="C29">
        <v>7</v>
      </c>
      <c r="D29">
        <v>1377</v>
      </c>
      <c r="E29">
        <v>912</v>
      </c>
      <c r="F29">
        <v>582</v>
      </c>
      <c r="G29">
        <v>5.4905660377358494</v>
      </c>
      <c r="H29">
        <v>106</v>
      </c>
      <c r="I29">
        <v>0.18213058419243991</v>
      </c>
      <c r="J29">
        <v>9.3040296052283651</v>
      </c>
      <c r="K29">
        <v>1.17233566099946</v>
      </c>
      <c r="L29">
        <v>836.53333333827902</v>
      </c>
      <c r="M29">
        <v>4.4827160495301737</v>
      </c>
    </row>
    <row r="30" spans="1:13">
      <c r="A30" t="s">
        <v>15</v>
      </c>
      <c r="B30">
        <v>6</v>
      </c>
      <c r="C30">
        <v>8</v>
      </c>
      <c r="D30">
        <v>1242</v>
      </c>
      <c r="E30">
        <v>818</v>
      </c>
      <c r="F30">
        <v>517</v>
      </c>
      <c r="G30">
        <v>5.2755102040816331</v>
      </c>
      <c r="H30">
        <v>98</v>
      </c>
      <c r="I30">
        <v>0.1895551257253385</v>
      </c>
      <c r="J30">
        <v>8.9486552567237414</v>
      </c>
      <c r="K30">
        <v>1.13145559142826</v>
      </c>
      <c r="L30">
        <v>873.86666667183295</v>
      </c>
      <c r="M30">
        <v>13.803086419900209</v>
      </c>
    </row>
    <row r="31" spans="1:13">
      <c r="A31" t="s">
        <v>15</v>
      </c>
      <c r="B31">
        <v>6</v>
      </c>
      <c r="C31">
        <v>9</v>
      </c>
      <c r="D31">
        <v>1049</v>
      </c>
      <c r="E31">
        <v>691</v>
      </c>
      <c r="F31">
        <v>429</v>
      </c>
      <c r="G31">
        <v>5.5</v>
      </c>
      <c r="H31">
        <v>78</v>
      </c>
      <c r="I31">
        <v>0.1818181818181818</v>
      </c>
      <c r="J31">
        <v>9.7959479015918962</v>
      </c>
      <c r="K31">
        <v>1.2678077638085701</v>
      </c>
      <c r="L31">
        <v>751.51111111170906</v>
      </c>
      <c r="M31">
        <v>27.152777777777779</v>
      </c>
    </row>
    <row r="32" spans="1:13">
      <c r="A32" t="s">
        <v>16</v>
      </c>
      <c r="B32">
        <v>6</v>
      </c>
      <c r="C32">
        <v>0</v>
      </c>
      <c r="D32">
        <v>1403</v>
      </c>
      <c r="E32">
        <v>917</v>
      </c>
      <c r="F32">
        <v>591</v>
      </c>
      <c r="G32">
        <v>5.5233644859813076</v>
      </c>
      <c r="H32">
        <v>107</v>
      </c>
      <c r="I32">
        <v>0.18104906937394249</v>
      </c>
      <c r="J32">
        <v>9.1751785545771867</v>
      </c>
      <c r="K32">
        <v>1.13970856997248</v>
      </c>
      <c r="L32">
        <v>815.24444444926405</v>
      </c>
      <c r="M32">
        <v>2.6799382717524169</v>
      </c>
    </row>
    <row r="33" spans="1:13">
      <c r="A33" t="s">
        <v>16</v>
      </c>
      <c r="B33">
        <v>6</v>
      </c>
      <c r="C33">
        <v>1</v>
      </c>
      <c r="D33">
        <v>1299</v>
      </c>
      <c r="E33">
        <v>842</v>
      </c>
      <c r="F33">
        <v>517</v>
      </c>
      <c r="G33">
        <v>5.3298969072164946</v>
      </c>
      <c r="H33">
        <v>97</v>
      </c>
      <c r="I33">
        <v>0.18762088974854929</v>
      </c>
      <c r="J33">
        <v>8.9732066095802381</v>
      </c>
      <c r="K33">
        <v>1.1753875572655299</v>
      </c>
      <c r="L33">
        <v>882.48888888507599</v>
      </c>
      <c r="M33">
        <v>9.8453703705175055</v>
      </c>
    </row>
    <row r="34" spans="1:13">
      <c r="A34" t="s">
        <v>16</v>
      </c>
      <c r="B34">
        <v>6</v>
      </c>
      <c r="C34">
        <v>2</v>
      </c>
      <c r="D34">
        <v>1334</v>
      </c>
      <c r="E34">
        <v>901</v>
      </c>
      <c r="F34">
        <v>561</v>
      </c>
      <c r="G34">
        <v>5.1467889908256881</v>
      </c>
      <c r="H34">
        <v>109</v>
      </c>
      <c r="I34">
        <v>0.1942959001782531</v>
      </c>
      <c r="J34">
        <v>9.205188679209968</v>
      </c>
      <c r="K34">
        <v>1.1971036236322701</v>
      </c>
      <c r="L34">
        <v>745.37777777787005</v>
      </c>
      <c r="M34">
        <v>7.4000000001470561</v>
      </c>
    </row>
    <row r="35" spans="1:13">
      <c r="A35" t="s">
        <v>16</v>
      </c>
      <c r="B35">
        <v>6</v>
      </c>
      <c r="C35">
        <v>3</v>
      </c>
      <c r="D35">
        <v>1121</v>
      </c>
      <c r="E35">
        <v>731</v>
      </c>
      <c r="F35">
        <v>474</v>
      </c>
      <c r="G35">
        <v>5.7804878048780486</v>
      </c>
      <c r="H35">
        <v>82</v>
      </c>
      <c r="I35">
        <v>0.1729957805907173</v>
      </c>
      <c r="J35">
        <v>9.3296853625171128</v>
      </c>
      <c r="K35">
        <v>1.1543789997719001</v>
      </c>
      <c r="L35">
        <v>754.17777777452</v>
      </c>
      <c r="M35">
        <v>22.152777777777779</v>
      </c>
    </row>
    <row r="36" spans="1:13">
      <c r="A36" t="s">
        <v>16</v>
      </c>
      <c r="B36">
        <v>6</v>
      </c>
      <c r="C36">
        <v>4</v>
      </c>
      <c r="D36">
        <v>1371</v>
      </c>
      <c r="E36">
        <v>900</v>
      </c>
      <c r="F36">
        <v>561</v>
      </c>
      <c r="G36">
        <v>5.2924528301886804</v>
      </c>
      <c r="H36">
        <v>106</v>
      </c>
      <c r="I36">
        <v>0.18894830659536541</v>
      </c>
      <c r="J36">
        <v>9.3506018518165224</v>
      </c>
      <c r="K36">
        <v>1.1998473792544799</v>
      </c>
      <c r="L36">
        <v>897.28888888910205</v>
      </c>
      <c r="M36">
        <v>4.8876543211350416</v>
      </c>
    </row>
    <row r="37" spans="1:13">
      <c r="A37" t="s">
        <v>16</v>
      </c>
      <c r="B37">
        <v>6</v>
      </c>
      <c r="C37">
        <v>5</v>
      </c>
      <c r="D37">
        <v>1351</v>
      </c>
      <c r="E37">
        <v>889</v>
      </c>
      <c r="F37">
        <v>569</v>
      </c>
      <c r="G37">
        <v>5.1261261261261257</v>
      </c>
      <c r="H37">
        <v>111</v>
      </c>
      <c r="I37">
        <v>0.19507908611599301</v>
      </c>
      <c r="J37">
        <v>9.6262279758290212</v>
      </c>
      <c r="K37">
        <v>1.20018354544976</v>
      </c>
      <c r="L37">
        <v>813.51111111150601</v>
      </c>
      <c r="M37">
        <v>6.2459876544681947</v>
      </c>
    </row>
    <row r="38" spans="1:13">
      <c r="A38" t="s">
        <v>16</v>
      </c>
      <c r="B38">
        <v>6</v>
      </c>
      <c r="C38">
        <v>6</v>
      </c>
      <c r="D38">
        <v>396</v>
      </c>
      <c r="E38">
        <v>260</v>
      </c>
      <c r="F38">
        <v>148</v>
      </c>
      <c r="G38">
        <v>5.6923076923076934</v>
      </c>
      <c r="H38">
        <v>26</v>
      </c>
      <c r="I38">
        <v>0.17567567567567571</v>
      </c>
      <c r="J38">
        <v>7.565384615384577</v>
      </c>
      <c r="K38">
        <v>1.0622819903773799</v>
      </c>
      <c r="L38">
        <v>465.33333333326198</v>
      </c>
      <c r="M38">
        <v>72.5</v>
      </c>
    </row>
    <row r="39" spans="1:13">
      <c r="A39" t="s">
        <v>16</v>
      </c>
      <c r="B39">
        <v>6</v>
      </c>
      <c r="C39">
        <v>7</v>
      </c>
      <c r="D39">
        <v>1416</v>
      </c>
      <c r="E39">
        <v>932</v>
      </c>
      <c r="F39">
        <v>588</v>
      </c>
      <c r="G39">
        <v>5.70873786407767</v>
      </c>
      <c r="H39">
        <v>103</v>
      </c>
      <c r="I39">
        <v>0.17517006802721091</v>
      </c>
      <c r="J39">
        <v>8.9415683118399887</v>
      </c>
      <c r="K39">
        <v>1.13390309356261</v>
      </c>
      <c r="L39">
        <v>799.68888889361597</v>
      </c>
      <c r="M39">
        <v>1.717283950764396</v>
      </c>
    </row>
    <row r="40" spans="1:13">
      <c r="A40" t="s">
        <v>16</v>
      </c>
      <c r="B40">
        <v>6</v>
      </c>
      <c r="C40">
        <v>8</v>
      </c>
      <c r="D40">
        <v>1249</v>
      </c>
      <c r="E40">
        <v>823</v>
      </c>
      <c r="F40">
        <v>519</v>
      </c>
      <c r="G40">
        <v>5.40625</v>
      </c>
      <c r="H40">
        <v>96</v>
      </c>
      <c r="I40">
        <v>0.18497109826589589</v>
      </c>
      <c r="J40">
        <v>8.8955042527339128</v>
      </c>
      <c r="K40">
        <v>1.1357673239020201</v>
      </c>
      <c r="L40">
        <v>843.24444444497897</v>
      </c>
      <c r="M40">
        <v>13.29598765446797</v>
      </c>
    </row>
    <row r="41" spans="1:13">
      <c r="A41" t="s">
        <v>16</v>
      </c>
      <c r="B41">
        <v>6</v>
      </c>
      <c r="C41">
        <v>9</v>
      </c>
      <c r="D41">
        <v>1219</v>
      </c>
      <c r="E41">
        <v>791</v>
      </c>
      <c r="F41">
        <v>506</v>
      </c>
      <c r="G41">
        <v>5.75</v>
      </c>
      <c r="H41">
        <v>88</v>
      </c>
      <c r="I41">
        <v>0.17391304347826089</v>
      </c>
      <c r="J41">
        <v>8.7231352718078377</v>
      </c>
      <c r="K41">
        <v>1.08882312763216</v>
      </c>
      <c r="L41">
        <v>856.08888888519004</v>
      </c>
      <c r="M41">
        <v>15.34722222222222</v>
      </c>
    </row>
    <row r="42" spans="1:13">
      <c r="A42" t="s">
        <v>17</v>
      </c>
      <c r="B42">
        <v>6</v>
      </c>
      <c r="C42">
        <v>0</v>
      </c>
      <c r="D42">
        <v>1419</v>
      </c>
      <c r="E42">
        <v>920</v>
      </c>
      <c r="F42">
        <v>598</v>
      </c>
      <c r="G42">
        <v>5.6415094339622636</v>
      </c>
      <c r="H42">
        <v>106</v>
      </c>
      <c r="I42">
        <v>0.17725752508361201</v>
      </c>
      <c r="J42">
        <v>9.5567782767906735</v>
      </c>
      <c r="K42">
        <v>1.16739545531926</v>
      </c>
      <c r="L42">
        <v>832.93333333229998</v>
      </c>
      <c r="M42">
        <v>1.518518518665696</v>
      </c>
    </row>
    <row r="43" spans="1:13">
      <c r="A43" t="s">
        <v>17</v>
      </c>
      <c r="B43">
        <v>6</v>
      </c>
      <c r="C43">
        <v>1</v>
      </c>
      <c r="D43">
        <v>1422</v>
      </c>
      <c r="E43">
        <v>918</v>
      </c>
      <c r="F43">
        <v>570</v>
      </c>
      <c r="G43">
        <v>5.5882352941176467</v>
      </c>
      <c r="H43">
        <v>102</v>
      </c>
      <c r="I43">
        <v>0.1789473684210526</v>
      </c>
      <c r="J43">
        <v>9.0533519888555229</v>
      </c>
      <c r="K43">
        <v>1.1597471284960099</v>
      </c>
      <c r="L43">
        <v>909.55555555599301</v>
      </c>
      <c r="M43">
        <v>1.267901234714834</v>
      </c>
    </row>
    <row r="44" spans="1:13">
      <c r="A44" t="s">
        <v>17</v>
      </c>
      <c r="B44">
        <v>6</v>
      </c>
      <c r="C44">
        <v>2</v>
      </c>
      <c r="D44">
        <v>1419</v>
      </c>
      <c r="E44">
        <v>961</v>
      </c>
      <c r="F44">
        <v>605</v>
      </c>
      <c r="G44">
        <v>5.9900990099009901</v>
      </c>
      <c r="H44">
        <v>101</v>
      </c>
      <c r="I44">
        <v>0.16694214876033059</v>
      </c>
      <c r="J44">
        <v>8.6607700312175027</v>
      </c>
      <c r="K44">
        <v>1.0981615495797099</v>
      </c>
      <c r="L44">
        <v>856.26666667172901</v>
      </c>
      <c r="M44">
        <v>1.524691358171903</v>
      </c>
    </row>
    <row r="45" spans="1:13">
      <c r="A45" t="s">
        <v>17</v>
      </c>
      <c r="B45">
        <v>6</v>
      </c>
      <c r="C45">
        <v>3</v>
      </c>
      <c r="D45">
        <v>1421</v>
      </c>
      <c r="E45">
        <v>932</v>
      </c>
      <c r="F45">
        <v>593</v>
      </c>
      <c r="G45">
        <v>5.7019230769230766</v>
      </c>
      <c r="H45">
        <v>104</v>
      </c>
      <c r="I45">
        <v>0.1753794266441821</v>
      </c>
      <c r="J45">
        <v>8.9265218168608271</v>
      </c>
      <c r="K45">
        <v>1.1325600356990999</v>
      </c>
      <c r="L45">
        <v>881.06666667187505</v>
      </c>
      <c r="M45">
        <v>1.3654320989125259</v>
      </c>
    </row>
    <row r="46" spans="1:13">
      <c r="A46" t="s">
        <v>17</v>
      </c>
      <c r="B46">
        <v>6</v>
      </c>
      <c r="C46">
        <v>4</v>
      </c>
      <c r="D46">
        <v>1423</v>
      </c>
      <c r="E46">
        <v>936</v>
      </c>
      <c r="F46">
        <v>584</v>
      </c>
      <c r="G46">
        <v>5.5619047619047617</v>
      </c>
      <c r="H46">
        <v>105</v>
      </c>
      <c r="I46">
        <v>0.1797945205479452</v>
      </c>
      <c r="J46">
        <v>9.1410256410256618</v>
      </c>
      <c r="K46">
        <v>1.17160610064062</v>
      </c>
      <c r="L46">
        <v>787.866666667294</v>
      </c>
      <c r="M46">
        <v>1.273765432246138</v>
      </c>
    </row>
    <row r="47" spans="1:13">
      <c r="A47" t="s">
        <v>17</v>
      </c>
      <c r="B47">
        <v>6</v>
      </c>
      <c r="C47">
        <v>5</v>
      </c>
      <c r="D47">
        <v>1427</v>
      </c>
      <c r="E47">
        <v>931</v>
      </c>
      <c r="F47">
        <v>588</v>
      </c>
      <c r="G47">
        <v>5.70873786407767</v>
      </c>
      <c r="H47">
        <v>103</v>
      </c>
      <c r="I47">
        <v>0.17517006802721091</v>
      </c>
      <c r="J47">
        <v>9.0086758521424599</v>
      </c>
      <c r="K47">
        <v>1.13560217857955</v>
      </c>
      <c r="L47">
        <v>876.57777777797401</v>
      </c>
      <c r="M47">
        <v>0.98179012360408202</v>
      </c>
    </row>
    <row r="48" spans="1:13">
      <c r="A48" t="s">
        <v>17</v>
      </c>
      <c r="B48">
        <v>6</v>
      </c>
      <c r="C48">
        <v>6</v>
      </c>
      <c r="D48">
        <v>1416</v>
      </c>
      <c r="E48">
        <v>925</v>
      </c>
      <c r="F48">
        <v>585</v>
      </c>
      <c r="G48">
        <v>5.85</v>
      </c>
      <c r="H48">
        <v>100</v>
      </c>
      <c r="I48">
        <v>0.17094017094017089</v>
      </c>
      <c r="J48">
        <v>8.9720993034630379</v>
      </c>
      <c r="K48">
        <v>1.1423671012237899</v>
      </c>
      <c r="L48">
        <v>926.75555555155199</v>
      </c>
      <c r="M48">
        <v>1.757407407554769</v>
      </c>
    </row>
    <row r="49" spans="1:13">
      <c r="A49" t="s">
        <v>17</v>
      </c>
      <c r="B49">
        <v>6</v>
      </c>
      <c r="C49">
        <v>7</v>
      </c>
      <c r="D49">
        <v>1429</v>
      </c>
      <c r="E49">
        <v>937</v>
      </c>
      <c r="F49">
        <v>599</v>
      </c>
      <c r="G49">
        <v>6.0505050505050502</v>
      </c>
      <c r="H49">
        <v>99</v>
      </c>
      <c r="I49">
        <v>0.1652754590984975</v>
      </c>
      <c r="J49">
        <v>8.9376778726262334</v>
      </c>
      <c r="K49">
        <v>1.11689500270112</v>
      </c>
      <c r="L49">
        <v>876.97777778296199</v>
      </c>
      <c r="M49">
        <v>0.84012345693739032</v>
      </c>
    </row>
    <row r="50" spans="1:13">
      <c r="A50" t="s">
        <v>17</v>
      </c>
      <c r="B50">
        <v>6</v>
      </c>
      <c r="C50">
        <v>8</v>
      </c>
      <c r="D50">
        <v>1422</v>
      </c>
      <c r="E50">
        <v>933</v>
      </c>
      <c r="F50">
        <v>590</v>
      </c>
      <c r="G50">
        <v>5.8415841584158414</v>
      </c>
      <c r="H50">
        <v>101</v>
      </c>
      <c r="I50">
        <v>0.1711864406779661</v>
      </c>
      <c r="J50">
        <v>9.1351327896492176</v>
      </c>
      <c r="K50">
        <v>1.1652183887699299</v>
      </c>
      <c r="L50">
        <v>841.91111111608802</v>
      </c>
      <c r="M50">
        <v>1.3503086421227239</v>
      </c>
    </row>
    <row r="51" spans="1:13">
      <c r="A51" t="s">
        <v>17</v>
      </c>
      <c r="B51">
        <v>6</v>
      </c>
      <c r="C51">
        <v>9</v>
      </c>
      <c r="D51">
        <v>1424</v>
      </c>
      <c r="E51">
        <v>929</v>
      </c>
      <c r="F51">
        <v>586</v>
      </c>
      <c r="G51">
        <v>5.7450980392156863</v>
      </c>
      <c r="H51">
        <v>102</v>
      </c>
      <c r="I51">
        <v>0.17406143344709901</v>
      </c>
      <c r="J51">
        <v>9.1606575544112392</v>
      </c>
      <c r="K51">
        <v>1.1578264248061301</v>
      </c>
      <c r="L51">
        <v>876.88888888908502</v>
      </c>
      <c r="M51">
        <v>1.1851851853324471</v>
      </c>
    </row>
    <row r="52" spans="1:13">
      <c r="A52" t="s">
        <v>18</v>
      </c>
      <c r="B52">
        <v>6</v>
      </c>
      <c r="C52">
        <v>0</v>
      </c>
      <c r="D52">
        <v>1425</v>
      </c>
      <c r="E52">
        <v>933</v>
      </c>
      <c r="F52">
        <v>608</v>
      </c>
      <c r="G52">
        <v>5.6822429906542054</v>
      </c>
      <c r="H52">
        <v>107</v>
      </c>
      <c r="I52">
        <v>0.17598684210526319</v>
      </c>
      <c r="J52">
        <v>9.4405880117267209</v>
      </c>
      <c r="K52">
        <v>1.1538823645521099</v>
      </c>
      <c r="L52">
        <v>810.84444444458802</v>
      </c>
      <c r="M52">
        <v>1.0777777779248059</v>
      </c>
    </row>
    <row r="53" spans="1:13">
      <c r="A53" t="s">
        <v>18</v>
      </c>
      <c r="B53">
        <v>6</v>
      </c>
      <c r="C53">
        <v>1</v>
      </c>
      <c r="D53">
        <v>1424</v>
      </c>
      <c r="E53">
        <v>922</v>
      </c>
      <c r="F53">
        <v>570</v>
      </c>
      <c r="G53">
        <v>5.5882352941176467</v>
      </c>
      <c r="H53">
        <v>102</v>
      </c>
      <c r="I53">
        <v>0.1789473684210526</v>
      </c>
      <c r="J53">
        <v>9.5540341422439923</v>
      </c>
      <c r="K53">
        <v>1.21162402736151</v>
      </c>
      <c r="L53">
        <v>931.37777777510803</v>
      </c>
      <c r="M53">
        <v>1.178703703850928</v>
      </c>
    </row>
    <row r="54" spans="1:13">
      <c r="A54" t="s">
        <v>18</v>
      </c>
      <c r="B54">
        <v>6</v>
      </c>
      <c r="C54">
        <v>2</v>
      </c>
      <c r="D54">
        <v>1425</v>
      </c>
      <c r="E54">
        <v>954</v>
      </c>
      <c r="F54">
        <v>600</v>
      </c>
      <c r="G54">
        <v>6.0606060606060614</v>
      </c>
      <c r="H54">
        <v>99</v>
      </c>
      <c r="I54">
        <v>0.16500000000000001</v>
      </c>
      <c r="J54">
        <v>8.7757835793685004</v>
      </c>
      <c r="K54">
        <v>1.1180291142525201</v>
      </c>
      <c r="L54">
        <v>834.04444444322098</v>
      </c>
      <c r="M54">
        <v>1.1404320989128389</v>
      </c>
    </row>
    <row r="55" spans="1:13">
      <c r="A55" t="s">
        <v>18</v>
      </c>
      <c r="B55">
        <v>6</v>
      </c>
      <c r="C55">
        <v>3</v>
      </c>
      <c r="D55">
        <v>1426</v>
      </c>
      <c r="E55">
        <v>939</v>
      </c>
      <c r="F55">
        <v>587</v>
      </c>
      <c r="G55">
        <v>5.8118811881188117</v>
      </c>
      <c r="H55">
        <v>101</v>
      </c>
      <c r="I55">
        <v>0.17206132879045999</v>
      </c>
      <c r="J55">
        <v>8.8897840861823951</v>
      </c>
      <c r="K55">
        <v>1.1354846138794901</v>
      </c>
      <c r="L55">
        <v>929.86666666706105</v>
      </c>
      <c r="M55">
        <v>1.0197530865668569</v>
      </c>
    </row>
    <row r="56" spans="1:13">
      <c r="A56" t="s">
        <v>18</v>
      </c>
      <c r="B56">
        <v>6</v>
      </c>
      <c r="C56">
        <v>4</v>
      </c>
      <c r="D56">
        <v>1424</v>
      </c>
      <c r="E56">
        <v>934</v>
      </c>
      <c r="F56">
        <v>581</v>
      </c>
      <c r="G56">
        <v>5.6960784313725492</v>
      </c>
      <c r="H56">
        <v>102</v>
      </c>
      <c r="I56">
        <v>0.17555938037865751</v>
      </c>
      <c r="J56">
        <v>8.8675990363855792</v>
      </c>
      <c r="K56">
        <v>1.1442282659985601</v>
      </c>
      <c r="L56">
        <v>806.13333332985098</v>
      </c>
      <c r="M56">
        <v>1.1611111112582331</v>
      </c>
    </row>
    <row r="57" spans="1:13">
      <c r="A57" t="s">
        <v>18</v>
      </c>
      <c r="B57">
        <v>6</v>
      </c>
      <c r="C57">
        <v>5</v>
      </c>
      <c r="D57">
        <v>1427</v>
      </c>
      <c r="E57">
        <v>936</v>
      </c>
      <c r="F57">
        <v>586</v>
      </c>
      <c r="G57">
        <v>5.4766355140186924</v>
      </c>
      <c r="H57">
        <v>107</v>
      </c>
      <c r="I57">
        <v>0.1825938566552901</v>
      </c>
      <c r="J57">
        <v>9.5288473738874373</v>
      </c>
      <c r="K57">
        <v>1.1927617452947299</v>
      </c>
      <c r="L57">
        <v>825.68888888544404</v>
      </c>
      <c r="M57">
        <v>0.99166666681400906</v>
      </c>
    </row>
    <row r="58" spans="1:13">
      <c r="A58" t="s">
        <v>18</v>
      </c>
      <c r="B58">
        <v>6</v>
      </c>
      <c r="C58">
        <v>6</v>
      </c>
      <c r="D58">
        <v>1424</v>
      </c>
      <c r="E58">
        <v>927</v>
      </c>
      <c r="F58">
        <v>578</v>
      </c>
      <c r="G58">
        <v>5.7227722772277234</v>
      </c>
      <c r="H58">
        <v>101</v>
      </c>
      <c r="I58">
        <v>0.17474048442906581</v>
      </c>
      <c r="J58">
        <v>9.2258913992894289</v>
      </c>
      <c r="K58">
        <v>1.1852853561446799</v>
      </c>
      <c r="L58">
        <v>1005.86666666543</v>
      </c>
      <c r="M58">
        <v>1.167592592739741</v>
      </c>
    </row>
    <row r="59" spans="1:13">
      <c r="A59" t="s">
        <v>18</v>
      </c>
      <c r="B59">
        <v>6</v>
      </c>
      <c r="C59">
        <v>7</v>
      </c>
      <c r="D59">
        <v>1430</v>
      </c>
      <c r="E59">
        <v>934</v>
      </c>
      <c r="F59">
        <v>601</v>
      </c>
      <c r="G59">
        <v>5.9504950495049496</v>
      </c>
      <c r="H59">
        <v>101</v>
      </c>
      <c r="I59">
        <v>0.16805324459234611</v>
      </c>
      <c r="J59">
        <v>9.0638555752078371</v>
      </c>
      <c r="K59">
        <v>1.1256228872659799</v>
      </c>
      <c r="L59">
        <v>880.755555555755</v>
      </c>
      <c r="M59">
        <v>0.7783950618757125</v>
      </c>
    </row>
    <row r="60" spans="1:13">
      <c r="A60" t="s">
        <v>18</v>
      </c>
      <c r="B60">
        <v>6</v>
      </c>
      <c r="C60">
        <v>8</v>
      </c>
      <c r="D60">
        <v>1416</v>
      </c>
      <c r="E60">
        <v>937</v>
      </c>
      <c r="F60">
        <v>586</v>
      </c>
      <c r="G60">
        <v>5.8019801980198018</v>
      </c>
      <c r="H60">
        <v>101</v>
      </c>
      <c r="I60">
        <v>0.17235494880546079</v>
      </c>
      <c r="J60">
        <v>8.842266986820448</v>
      </c>
      <c r="K60">
        <v>1.1294430335601</v>
      </c>
      <c r="L60">
        <v>879.24444444264202</v>
      </c>
      <c r="M60">
        <v>1.726234568048403</v>
      </c>
    </row>
    <row r="61" spans="1:13">
      <c r="A61" t="s">
        <v>18</v>
      </c>
      <c r="B61">
        <v>6</v>
      </c>
      <c r="C61">
        <v>9</v>
      </c>
      <c r="D61">
        <v>1424</v>
      </c>
      <c r="E61">
        <v>921</v>
      </c>
      <c r="F61">
        <v>580</v>
      </c>
      <c r="G61">
        <v>5.6862745098039218</v>
      </c>
      <c r="H61">
        <v>102</v>
      </c>
      <c r="I61">
        <v>0.1758620689655172</v>
      </c>
      <c r="J61">
        <v>9.1389793702497499</v>
      </c>
      <c r="K61">
        <v>1.15961376580728</v>
      </c>
      <c r="L61">
        <v>894.40000000528698</v>
      </c>
      <c r="M61">
        <v>1.1845679013818311</v>
      </c>
    </row>
    <row r="62" spans="1:13">
      <c r="A62" t="s">
        <v>19</v>
      </c>
      <c r="B62">
        <v>6</v>
      </c>
      <c r="C62">
        <v>0</v>
      </c>
      <c r="D62">
        <v>1416</v>
      </c>
      <c r="E62">
        <v>921</v>
      </c>
      <c r="F62">
        <v>611</v>
      </c>
      <c r="G62">
        <v>5.7641509433962268</v>
      </c>
      <c r="H62">
        <v>106</v>
      </c>
      <c r="I62">
        <v>0.17348608837970539</v>
      </c>
      <c r="J62">
        <v>9.838210844189696</v>
      </c>
      <c r="K62">
        <v>1.1733809700603099</v>
      </c>
      <c r="L62">
        <v>868.97777777581496</v>
      </c>
      <c r="M62">
        <v>1.7296296297768221</v>
      </c>
    </row>
    <row r="63" spans="1:13">
      <c r="A63" t="s">
        <v>19</v>
      </c>
      <c r="B63">
        <v>6</v>
      </c>
      <c r="C63">
        <v>1</v>
      </c>
      <c r="D63">
        <v>1423</v>
      </c>
      <c r="E63">
        <v>922</v>
      </c>
      <c r="F63">
        <v>570</v>
      </c>
      <c r="G63">
        <v>5.5339805825242721</v>
      </c>
      <c r="H63">
        <v>103</v>
      </c>
      <c r="I63">
        <v>0.18070175438596489</v>
      </c>
      <c r="J63">
        <v>9.5020042940204235</v>
      </c>
      <c r="K63">
        <v>1.2176883040064901</v>
      </c>
      <c r="L63">
        <v>872.57777778293598</v>
      </c>
      <c r="M63">
        <v>1.2947530865672461</v>
      </c>
    </row>
    <row r="64" spans="1:13">
      <c r="A64" t="s">
        <v>19</v>
      </c>
      <c r="B64">
        <v>6</v>
      </c>
      <c r="C64">
        <v>2</v>
      </c>
      <c r="D64">
        <v>1426</v>
      </c>
      <c r="E64">
        <v>964</v>
      </c>
      <c r="F64">
        <v>611</v>
      </c>
      <c r="G64">
        <v>6.11</v>
      </c>
      <c r="H64">
        <v>100</v>
      </c>
      <c r="I64">
        <v>0.16366612111292961</v>
      </c>
      <c r="J64">
        <v>8.8445036154915773</v>
      </c>
      <c r="K64">
        <v>1.1014777684749799</v>
      </c>
      <c r="L64">
        <v>832.40000000066198</v>
      </c>
      <c r="M64">
        <v>1.0552469137275571</v>
      </c>
    </row>
    <row r="65" spans="1:13">
      <c r="A65" t="s">
        <v>19</v>
      </c>
      <c r="B65">
        <v>6</v>
      </c>
      <c r="C65">
        <v>3</v>
      </c>
      <c r="D65">
        <v>1422</v>
      </c>
      <c r="E65">
        <v>929</v>
      </c>
      <c r="F65">
        <v>585</v>
      </c>
      <c r="G65">
        <v>5.6796116504854366</v>
      </c>
      <c r="H65">
        <v>103</v>
      </c>
      <c r="I65">
        <v>0.17606837606837611</v>
      </c>
      <c r="J65">
        <v>9.2337561628422815</v>
      </c>
      <c r="K65">
        <v>1.17959578481224</v>
      </c>
      <c r="L65">
        <v>989.51111111139699</v>
      </c>
      <c r="M65">
        <v>1.3558641976783119</v>
      </c>
    </row>
    <row r="66" spans="1:13">
      <c r="A66" t="s">
        <v>19</v>
      </c>
      <c r="B66">
        <v>6</v>
      </c>
      <c r="C66">
        <v>4</v>
      </c>
      <c r="D66">
        <v>1427</v>
      </c>
      <c r="E66">
        <v>934</v>
      </c>
      <c r="F66">
        <v>590</v>
      </c>
      <c r="G66">
        <v>5.6730769230769234</v>
      </c>
      <c r="H66">
        <v>104</v>
      </c>
      <c r="I66">
        <v>0.17627118644067799</v>
      </c>
      <c r="J66">
        <v>9.5047649496216273</v>
      </c>
      <c r="K66">
        <v>1.19339367405157</v>
      </c>
      <c r="L66">
        <v>832.26666667149402</v>
      </c>
      <c r="M66">
        <v>0.98827160508559586</v>
      </c>
    </row>
    <row r="67" spans="1:13">
      <c r="A67" t="s">
        <v>19</v>
      </c>
      <c r="B67">
        <v>6</v>
      </c>
      <c r="C67">
        <v>5</v>
      </c>
      <c r="D67">
        <v>1420</v>
      </c>
      <c r="E67">
        <v>917</v>
      </c>
      <c r="F67">
        <v>585</v>
      </c>
      <c r="G67">
        <v>5.5714285714285712</v>
      </c>
      <c r="H67">
        <v>105</v>
      </c>
      <c r="I67">
        <v>0.17948717948717949</v>
      </c>
      <c r="J67">
        <v>9.5438567835463459</v>
      </c>
      <c r="K67">
        <v>1.19256115963958</v>
      </c>
      <c r="L67">
        <v>926.88888888488498</v>
      </c>
      <c r="M67">
        <v>1.428086419900142</v>
      </c>
    </row>
    <row r="68" spans="1:13">
      <c r="A68" t="s">
        <v>19</v>
      </c>
      <c r="B68">
        <v>6</v>
      </c>
      <c r="C68">
        <v>6</v>
      </c>
      <c r="D68">
        <v>1422</v>
      </c>
      <c r="E68">
        <v>935</v>
      </c>
      <c r="F68">
        <v>584</v>
      </c>
      <c r="G68">
        <v>5.8989898989898988</v>
      </c>
      <c r="H68">
        <v>99</v>
      </c>
      <c r="I68">
        <v>0.16952054794520549</v>
      </c>
      <c r="J68">
        <v>8.9627475737493896</v>
      </c>
      <c r="K68">
        <v>1.14468642595893</v>
      </c>
      <c r="L68">
        <v>977.11111110689001</v>
      </c>
      <c r="M68">
        <v>1.278395061875381</v>
      </c>
    </row>
    <row r="69" spans="1:13">
      <c r="A69" t="s">
        <v>19</v>
      </c>
      <c r="B69">
        <v>6</v>
      </c>
      <c r="C69">
        <v>7</v>
      </c>
      <c r="D69">
        <v>1423</v>
      </c>
      <c r="E69">
        <v>940</v>
      </c>
      <c r="F69">
        <v>590</v>
      </c>
      <c r="G69">
        <v>5.9</v>
      </c>
      <c r="H69">
        <v>100</v>
      </c>
      <c r="I69">
        <v>0.16949152542372881</v>
      </c>
      <c r="J69">
        <v>9.0751194797313826</v>
      </c>
      <c r="K69">
        <v>1.14830781157701</v>
      </c>
      <c r="L69">
        <v>962.57777777790398</v>
      </c>
      <c r="M69">
        <v>1.247222222369434</v>
      </c>
    </row>
    <row r="70" spans="1:13">
      <c r="A70" t="s">
        <v>19</v>
      </c>
      <c r="B70">
        <v>6</v>
      </c>
      <c r="C70">
        <v>8</v>
      </c>
      <c r="D70">
        <v>1421</v>
      </c>
      <c r="E70">
        <v>932</v>
      </c>
      <c r="F70">
        <v>582</v>
      </c>
      <c r="G70">
        <v>5.4905660377358494</v>
      </c>
      <c r="H70">
        <v>106</v>
      </c>
      <c r="I70">
        <v>0.18213058419243991</v>
      </c>
      <c r="J70">
        <v>9.2166628914102251</v>
      </c>
      <c r="K70">
        <v>1.1784568859926901</v>
      </c>
      <c r="L70">
        <v>766.35555555288602</v>
      </c>
      <c r="M70">
        <v>1.393209876690463</v>
      </c>
    </row>
    <row r="71" spans="1:13">
      <c r="A71" t="s">
        <v>19</v>
      </c>
      <c r="B71">
        <v>6</v>
      </c>
      <c r="C71">
        <v>9</v>
      </c>
      <c r="D71">
        <v>1425</v>
      </c>
      <c r="E71">
        <v>917</v>
      </c>
      <c r="F71">
        <v>579</v>
      </c>
      <c r="G71">
        <v>5.79</v>
      </c>
      <c r="H71">
        <v>100</v>
      </c>
      <c r="I71">
        <v>0.17271157167530221</v>
      </c>
      <c r="J71">
        <v>8.9031352782397057</v>
      </c>
      <c r="K71">
        <v>1.1354273284632601</v>
      </c>
      <c r="L71">
        <v>833.33333333396695</v>
      </c>
      <c r="M71">
        <v>1.148456790270902</v>
      </c>
    </row>
    <row r="72" spans="1:13">
      <c r="A72" t="s">
        <v>20</v>
      </c>
      <c r="B72">
        <v>6</v>
      </c>
      <c r="C72">
        <v>0</v>
      </c>
      <c r="D72">
        <v>1420</v>
      </c>
      <c r="E72">
        <v>919</v>
      </c>
      <c r="F72">
        <v>610</v>
      </c>
      <c r="G72">
        <v>5.9223300970873787</v>
      </c>
      <c r="H72">
        <v>103</v>
      </c>
      <c r="I72">
        <v>0.16885245901639351</v>
      </c>
      <c r="J72">
        <v>9.5085875305492493</v>
      </c>
      <c r="K72">
        <v>1.1347534200570799</v>
      </c>
      <c r="L72">
        <v>862.22222222731898</v>
      </c>
      <c r="M72">
        <v>1.4833333334807159</v>
      </c>
    </row>
    <row r="73" spans="1:13">
      <c r="A73" t="s">
        <v>20</v>
      </c>
      <c r="B73">
        <v>6</v>
      </c>
      <c r="C73">
        <v>1</v>
      </c>
      <c r="D73">
        <v>1422</v>
      </c>
      <c r="E73">
        <v>921</v>
      </c>
      <c r="F73">
        <v>566</v>
      </c>
      <c r="G73">
        <v>5.7171717171717171</v>
      </c>
      <c r="H73">
        <v>99</v>
      </c>
      <c r="I73">
        <v>0.17491166077738521</v>
      </c>
      <c r="J73">
        <v>9.2354053564620084</v>
      </c>
      <c r="K73">
        <v>1.1926281316490801</v>
      </c>
      <c r="L73">
        <v>974.40000000034502</v>
      </c>
      <c r="M73">
        <v>1.314506172986708</v>
      </c>
    </row>
    <row r="74" spans="1:13">
      <c r="A74" t="s">
        <v>20</v>
      </c>
      <c r="B74">
        <v>6</v>
      </c>
      <c r="C74">
        <v>2</v>
      </c>
      <c r="D74">
        <v>1428</v>
      </c>
      <c r="E74">
        <v>962</v>
      </c>
      <c r="F74">
        <v>601</v>
      </c>
      <c r="G74">
        <v>5.8349514563106792</v>
      </c>
      <c r="H74">
        <v>103</v>
      </c>
      <c r="I74">
        <v>0.17138103161397669</v>
      </c>
      <c r="J74">
        <v>8.9010972149724221</v>
      </c>
      <c r="K74">
        <v>1.12938777117144</v>
      </c>
      <c r="L74">
        <v>925.59999999899901</v>
      </c>
      <c r="M74">
        <v>0.89043209891259512</v>
      </c>
    </row>
    <row r="75" spans="1:13">
      <c r="A75" t="s">
        <v>20</v>
      </c>
      <c r="B75">
        <v>6</v>
      </c>
      <c r="C75">
        <v>3</v>
      </c>
      <c r="D75">
        <v>1424</v>
      </c>
      <c r="E75">
        <v>937</v>
      </c>
      <c r="F75">
        <v>593</v>
      </c>
      <c r="G75">
        <v>5.8712871287128712</v>
      </c>
      <c r="H75">
        <v>101</v>
      </c>
      <c r="I75">
        <v>0.1703204047217538</v>
      </c>
      <c r="J75">
        <v>9.1421370821208949</v>
      </c>
      <c r="K75">
        <v>1.15429246555835</v>
      </c>
      <c r="L75">
        <v>968.22222221803895</v>
      </c>
      <c r="M75">
        <v>1.2129629631103791</v>
      </c>
    </row>
    <row r="76" spans="1:13">
      <c r="A76" t="s">
        <v>20</v>
      </c>
      <c r="B76">
        <v>6</v>
      </c>
      <c r="C76">
        <v>4</v>
      </c>
      <c r="D76">
        <v>1426</v>
      </c>
      <c r="E76">
        <v>932</v>
      </c>
      <c r="F76">
        <v>581</v>
      </c>
      <c r="G76">
        <v>5.7524752475247523</v>
      </c>
      <c r="H76">
        <v>101</v>
      </c>
      <c r="I76">
        <v>0.17383820998278829</v>
      </c>
      <c r="J76">
        <v>9.1246240785205579</v>
      </c>
      <c r="K76">
        <v>1.1751494485246701</v>
      </c>
      <c r="L76">
        <v>861.64444444306002</v>
      </c>
      <c r="M76">
        <v>1.0521604939744511</v>
      </c>
    </row>
    <row r="77" spans="1:13">
      <c r="A77" t="s">
        <v>20</v>
      </c>
      <c r="B77">
        <v>6</v>
      </c>
      <c r="C77">
        <v>5</v>
      </c>
      <c r="D77">
        <v>1417</v>
      </c>
      <c r="E77">
        <v>924</v>
      </c>
      <c r="F77">
        <v>581</v>
      </c>
      <c r="G77">
        <v>5.4811320754716979</v>
      </c>
      <c r="H77">
        <v>106</v>
      </c>
      <c r="I77">
        <v>0.18244406196213431</v>
      </c>
      <c r="J77">
        <v>9.7271942932875337</v>
      </c>
      <c r="K77">
        <v>1.2280101702294799</v>
      </c>
      <c r="L77">
        <v>935.55555555388105</v>
      </c>
      <c r="M77">
        <v>1.624382716196362</v>
      </c>
    </row>
    <row r="78" spans="1:13">
      <c r="A78" t="s">
        <v>20</v>
      </c>
      <c r="B78">
        <v>6</v>
      </c>
      <c r="C78">
        <v>6</v>
      </c>
      <c r="D78">
        <v>1426</v>
      </c>
      <c r="E78">
        <v>928</v>
      </c>
      <c r="F78">
        <v>585</v>
      </c>
      <c r="G78">
        <v>5.9090909090909092</v>
      </c>
      <c r="H78">
        <v>99</v>
      </c>
      <c r="I78">
        <v>0.16923076923076921</v>
      </c>
      <c r="J78">
        <v>9.2726293103448594</v>
      </c>
      <c r="K78">
        <v>1.1646869514470799</v>
      </c>
      <c r="L78">
        <v>1013.28888889488</v>
      </c>
      <c r="M78">
        <v>1.0305555557027211</v>
      </c>
    </row>
    <row r="79" spans="1:13">
      <c r="A79" t="s">
        <v>20</v>
      </c>
      <c r="B79">
        <v>6</v>
      </c>
      <c r="C79">
        <v>7</v>
      </c>
      <c r="D79">
        <v>1428</v>
      </c>
      <c r="E79">
        <v>941</v>
      </c>
      <c r="F79">
        <v>595</v>
      </c>
      <c r="G79">
        <v>6.197916666666667</v>
      </c>
      <c r="H79">
        <v>96</v>
      </c>
      <c r="I79">
        <v>0.16134453781512609</v>
      </c>
      <c r="J79">
        <v>9.131216790614463</v>
      </c>
      <c r="K79">
        <v>1.1451847983822001</v>
      </c>
      <c r="L79">
        <v>933.37777777710699</v>
      </c>
      <c r="M79">
        <v>0.90925925940652497</v>
      </c>
    </row>
    <row r="80" spans="1:13">
      <c r="A80" t="s">
        <v>20</v>
      </c>
      <c r="B80">
        <v>6</v>
      </c>
      <c r="C80">
        <v>8</v>
      </c>
      <c r="D80">
        <v>1426</v>
      </c>
      <c r="E80">
        <v>941</v>
      </c>
      <c r="F80">
        <v>589</v>
      </c>
      <c r="G80">
        <v>5.8316831683168324</v>
      </c>
      <c r="H80">
        <v>101</v>
      </c>
      <c r="I80">
        <v>0.17147707979626489</v>
      </c>
      <c r="J80">
        <v>8.8820575407044213</v>
      </c>
      <c r="K80">
        <v>1.1427765416636899</v>
      </c>
      <c r="L80">
        <v>785.02222222027899</v>
      </c>
      <c r="M80">
        <v>1.0358024692829999</v>
      </c>
    </row>
    <row r="81" spans="1:13">
      <c r="A81" t="s">
        <v>20</v>
      </c>
      <c r="B81">
        <v>6</v>
      </c>
      <c r="C81">
        <v>9</v>
      </c>
      <c r="D81">
        <v>1426</v>
      </c>
      <c r="E81">
        <v>929</v>
      </c>
      <c r="F81">
        <v>586</v>
      </c>
      <c r="G81">
        <v>6.0412371134020617</v>
      </c>
      <c r="H81">
        <v>97</v>
      </c>
      <c r="I81">
        <v>0.16552901023890779</v>
      </c>
      <c r="J81">
        <v>8.80480910044</v>
      </c>
      <c r="K81">
        <v>1.1218418060896</v>
      </c>
      <c r="L81">
        <v>878.62222222741605</v>
      </c>
      <c r="M81">
        <v>1.0126543211347121</v>
      </c>
    </row>
    <row r="82" spans="1:13">
      <c r="A82" t="s">
        <v>21</v>
      </c>
      <c r="B82">
        <v>10</v>
      </c>
      <c r="C82">
        <v>0</v>
      </c>
      <c r="D82">
        <v>1430</v>
      </c>
      <c r="E82">
        <v>923</v>
      </c>
      <c r="F82">
        <v>591</v>
      </c>
      <c r="G82">
        <v>4.884297520661157</v>
      </c>
      <c r="H82">
        <v>121</v>
      </c>
      <c r="I82">
        <v>0.2047377326565144</v>
      </c>
      <c r="J82">
        <v>10.642602586658761</v>
      </c>
      <c r="K82">
        <v>1.33933479936832</v>
      </c>
      <c r="L82">
        <v>867.06666667179297</v>
      </c>
      <c r="M82">
        <v>0.76543209891267161</v>
      </c>
    </row>
    <row r="83" spans="1:13">
      <c r="A83" t="s">
        <v>21</v>
      </c>
      <c r="B83">
        <v>10</v>
      </c>
      <c r="C83">
        <v>1</v>
      </c>
      <c r="D83">
        <v>1430</v>
      </c>
      <c r="E83">
        <v>916</v>
      </c>
      <c r="F83">
        <v>565</v>
      </c>
      <c r="G83">
        <v>4.9561403508771926</v>
      </c>
      <c r="H83">
        <v>114</v>
      </c>
      <c r="I83">
        <v>0.2017699115044248</v>
      </c>
      <c r="J83">
        <v>10.526059861700279</v>
      </c>
      <c r="K83">
        <v>1.37122426458901</v>
      </c>
      <c r="L83">
        <v>896.39999999612701</v>
      </c>
      <c r="M83">
        <v>0.72654321002355071</v>
      </c>
    </row>
    <row r="84" spans="1:13">
      <c r="A84" t="s">
        <v>21</v>
      </c>
      <c r="B84">
        <v>10</v>
      </c>
      <c r="C84">
        <v>2</v>
      </c>
      <c r="D84">
        <v>1430</v>
      </c>
      <c r="E84">
        <v>969</v>
      </c>
      <c r="F84">
        <v>614</v>
      </c>
      <c r="G84">
        <v>5.2478632478632479</v>
      </c>
      <c r="H84">
        <v>117</v>
      </c>
      <c r="I84">
        <v>0.19055374592833879</v>
      </c>
      <c r="J84">
        <v>9.9669762641899364</v>
      </c>
      <c r="K84">
        <v>1.26847444822761</v>
      </c>
      <c r="L84">
        <v>946.97777777368697</v>
      </c>
      <c r="M84">
        <v>0.7209876544679632</v>
      </c>
    </row>
    <row r="85" spans="1:13">
      <c r="A85" t="s">
        <v>21</v>
      </c>
      <c r="B85">
        <v>10</v>
      </c>
      <c r="C85">
        <v>3</v>
      </c>
      <c r="D85">
        <v>1431</v>
      </c>
      <c r="E85">
        <v>932</v>
      </c>
      <c r="F85">
        <v>583</v>
      </c>
      <c r="G85">
        <v>5.1140350877192979</v>
      </c>
      <c r="H85">
        <v>114</v>
      </c>
      <c r="I85">
        <v>0.19554030874785591</v>
      </c>
      <c r="J85">
        <v>10.307665555582039</v>
      </c>
      <c r="K85">
        <v>1.32575186063983</v>
      </c>
      <c r="L85">
        <v>954.31111111006305</v>
      </c>
      <c r="M85">
        <v>0.70956790138188541</v>
      </c>
    </row>
    <row r="86" spans="1:13">
      <c r="A86" t="s">
        <v>21</v>
      </c>
      <c r="B86">
        <v>10</v>
      </c>
      <c r="C86">
        <v>4</v>
      </c>
      <c r="D86">
        <v>1429</v>
      </c>
      <c r="E86">
        <v>928</v>
      </c>
      <c r="F86">
        <v>579</v>
      </c>
      <c r="G86">
        <v>5.1238938053097343</v>
      </c>
      <c r="H86">
        <v>113</v>
      </c>
      <c r="I86">
        <v>0.19516407599309149</v>
      </c>
      <c r="J86">
        <v>10.067887931034541</v>
      </c>
      <c r="K86">
        <v>1.3213054921479299</v>
      </c>
      <c r="L86">
        <v>990.177777778566</v>
      </c>
      <c r="M86">
        <v>0.77777777792467839</v>
      </c>
    </row>
    <row r="87" spans="1:13">
      <c r="A87" t="s">
        <v>21</v>
      </c>
      <c r="B87">
        <v>10</v>
      </c>
      <c r="C87">
        <v>5</v>
      </c>
      <c r="D87">
        <v>1430</v>
      </c>
      <c r="E87">
        <v>931</v>
      </c>
      <c r="F87">
        <v>589</v>
      </c>
      <c r="G87">
        <v>4.9083333333333332</v>
      </c>
      <c r="H87">
        <v>120</v>
      </c>
      <c r="I87">
        <v>0.2037351443123939</v>
      </c>
      <c r="J87">
        <v>10.482277121374921</v>
      </c>
      <c r="K87">
        <v>1.3406917500965301</v>
      </c>
      <c r="L87">
        <v>1066.40000000035</v>
      </c>
      <c r="M87">
        <v>0.75833333348053134</v>
      </c>
    </row>
    <row r="88" spans="1:13">
      <c r="A88" t="s">
        <v>21</v>
      </c>
      <c r="B88">
        <v>10</v>
      </c>
      <c r="C88">
        <v>6</v>
      </c>
      <c r="D88">
        <v>1431</v>
      </c>
      <c r="E88">
        <v>935</v>
      </c>
      <c r="F88">
        <v>581</v>
      </c>
      <c r="G88">
        <v>5.1875</v>
      </c>
      <c r="H88">
        <v>112</v>
      </c>
      <c r="I88">
        <v>0.19277108433734941</v>
      </c>
      <c r="J88">
        <v>9.9336898395722351</v>
      </c>
      <c r="K88">
        <v>1.2947327109779601</v>
      </c>
      <c r="L88">
        <v>1022.4888888892</v>
      </c>
      <c r="M88">
        <v>0.70833333348064864</v>
      </c>
    </row>
    <row r="89" spans="1:13">
      <c r="A89" t="s">
        <v>21</v>
      </c>
      <c r="B89">
        <v>10</v>
      </c>
      <c r="C89">
        <v>7</v>
      </c>
      <c r="D89">
        <v>1431</v>
      </c>
      <c r="E89">
        <v>940</v>
      </c>
      <c r="F89">
        <v>606</v>
      </c>
      <c r="G89">
        <v>5.2241379310344831</v>
      </c>
      <c r="H89">
        <v>116</v>
      </c>
      <c r="I89">
        <v>0.1914191419141914</v>
      </c>
      <c r="J89">
        <v>10.06655145535186</v>
      </c>
      <c r="K89">
        <v>1.2843737933656301</v>
      </c>
      <c r="L89">
        <v>966.62222222793696</v>
      </c>
      <c r="M89">
        <v>0.71790123471526801</v>
      </c>
    </row>
    <row r="90" spans="1:13">
      <c r="A90" t="s">
        <v>21</v>
      </c>
      <c r="B90">
        <v>10</v>
      </c>
      <c r="C90">
        <v>8</v>
      </c>
      <c r="D90">
        <v>1430</v>
      </c>
      <c r="E90">
        <v>943</v>
      </c>
      <c r="F90">
        <v>587</v>
      </c>
      <c r="G90">
        <v>4.9745762711864403</v>
      </c>
      <c r="H90">
        <v>118</v>
      </c>
      <c r="I90">
        <v>0.20102214650766609</v>
      </c>
      <c r="J90">
        <v>10.01378579003187</v>
      </c>
      <c r="K90">
        <v>1.31575677655896</v>
      </c>
      <c r="L90">
        <v>930.93333333883697</v>
      </c>
      <c r="M90">
        <v>0.74290123471501035</v>
      </c>
    </row>
    <row r="91" spans="1:13">
      <c r="A91" t="s">
        <v>21</v>
      </c>
      <c r="B91">
        <v>10</v>
      </c>
      <c r="C91">
        <v>9</v>
      </c>
      <c r="D91">
        <v>1431</v>
      </c>
      <c r="E91">
        <v>925</v>
      </c>
      <c r="F91">
        <v>586</v>
      </c>
      <c r="G91">
        <v>5.1858407079646014</v>
      </c>
      <c r="H91">
        <v>113</v>
      </c>
      <c r="I91">
        <v>0.19283276450511949</v>
      </c>
      <c r="J91">
        <v>9.8378378378378812</v>
      </c>
      <c r="K91">
        <v>1.2588925220441101</v>
      </c>
      <c r="L91">
        <v>910.31111111149903</v>
      </c>
      <c r="M91">
        <v>0.72530864212272506</v>
      </c>
    </row>
    <row r="92" spans="1:13">
      <c r="A92" t="s">
        <v>22</v>
      </c>
      <c r="B92">
        <v>10</v>
      </c>
      <c r="C92">
        <v>0</v>
      </c>
      <c r="D92">
        <v>985</v>
      </c>
      <c r="E92">
        <v>643</v>
      </c>
      <c r="F92">
        <v>425</v>
      </c>
      <c r="G92">
        <v>5.4487179487179489</v>
      </c>
      <c r="H92">
        <v>78</v>
      </c>
      <c r="I92">
        <v>0.18352941176470591</v>
      </c>
      <c r="J92">
        <v>11.09486780715401</v>
      </c>
      <c r="K92">
        <v>1.3256923649896899</v>
      </c>
      <c r="L92">
        <v>793.82222222114103</v>
      </c>
      <c r="M92">
        <v>31.597222222222221</v>
      </c>
    </row>
    <row r="93" spans="1:13">
      <c r="A93" t="s">
        <v>22</v>
      </c>
      <c r="B93">
        <v>10</v>
      </c>
      <c r="C93">
        <v>1</v>
      </c>
      <c r="D93">
        <v>1143</v>
      </c>
      <c r="E93">
        <v>742</v>
      </c>
      <c r="F93">
        <v>463</v>
      </c>
      <c r="G93">
        <v>5.202247191011236</v>
      </c>
      <c r="H93">
        <v>89</v>
      </c>
      <c r="I93">
        <v>0.1922246220302376</v>
      </c>
      <c r="J93">
        <v>10.04177897574127</v>
      </c>
      <c r="K93">
        <v>1.2811111586361801</v>
      </c>
      <c r="L93">
        <v>1017.51111110672</v>
      </c>
      <c r="M93">
        <v>20.625</v>
      </c>
    </row>
    <row r="94" spans="1:13">
      <c r="A94" t="s">
        <v>22</v>
      </c>
      <c r="B94">
        <v>10</v>
      </c>
      <c r="C94">
        <v>2</v>
      </c>
      <c r="D94">
        <v>1292</v>
      </c>
      <c r="E94">
        <v>860</v>
      </c>
      <c r="F94">
        <v>543</v>
      </c>
      <c r="G94">
        <v>5.2718446601941746</v>
      </c>
      <c r="H94">
        <v>103</v>
      </c>
      <c r="I94">
        <v>0.18968692449355429</v>
      </c>
      <c r="J94">
        <v>9.129079677180453</v>
      </c>
      <c r="K94">
        <v>1.1738567151138799</v>
      </c>
      <c r="L94">
        <v>867.20000000018899</v>
      </c>
      <c r="M94">
        <v>10.31327160501189</v>
      </c>
    </row>
    <row r="95" spans="1:13">
      <c r="A95" t="s">
        <v>22</v>
      </c>
      <c r="B95">
        <v>10</v>
      </c>
      <c r="C95">
        <v>3</v>
      </c>
      <c r="D95">
        <v>1053</v>
      </c>
      <c r="E95">
        <v>689</v>
      </c>
      <c r="F95">
        <v>422</v>
      </c>
      <c r="G95">
        <v>5.943661971830986</v>
      </c>
      <c r="H95">
        <v>71</v>
      </c>
      <c r="I95">
        <v>0.16824644549763029</v>
      </c>
      <c r="J95">
        <v>9.6066763425254287</v>
      </c>
      <c r="K95">
        <v>1.2549078319323199</v>
      </c>
      <c r="L95">
        <v>725.15555555242304</v>
      </c>
      <c r="M95">
        <v>26.875</v>
      </c>
    </row>
    <row r="96" spans="1:13">
      <c r="A96" t="s">
        <v>22</v>
      </c>
      <c r="B96">
        <v>10</v>
      </c>
      <c r="C96">
        <v>4</v>
      </c>
      <c r="D96">
        <v>1366</v>
      </c>
      <c r="E96">
        <v>895</v>
      </c>
      <c r="F96">
        <v>569</v>
      </c>
      <c r="G96">
        <v>5.0803571428571432</v>
      </c>
      <c r="H96">
        <v>112</v>
      </c>
      <c r="I96">
        <v>0.19683655536028119</v>
      </c>
      <c r="J96">
        <v>10.29711731843105</v>
      </c>
      <c r="K96">
        <v>1.30829670938162</v>
      </c>
      <c r="L96">
        <v>864.57777777695503</v>
      </c>
      <c r="M96">
        <v>5.2364197532338128</v>
      </c>
    </row>
    <row r="97" spans="1:13">
      <c r="A97" t="s">
        <v>22</v>
      </c>
      <c r="B97">
        <v>10</v>
      </c>
      <c r="C97">
        <v>5</v>
      </c>
      <c r="D97">
        <v>583</v>
      </c>
      <c r="E97">
        <v>391</v>
      </c>
      <c r="F97">
        <v>252</v>
      </c>
      <c r="G97">
        <v>5.3617021276595747</v>
      </c>
      <c r="H97">
        <v>47</v>
      </c>
      <c r="I97">
        <v>0.18650793650793651</v>
      </c>
      <c r="J97">
        <v>11.291560102301821</v>
      </c>
      <c r="K97">
        <v>1.4193540921844501</v>
      </c>
      <c r="L97">
        <v>716.35555555562405</v>
      </c>
      <c r="M97">
        <v>59.513888888888893</v>
      </c>
    </row>
    <row r="98" spans="1:13">
      <c r="A98" t="s">
        <v>22</v>
      </c>
      <c r="B98">
        <v>10</v>
      </c>
      <c r="C98">
        <v>6</v>
      </c>
      <c r="D98">
        <v>1044</v>
      </c>
      <c r="E98">
        <v>684</v>
      </c>
      <c r="F98">
        <v>425</v>
      </c>
      <c r="G98">
        <v>5.5194805194805197</v>
      </c>
      <c r="H98">
        <v>77</v>
      </c>
      <c r="I98">
        <v>0.1811764705882353</v>
      </c>
      <c r="J98">
        <v>10.23976608187137</v>
      </c>
      <c r="K98">
        <v>1.3016411512892601</v>
      </c>
      <c r="L98">
        <v>736.35555555563997</v>
      </c>
      <c r="M98">
        <v>27.5</v>
      </c>
    </row>
    <row r="99" spans="1:13">
      <c r="A99" t="s">
        <v>22</v>
      </c>
      <c r="B99">
        <v>10</v>
      </c>
      <c r="C99">
        <v>7</v>
      </c>
      <c r="D99">
        <v>1075</v>
      </c>
      <c r="E99">
        <v>711</v>
      </c>
      <c r="F99">
        <v>444</v>
      </c>
      <c r="G99">
        <v>5.6923076923076934</v>
      </c>
      <c r="H99">
        <v>78</v>
      </c>
      <c r="I99">
        <v>0.17567567567567571</v>
      </c>
      <c r="J99">
        <v>9.8804500703235156</v>
      </c>
      <c r="K99">
        <v>1.26359777366346</v>
      </c>
      <c r="L99">
        <v>732.88888888936106</v>
      </c>
      <c r="M99">
        <v>25.347222222222221</v>
      </c>
    </row>
    <row r="100" spans="1:13">
      <c r="A100" t="s">
        <v>22</v>
      </c>
      <c r="B100">
        <v>10</v>
      </c>
      <c r="C100">
        <v>8</v>
      </c>
      <c r="D100">
        <v>430</v>
      </c>
      <c r="E100">
        <v>290</v>
      </c>
      <c r="F100">
        <v>173</v>
      </c>
      <c r="G100">
        <v>5.580645161290323</v>
      </c>
      <c r="H100">
        <v>31</v>
      </c>
      <c r="I100">
        <v>0.1791907514450867</v>
      </c>
      <c r="J100">
        <v>12.5448275862069</v>
      </c>
      <c r="K100">
        <v>1.66220062192846</v>
      </c>
      <c r="L100">
        <v>576.399999999957</v>
      </c>
      <c r="M100">
        <v>70.138888888888886</v>
      </c>
    </row>
    <row r="101" spans="1:13">
      <c r="A101" t="s">
        <v>22</v>
      </c>
      <c r="B101">
        <v>10</v>
      </c>
      <c r="C101">
        <v>9</v>
      </c>
      <c r="D101">
        <v>392</v>
      </c>
      <c r="E101">
        <v>260</v>
      </c>
      <c r="F101">
        <v>160</v>
      </c>
      <c r="G101">
        <v>5.7142857142857144</v>
      </c>
      <c r="H101">
        <v>28</v>
      </c>
      <c r="I101">
        <v>0.17499999999999999</v>
      </c>
      <c r="J101">
        <v>8.069230769230769</v>
      </c>
      <c r="K101">
        <v>1.0641348189989099</v>
      </c>
      <c r="L101">
        <v>465.95555555548401</v>
      </c>
      <c r="M101">
        <v>72.777777777777771</v>
      </c>
    </row>
    <row r="102" spans="1:13">
      <c r="A102" t="s">
        <v>23</v>
      </c>
      <c r="B102">
        <v>10</v>
      </c>
      <c r="C102">
        <v>0</v>
      </c>
      <c r="D102">
        <v>389</v>
      </c>
      <c r="E102">
        <v>267</v>
      </c>
      <c r="F102">
        <v>167</v>
      </c>
      <c r="G102">
        <v>6.1851851851851851</v>
      </c>
      <c r="H102">
        <v>27</v>
      </c>
      <c r="I102">
        <v>0.1616766467065868</v>
      </c>
      <c r="J102">
        <v>7.7041198501872659</v>
      </c>
      <c r="K102">
        <v>0.99886223513005801</v>
      </c>
      <c r="L102">
        <v>431.20000000034298</v>
      </c>
      <c r="M102">
        <v>72.986111111111114</v>
      </c>
    </row>
    <row r="103" spans="1:13">
      <c r="A103" t="s">
        <v>23</v>
      </c>
      <c r="B103">
        <v>10</v>
      </c>
      <c r="C103">
        <v>1</v>
      </c>
      <c r="D103">
        <v>1326</v>
      </c>
      <c r="E103">
        <v>846</v>
      </c>
      <c r="F103">
        <v>533</v>
      </c>
      <c r="G103">
        <v>5.3838383838383841</v>
      </c>
      <c r="H103">
        <v>99</v>
      </c>
      <c r="I103">
        <v>0.18574108818011259</v>
      </c>
      <c r="J103">
        <v>9.9408983451536983</v>
      </c>
      <c r="K103">
        <v>1.24292124763134</v>
      </c>
      <c r="L103">
        <v>863.15555555792503</v>
      </c>
      <c r="M103">
        <v>8.0444444445920205</v>
      </c>
    </row>
    <row r="104" spans="1:13">
      <c r="A104" t="s">
        <v>23</v>
      </c>
      <c r="B104">
        <v>10</v>
      </c>
      <c r="C104">
        <v>2</v>
      </c>
      <c r="D104">
        <v>1023</v>
      </c>
      <c r="E104">
        <v>696</v>
      </c>
      <c r="F104">
        <v>436</v>
      </c>
      <c r="G104">
        <v>5.5897435897435894</v>
      </c>
      <c r="H104">
        <v>78</v>
      </c>
      <c r="I104">
        <v>0.17889908256880729</v>
      </c>
      <c r="J104">
        <v>10.23706896551727</v>
      </c>
      <c r="K104">
        <v>1.29452038763502</v>
      </c>
      <c r="L104">
        <v>718.48888888828697</v>
      </c>
      <c r="M104">
        <v>28.958333333333339</v>
      </c>
    </row>
    <row r="105" spans="1:13">
      <c r="A105" t="s">
        <v>23</v>
      </c>
      <c r="B105">
        <v>10</v>
      </c>
      <c r="C105">
        <v>3</v>
      </c>
      <c r="D105">
        <v>1045</v>
      </c>
      <c r="E105">
        <v>675</v>
      </c>
      <c r="F105">
        <v>416</v>
      </c>
      <c r="G105">
        <v>5.6216216216216219</v>
      </c>
      <c r="H105">
        <v>74</v>
      </c>
      <c r="I105">
        <v>0.17788461538461539</v>
      </c>
      <c r="J105">
        <v>10.2251851851852</v>
      </c>
      <c r="K105">
        <v>1.3275767227742701</v>
      </c>
      <c r="L105">
        <v>843.46666666863302</v>
      </c>
      <c r="M105">
        <v>27.430555555555561</v>
      </c>
    </row>
    <row r="106" spans="1:13">
      <c r="A106" t="s">
        <v>23</v>
      </c>
      <c r="B106">
        <v>10</v>
      </c>
      <c r="C106">
        <v>4</v>
      </c>
      <c r="D106">
        <v>1293</v>
      </c>
      <c r="E106">
        <v>850</v>
      </c>
      <c r="F106">
        <v>547</v>
      </c>
      <c r="G106">
        <v>5.259615384615385</v>
      </c>
      <c r="H106">
        <v>104</v>
      </c>
      <c r="I106">
        <v>0.19012797074954299</v>
      </c>
      <c r="J106">
        <v>9.4505882352941537</v>
      </c>
      <c r="K106">
        <v>1.1832100605518501</v>
      </c>
      <c r="L106">
        <v>746.93333333342605</v>
      </c>
      <c r="M106">
        <v>10.24320987669023</v>
      </c>
    </row>
    <row r="107" spans="1:13">
      <c r="A107" t="s">
        <v>23</v>
      </c>
      <c r="B107">
        <v>10</v>
      </c>
      <c r="C107">
        <v>5</v>
      </c>
      <c r="D107">
        <v>1034</v>
      </c>
      <c r="E107">
        <v>671</v>
      </c>
      <c r="F107">
        <v>427</v>
      </c>
      <c r="G107">
        <v>5.2073170731707306</v>
      </c>
      <c r="H107">
        <v>82</v>
      </c>
      <c r="I107">
        <v>0.19203747072599531</v>
      </c>
      <c r="J107">
        <v>10.8464977645306</v>
      </c>
      <c r="K107">
        <v>1.36922724606466</v>
      </c>
      <c r="L107">
        <v>794.93333333199496</v>
      </c>
      <c r="M107">
        <v>28.19444444444445</v>
      </c>
    </row>
    <row r="108" spans="1:13">
      <c r="A108" t="s">
        <v>23</v>
      </c>
      <c r="B108">
        <v>10</v>
      </c>
      <c r="C108">
        <v>6</v>
      </c>
      <c r="D108">
        <v>1060</v>
      </c>
      <c r="E108">
        <v>688</v>
      </c>
      <c r="F108">
        <v>426</v>
      </c>
      <c r="G108">
        <v>5.5324675324675328</v>
      </c>
      <c r="H108">
        <v>77</v>
      </c>
      <c r="I108">
        <v>0.18075117370892019</v>
      </c>
      <c r="J108">
        <v>10.63372093023259</v>
      </c>
      <c r="K108">
        <v>1.33662689960907</v>
      </c>
      <c r="L108">
        <v>845.06666666526098</v>
      </c>
      <c r="M108">
        <v>26.388888888888889</v>
      </c>
    </row>
    <row r="109" spans="1:13">
      <c r="A109" t="s">
        <v>23</v>
      </c>
      <c r="B109">
        <v>10</v>
      </c>
      <c r="C109">
        <v>7</v>
      </c>
      <c r="D109">
        <v>1358</v>
      </c>
      <c r="E109">
        <v>908</v>
      </c>
      <c r="F109">
        <v>591</v>
      </c>
      <c r="G109">
        <v>5.4220183486238529</v>
      </c>
      <c r="H109">
        <v>109</v>
      </c>
      <c r="I109">
        <v>0.18443316412859559</v>
      </c>
      <c r="J109">
        <v>9.7352321952741843</v>
      </c>
      <c r="K109">
        <v>1.1840569158088901</v>
      </c>
      <c r="L109">
        <v>897.28888888684799</v>
      </c>
      <c r="M109">
        <v>5.7478395063199654</v>
      </c>
    </row>
    <row r="110" spans="1:13">
      <c r="A110" t="s">
        <v>23</v>
      </c>
      <c r="B110">
        <v>10</v>
      </c>
      <c r="C110">
        <v>8</v>
      </c>
      <c r="D110">
        <v>1015</v>
      </c>
      <c r="E110">
        <v>679</v>
      </c>
      <c r="F110">
        <v>428</v>
      </c>
      <c r="G110">
        <v>5.5584415584415581</v>
      </c>
      <c r="H110">
        <v>77</v>
      </c>
      <c r="I110">
        <v>0.17990654205607479</v>
      </c>
      <c r="J110">
        <v>9.8703976435935488</v>
      </c>
      <c r="K110">
        <v>1.2695353670799401</v>
      </c>
      <c r="L110">
        <v>731.73333333391599</v>
      </c>
      <c r="M110">
        <v>29.513888888888889</v>
      </c>
    </row>
    <row r="111" spans="1:13">
      <c r="A111" t="s">
        <v>23</v>
      </c>
      <c r="B111">
        <v>10</v>
      </c>
      <c r="C111">
        <v>9</v>
      </c>
      <c r="D111">
        <v>389</v>
      </c>
      <c r="E111">
        <v>259</v>
      </c>
      <c r="F111">
        <v>162</v>
      </c>
      <c r="G111">
        <v>5.4</v>
      </c>
      <c r="H111">
        <v>30</v>
      </c>
      <c r="I111">
        <v>0.1851851851851852</v>
      </c>
      <c r="J111">
        <v>8.2702702702702702</v>
      </c>
      <c r="K111">
        <v>1.07405150330582</v>
      </c>
      <c r="L111">
        <v>485.46666666658598</v>
      </c>
      <c r="M111">
        <v>72.986111111111114</v>
      </c>
    </row>
    <row r="112" spans="1:13">
      <c r="A112" t="s">
        <v>24</v>
      </c>
      <c r="B112">
        <v>10</v>
      </c>
      <c r="C112">
        <v>0</v>
      </c>
      <c r="D112">
        <v>1233</v>
      </c>
      <c r="E112">
        <v>812</v>
      </c>
      <c r="F112">
        <v>544</v>
      </c>
      <c r="G112">
        <v>5.7263157894736842</v>
      </c>
      <c r="H112">
        <v>95</v>
      </c>
      <c r="I112">
        <v>0.17463235294117649</v>
      </c>
      <c r="J112">
        <v>9.7931034482758985</v>
      </c>
      <c r="K112">
        <v>1.1745866620518</v>
      </c>
      <c r="L112">
        <v>822.04444444930402</v>
      </c>
      <c r="M112">
        <v>14.375</v>
      </c>
    </row>
    <row r="113" spans="1:13">
      <c r="A113" t="s">
        <v>24</v>
      </c>
      <c r="B113">
        <v>10</v>
      </c>
      <c r="C113">
        <v>1</v>
      </c>
      <c r="D113">
        <v>1371</v>
      </c>
      <c r="E113">
        <v>882</v>
      </c>
      <c r="F113">
        <v>547</v>
      </c>
      <c r="G113">
        <v>5.5816326530612246</v>
      </c>
      <c r="H113">
        <v>98</v>
      </c>
      <c r="I113">
        <v>0.17915904936014629</v>
      </c>
      <c r="J113">
        <v>9.5952380952381287</v>
      </c>
      <c r="K113">
        <v>1.2361492035774799</v>
      </c>
      <c r="L113">
        <v>887.73333332949801</v>
      </c>
      <c r="M113">
        <v>4.8750000001473186</v>
      </c>
    </row>
    <row r="114" spans="1:13">
      <c r="A114" t="s">
        <v>24</v>
      </c>
      <c r="B114">
        <v>10</v>
      </c>
      <c r="C114">
        <v>2</v>
      </c>
      <c r="D114">
        <v>1020</v>
      </c>
      <c r="E114">
        <v>683</v>
      </c>
      <c r="F114">
        <v>436</v>
      </c>
      <c r="G114">
        <v>5.518987341772152</v>
      </c>
      <c r="H114">
        <v>79</v>
      </c>
      <c r="I114">
        <v>0.18119266055045871</v>
      </c>
      <c r="J114">
        <v>10.55197657393852</v>
      </c>
      <c r="K114">
        <v>1.32967479090186</v>
      </c>
      <c r="L114">
        <v>720.57777777466504</v>
      </c>
      <c r="M114">
        <v>29.166666666666661</v>
      </c>
    </row>
    <row r="115" spans="1:13">
      <c r="A115" t="s">
        <v>24</v>
      </c>
      <c r="B115">
        <v>10</v>
      </c>
      <c r="C115">
        <v>3</v>
      </c>
      <c r="D115">
        <v>1347</v>
      </c>
      <c r="E115">
        <v>868</v>
      </c>
      <c r="F115">
        <v>546</v>
      </c>
      <c r="G115">
        <v>5.5151515151515156</v>
      </c>
      <c r="H115">
        <v>99</v>
      </c>
      <c r="I115">
        <v>0.18131868131868131</v>
      </c>
      <c r="J115">
        <v>9.1815024561096763</v>
      </c>
      <c r="K115">
        <v>1.1734001928006601</v>
      </c>
      <c r="L115">
        <v>916.84444444467294</v>
      </c>
      <c r="M115">
        <v>6.5043209878014103</v>
      </c>
    </row>
    <row r="116" spans="1:13">
      <c r="A116" t="s">
        <v>24</v>
      </c>
      <c r="B116">
        <v>10</v>
      </c>
      <c r="C116">
        <v>4</v>
      </c>
      <c r="D116">
        <v>1397</v>
      </c>
      <c r="E116">
        <v>907</v>
      </c>
      <c r="F116">
        <v>572</v>
      </c>
      <c r="G116">
        <v>5.5</v>
      </c>
      <c r="H116">
        <v>104</v>
      </c>
      <c r="I116">
        <v>0.1818181818181818</v>
      </c>
      <c r="J116">
        <v>10.301730390948149</v>
      </c>
      <c r="K116">
        <v>1.31668449228113</v>
      </c>
      <c r="L116">
        <v>810.888888885386</v>
      </c>
      <c r="M116">
        <v>3.00895061743091</v>
      </c>
    </row>
    <row r="117" spans="1:13">
      <c r="A117" t="s">
        <v>24</v>
      </c>
      <c r="B117">
        <v>10</v>
      </c>
      <c r="C117">
        <v>5</v>
      </c>
      <c r="D117">
        <v>1055</v>
      </c>
      <c r="E117">
        <v>692</v>
      </c>
      <c r="F117">
        <v>445</v>
      </c>
      <c r="G117">
        <v>5.2976190476190466</v>
      </c>
      <c r="H117">
        <v>84</v>
      </c>
      <c r="I117">
        <v>0.18876404494382021</v>
      </c>
      <c r="J117">
        <v>10.81647398843935</v>
      </c>
      <c r="K117">
        <v>1.35867581462465</v>
      </c>
      <c r="L117">
        <v>832.04444444468299</v>
      </c>
      <c r="M117">
        <v>26.736111111111111</v>
      </c>
    </row>
    <row r="118" spans="1:13">
      <c r="A118" t="s">
        <v>24</v>
      </c>
      <c r="B118">
        <v>10</v>
      </c>
      <c r="C118">
        <v>6</v>
      </c>
      <c r="D118">
        <v>374</v>
      </c>
      <c r="E118">
        <v>251</v>
      </c>
      <c r="F118">
        <v>147</v>
      </c>
      <c r="G118">
        <v>5.6538461538461542</v>
      </c>
      <c r="H118">
        <v>26</v>
      </c>
      <c r="I118">
        <v>0.1768707482993197</v>
      </c>
      <c r="J118">
        <v>8.2430278884462158</v>
      </c>
      <c r="K118">
        <v>1.1147080538648799</v>
      </c>
      <c r="L118">
        <v>421.77777777797598</v>
      </c>
      <c r="M118">
        <v>74.027777777777786</v>
      </c>
    </row>
    <row r="119" spans="1:13">
      <c r="A119" t="s">
        <v>24</v>
      </c>
      <c r="B119">
        <v>10</v>
      </c>
      <c r="C119">
        <v>7</v>
      </c>
      <c r="D119">
        <v>1405</v>
      </c>
      <c r="E119">
        <v>927</v>
      </c>
      <c r="F119">
        <v>589</v>
      </c>
      <c r="G119">
        <v>5.6634615384615383</v>
      </c>
      <c r="H119">
        <v>104</v>
      </c>
      <c r="I119">
        <v>0.1765704584040747</v>
      </c>
      <c r="J119">
        <v>9.5614976585099996</v>
      </c>
      <c r="K119">
        <v>1.21035697559428</v>
      </c>
      <c r="L119">
        <v>886.93333333353803</v>
      </c>
      <c r="M119">
        <v>2.473148148295222</v>
      </c>
    </row>
    <row r="120" spans="1:13">
      <c r="A120" t="s">
        <v>24</v>
      </c>
      <c r="B120">
        <v>10</v>
      </c>
      <c r="C120">
        <v>8</v>
      </c>
      <c r="D120">
        <v>1388</v>
      </c>
      <c r="E120">
        <v>922</v>
      </c>
      <c r="F120">
        <v>581</v>
      </c>
      <c r="G120">
        <v>5.5865384615384617</v>
      </c>
      <c r="H120">
        <v>104</v>
      </c>
      <c r="I120">
        <v>0.17900172117039589</v>
      </c>
      <c r="J120">
        <v>9.7224617000806415</v>
      </c>
      <c r="K120">
        <v>1.24106572321023</v>
      </c>
      <c r="L120">
        <v>834.04444444466401</v>
      </c>
      <c r="M120">
        <v>3.6308641976777918</v>
      </c>
    </row>
    <row r="121" spans="1:13">
      <c r="A121" t="s">
        <v>24</v>
      </c>
      <c r="B121">
        <v>10</v>
      </c>
      <c r="C121">
        <v>9</v>
      </c>
      <c r="D121">
        <v>1380</v>
      </c>
      <c r="E121">
        <v>889</v>
      </c>
      <c r="F121">
        <v>555</v>
      </c>
      <c r="G121">
        <v>5.4950495049504946</v>
      </c>
      <c r="H121">
        <v>101</v>
      </c>
      <c r="I121">
        <v>0.18198198198198201</v>
      </c>
      <c r="J121">
        <v>9.7406876180061186</v>
      </c>
      <c r="K121">
        <v>1.2537820202344401</v>
      </c>
      <c r="L121">
        <v>901.42222222216196</v>
      </c>
      <c r="M121">
        <v>4.1929012347148813</v>
      </c>
    </row>
    <row r="122" spans="1:13">
      <c r="A122" t="s">
        <v>25</v>
      </c>
      <c r="B122">
        <v>10</v>
      </c>
      <c r="C122">
        <v>0</v>
      </c>
      <c r="D122">
        <v>1422</v>
      </c>
      <c r="E122">
        <v>926</v>
      </c>
      <c r="F122">
        <v>600</v>
      </c>
      <c r="G122">
        <v>5.6603773584905657</v>
      </c>
      <c r="H122">
        <v>106</v>
      </c>
      <c r="I122">
        <v>0.17666666666666669</v>
      </c>
      <c r="J122">
        <v>10.188992884719649</v>
      </c>
      <c r="K122">
        <v>1.2632852071121501</v>
      </c>
      <c r="L122">
        <v>742.04444444503497</v>
      </c>
      <c r="M122">
        <v>1.354938271752385</v>
      </c>
    </row>
    <row r="123" spans="1:13">
      <c r="A123" t="s">
        <v>25</v>
      </c>
      <c r="B123">
        <v>10</v>
      </c>
      <c r="C123">
        <v>1</v>
      </c>
      <c r="D123">
        <v>1428</v>
      </c>
      <c r="E123">
        <v>929</v>
      </c>
      <c r="F123">
        <v>585</v>
      </c>
      <c r="G123">
        <v>5.7352941176470589</v>
      </c>
      <c r="H123">
        <v>102</v>
      </c>
      <c r="I123">
        <v>0.17435897435897441</v>
      </c>
      <c r="J123">
        <v>9.5855758880517108</v>
      </c>
      <c r="K123">
        <v>1.22354503076631</v>
      </c>
      <c r="L123">
        <v>828.93333332975203</v>
      </c>
      <c r="M123">
        <v>0.9148148149621167</v>
      </c>
    </row>
    <row r="124" spans="1:13">
      <c r="A124" t="s">
        <v>25</v>
      </c>
      <c r="B124">
        <v>10</v>
      </c>
      <c r="C124">
        <v>2</v>
      </c>
      <c r="D124">
        <v>1429</v>
      </c>
      <c r="E124">
        <v>958</v>
      </c>
      <c r="F124">
        <v>613</v>
      </c>
      <c r="G124">
        <v>5.8380952380952378</v>
      </c>
      <c r="H124">
        <v>105</v>
      </c>
      <c r="I124">
        <v>0.17128874388254489</v>
      </c>
      <c r="J124">
        <v>9.953690269059571</v>
      </c>
      <c r="K124">
        <v>1.2386998856223099</v>
      </c>
      <c r="L124">
        <v>903.86666667200996</v>
      </c>
      <c r="M124">
        <v>0.81697530878911395</v>
      </c>
    </row>
    <row r="125" spans="1:13">
      <c r="A125" t="s">
        <v>25</v>
      </c>
      <c r="B125">
        <v>10</v>
      </c>
      <c r="C125">
        <v>3</v>
      </c>
      <c r="D125">
        <v>1429</v>
      </c>
      <c r="E125">
        <v>935</v>
      </c>
      <c r="F125">
        <v>579</v>
      </c>
      <c r="G125">
        <v>5.4112149532710276</v>
      </c>
      <c r="H125">
        <v>107</v>
      </c>
      <c r="I125">
        <v>0.1848013816925734</v>
      </c>
      <c r="J125">
        <v>9.8861319155447802</v>
      </c>
      <c r="K125">
        <v>1.2842163178533501</v>
      </c>
      <c r="L125">
        <v>765.51111110780403</v>
      </c>
      <c r="M125">
        <v>0.878086419900582</v>
      </c>
    </row>
    <row r="126" spans="1:13">
      <c r="A126" t="s">
        <v>25</v>
      </c>
      <c r="B126">
        <v>10</v>
      </c>
      <c r="C126">
        <v>4</v>
      </c>
      <c r="D126">
        <v>1423</v>
      </c>
      <c r="E126">
        <v>942</v>
      </c>
      <c r="F126">
        <v>590</v>
      </c>
      <c r="G126">
        <v>5.6730769230769234</v>
      </c>
      <c r="H126">
        <v>104</v>
      </c>
      <c r="I126">
        <v>0.17627118644067799</v>
      </c>
      <c r="J126">
        <v>9.8142250530785979</v>
      </c>
      <c r="K126">
        <v>1.24449672657583</v>
      </c>
      <c r="L126">
        <v>864.40000000064003</v>
      </c>
      <c r="M126">
        <v>1.1932098766901029</v>
      </c>
    </row>
    <row r="127" spans="1:13">
      <c r="A127" t="s">
        <v>25</v>
      </c>
      <c r="B127">
        <v>10</v>
      </c>
      <c r="C127">
        <v>5</v>
      </c>
      <c r="D127">
        <v>1426</v>
      </c>
      <c r="E127">
        <v>931</v>
      </c>
      <c r="F127">
        <v>595</v>
      </c>
      <c r="G127">
        <v>5.3125</v>
      </c>
      <c r="H127">
        <v>112</v>
      </c>
      <c r="I127">
        <v>0.18823529411764711</v>
      </c>
      <c r="J127">
        <v>10.098106874311661</v>
      </c>
      <c r="K127">
        <v>1.25335023141748</v>
      </c>
      <c r="L127">
        <v>890.35555555626399</v>
      </c>
      <c r="M127">
        <v>1.092283950764819</v>
      </c>
    </row>
    <row r="128" spans="1:13">
      <c r="A128" t="s">
        <v>25</v>
      </c>
      <c r="B128">
        <v>10</v>
      </c>
      <c r="C128">
        <v>6</v>
      </c>
      <c r="D128">
        <v>1271</v>
      </c>
      <c r="E128">
        <v>829</v>
      </c>
      <c r="F128">
        <v>515</v>
      </c>
      <c r="G128">
        <v>5.5376344086021509</v>
      </c>
      <c r="H128">
        <v>93</v>
      </c>
      <c r="I128">
        <v>0.18058252427184471</v>
      </c>
      <c r="J128">
        <v>9.3148371531966578</v>
      </c>
      <c r="K128">
        <v>1.1993940062381301</v>
      </c>
      <c r="L128">
        <v>963.24444444444202</v>
      </c>
      <c r="M128">
        <v>11.736728395135151</v>
      </c>
    </row>
    <row r="129" spans="1:13">
      <c r="A129" t="s">
        <v>25</v>
      </c>
      <c r="B129">
        <v>10</v>
      </c>
      <c r="C129">
        <v>7</v>
      </c>
      <c r="D129">
        <v>1429</v>
      </c>
      <c r="E129">
        <v>940</v>
      </c>
      <c r="F129">
        <v>605</v>
      </c>
      <c r="G129">
        <v>5.8737864077669899</v>
      </c>
      <c r="H129">
        <v>103</v>
      </c>
      <c r="I129">
        <v>0.17024793388429749</v>
      </c>
      <c r="J129">
        <v>9.9361702127660099</v>
      </c>
      <c r="K129">
        <v>1.23085166284819</v>
      </c>
      <c r="L129">
        <v>812.17777777523099</v>
      </c>
      <c r="M129">
        <v>0.83950617298677299</v>
      </c>
    </row>
    <row r="130" spans="1:13">
      <c r="A130" t="s">
        <v>25</v>
      </c>
      <c r="B130">
        <v>10</v>
      </c>
      <c r="C130">
        <v>8</v>
      </c>
      <c r="D130">
        <v>1428</v>
      </c>
      <c r="E130">
        <v>943</v>
      </c>
      <c r="F130">
        <v>589</v>
      </c>
      <c r="G130">
        <v>5.7184466019417473</v>
      </c>
      <c r="H130">
        <v>103</v>
      </c>
      <c r="I130">
        <v>0.17487266553480479</v>
      </c>
      <c r="J130">
        <v>9.6065747613998305</v>
      </c>
      <c r="K130">
        <v>1.21574996567321</v>
      </c>
      <c r="L130">
        <v>905.42222222262296</v>
      </c>
      <c r="M130">
        <v>0.85617283965313051</v>
      </c>
    </row>
    <row r="131" spans="1:13">
      <c r="A131" t="s">
        <v>25</v>
      </c>
      <c r="B131">
        <v>10</v>
      </c>
      <c r="C131">
        <v>9</v>
      </c>
      <c r="D131">
        <v>1425</v>
      </c>
      <c r="E131">
        <v>922</v>
      </c>
      <c r="F131">
        <v>585</v>
      </c>
      <c r="G131">
        <v>5.7920792079207919</v>
      </c>
      <c r="H131">
        <v>101</v>
      </c>
      <c r="I131">
        <v>0.17264957264957259</v>
      </c>
      <c r="J131">
        <v>9.8496249137753047</v>
      </c>
      <c r="K131">
        <v>1.22943464228137</v>
      </c>
      <c r="L131">
        <v>892.75555556012296</v>
      </c>
      <c r="M131">
        <v>1.1111111112583341</v>
      </c>
    </row>
    <row r="132" spans="1:13">
      <c r="A132" t="s">
        <v>26</v>
      </c>
      <c r="B132">
        <v>10</v>
      </c>
      <c r="C132">
        <v>0</v>
      </c>
      <c r="D132">
        <v>1428</v>
      </c>
      <c r="E132">
        <v>932</v>
      </c>
      <c r="F132">
        <v>601</v>
      </c>
      <c r="G132">
        <v>5.4636363636363638</v>
      </c>
      <c r="H132">
        <v>110</v>
      </c>
      <c r="I132">
        <v>0.18302828618968389</v>
      </c>
      <c r="J132">
        <v>10.26541670390024</v>
      </c>
      <c r="K132">
        <v>1.2748300136960899</v>
      </c>
      <c r="L132">
        <v>824.17777777793196</v>
      </c>
      <c r="M132">
        <v>0.94938271619688952</v>
      </c>
    </row>
    <row r="133" spans="1:13">
      <c r="A133" t="s">
        <v>26</v>
      </c>
      <c r="B133">
        <v>10</v>
      </c>
      <c r="C133">
        <v>1</v>
      </c>
      <c r="D133">
        <v>1429</v>
      </c>
      <c r="E133">
        <v>911</v>
      </c>
      <c r="F133">
        <v>582</v>
      </c>
      <c r="G133">
        <v>5.4905660377358494</v>
      </c>
      <c r="H133">
        <v>106</v>
      </c>
      <c r="I133">
        <v>0.18213058419243991</v>
      </c>
      <c r="J133">
        <v>10.334220979681319</v>
      </c>
      <c r="K133">
        <v>1.28225329136134</v>
      </c>
      <c r="L133">
        <v>945.68888888774495</v>
      </c>
      <c r="M133">
        <v>0.79197530878896039</v>
      </c>
    </row>
    <row r="134" spans="1:13">
      <c r="A134" t="s">
        <v>26</v>
      </c>
      <c r="B134">
        <v>10</v>
      </c>
      <c r="C134">
        <v>2</v>
      </c>
      <c r="D134">
        <v>1427</v>
      </c>
      <c r="E134">
        <v>966</v>
      </c>
      <c r="F134">
        <v>605</v>
      </c>
      <c r="G134">
        <v>5.6018518518518521</v>
      </c>
      <c r="H134">
        <v>108</v>
      </c>
      <c r="I134">
        <v>0.1785123966942149</v>
      </c>
      <c r="J134">
        <v>9.8571428571429074</v>
      </c>
      <c r="K134">
        <v>1.2582311895414799</v>
      </c>
      <c r="L134">
        <v>952.71111111674304</v>
      </c>
      <c r="M134">
        <v>0.96018518533234443</v>
      </c>
    </row>
    <row r="135" spans="1:13">
      <c r="A135" t="s">
        <v>26</v>
      </c>
      <c r="B135">
        <v>10</v>
      </c>
      <c r="C135">
        <v>3</v>
      </c>
      <c r="D135">
        <v>1429</v>
      </c>
      <c r="E135">
        <v>929</v>
      </c>
      <c r="F135">
        <v>579</v>
      </c>
      <c r="G135">
        <v>5.4622641509433958</v>
      </c>
      <c r="H135">
        <v>106</v>
      </c>
      <c r="I135">
        <v>0.18307426597582041</v>
      </c>
      <c r="J135">
        <v>9.5945085067459868</v>
      </c>
      <c r="K135">
        <v>1.2349395837274599</v>
      </c>
      <c r="L135">
        <v>872.57777778293598</v>
      </c>
      <c r="M135">
        <v>0.83333333348056671</v>
      </c>
    </row>
    <row r="136" spans="1:13">
      <c r="A136" t="s">
        <v>26</v>
      </c>
      <c r="B136">
        <v>10</v>
      </c>
      <c r="C136">
        <v>4</v>
      </c>
      <c r="D136">
        <v>1429</v>
      </c>
      <c r="E136">
        <v>937</v>
      </c>
      <c r="F136">
        <v>590</v>
      </c>
      <c r="G136">
        <v>5.7281553398058254</v>
      </c>
      <c r="H136">
        <v>103</v>
      </c>
      <c r="I136">
        <v>0.1745762711864407</v>
      </c>
      <c r="J136">
        <v>10.082176370604561</v>
      </c>
      <c r="K136">
        <v>1.27525273832869</v>
      </c>
      <c r="L136">
        <v>927.02222222245905</v>
      </c>
      <c r="M136">
        <v>0.80339506187544574</v>
      </c>
    </row>
    <row r="137" spans="1:13">
      <c r="A137" t="s">
        <v>26</v>
      </c>
      <c r="B137">
        <v>10</v>
      </c>
      <c r="C137">
        <v>5</v>
      </c>
      <c r="D137">
        <v>1428</v>
      </c>
      <c r="E137">
        <v>939</v>
      </c>
      <c r="F137">
        <v>605</v>
      </c>
      <c r="G137">
        <v>5.5</v>
      </c>
      <c r="H137">
        <v>110</v>
      </c>
      <c r="I137">
        <v>0.1818181818181818</v>
      </c>
      <c r="J137">
        <v>10.16932907348248</v>
      </c>
      <c r="K137">
        <v>1.2543225636830799</v>
      </c>
      <c r="L137">
        <v>924.44444444467899</v>
      </c>
      <c r="M137">
        <v>0.90154321002376381</v>
      </c>
    </row>
    <row r="138" spans="1:13">
      <c r="A138" t="s">
        <v>26</v>
      </c>
      <c r="B138">
        <v>10</v>
      </c>
      <c r="C138">
        <v>6</v>
      </c>
      <c r="D138">
        <v>1429</v>
      </c>
      <c r="E138">
        <v>923</v>
      </c>
      <c r="F138">
        <v>583</v>
      </c>
      <c r="G138">
        <v>5.5</v>
      </c>
      <c r="H138">
        <v>106</v>
      </c>
      <c r="I138">
        <v>0.1818181818181818</v>
      </c>
      <c r="J138">
        <v>10.33737974609744</v>
      </c>
      <c r="K138">
        <v>1.2934841122351399</v>
      </c>
      <c r="L138">
        <v>1013.60000000052</v>
      </c>
      <c r="M138">
        <v>0.79722222236924156</v>
      </c>
    </row>
    <row r="139" spans="1:13">
      <c r="A139" t="s">
        <v>26</v>
      </c>
      <c r="B139">
        <v>10</v>
      </c>
      <c r="C139">
        <v>7</v>
      </c>
      <c r="D139">
        <v>1429</v>
      </c>
      <c r="E139">
        <v>943</v>
      </c>
      <c r="F139">
        <v>599</v>
      </c>
      <c r="G139">
        <v>5.7047619047619049</v>
      </c>
      <c r="H139">
        <v>105</v>
      </c>
      <c r="I139">
        <v>0.17529215358931549</v>
      </c>
      <c r="J139">
        <v>9.6924708377519071</v>
      </c>
      <c r="K139">
        <v>1.21800464309671</v>
      </c>
      <c r="L139">
        <v>808.444444440952</v>
      </c>
      <c r="M139">
        <v>0.80092592607296176</v>
      </c>
    </row>
    <row r="140" spans="1:13">
      <c r="A140" t="s">
        <v>26</v>
      </c>
      <c r="B140">
        <v>10</v>
      </c>
      <c r="C140">
        <v>8</v>
      </c>
      <c r="D140">
        <v>1429</v>
      </c>
      <c r="E140">
        <v>933</v>
      </c>
      <c r="F140">
        <v>583</v>
      </c>
      <c r="G140">
        <v>5.5</v>
      </c>
      <c r="H140">
        <v>106</v>
      </c>
      <c r="I140">
        <v>0.1818181818181818</v>
      </c>
      <c r="J140">
        <v>9.9998762413440083</v>
      </c>
      <c r="K140">
        <v>1.27848688948685</v>
      </c>
      <c r="L140">
        <v>820.80000000029895</v>
      </c>
      <c r="M140">
        <v>0.79845679027047844</v>
      </c>
    </row>
    <row r="141" spans="1:13">
      <c r="A141" t="s">
        <v>26</v>
      </c>
      <c r="B141">
        <v>10</v>
      </c>
      <c r="C141">
        <v>9</v>
      </c>
      <c r="D141">
        <v>1429</v>
      </c>
      <c r="E141">
        <v>927</v>
      </c>
      <c r="F141">
        <v>583</v>
      </c>
      <c r="G141">
        <v>5.6601941747572813</v>
      </c>
      <c r="H141">
        <v>103</v>
      </c>
      <c r="I141">
        <v>0.176672384219554</v>
      </c>
      <c r="J141">
        <v>9.5350593311758676</v>
      </c>
      <c r="K141">
        <v>1.2161771765801801</v>
      </c>
      <c r="L141">
        <v>1064.9333333336799</v>
      </c>
      <c r="M141">
        <v>0.798456790270482</v>
      </c>
    </row>
    <row r="142" spans="1:13">
      <c r="A142" t="s">
        <v>27</v>
      </c>
      <c r="B142">
        <v>10</v>
      </c>
      <c r="C142">
        <v>0</v>
      </c>
      <c r="D142">
        <v>1425</v>
      </c>
      <c r="E142">
        <v>925</v>
      </c>
      <c r="F142">
        <v>606</v>
      </c>
      <c r="G142">
        <v>5.4594594594594597</v>
      </c>
      <c r="H142">
        <v>111</v>
      </c>
      <c r="I142">
        <v>0.18316831683168319</v>
      </c>
      <c r="J142">
        <v>10.44139455704347</v>
      </c>
      <c r="K142">
        <v>1.2929890896521301</v>
      </c>
      <c r="L142">
        <v>886.08888888929005</v>
      </c>
      <c r="M142">
        <v>1.083641975455707</v>
      </c>
    </row>
    <row r="143" spans="1:13">
      <c r="A143" t="s">
        <v>27</v>
      </c>
      <c r="B143">
        <v>10</v>
      </c>
      <c r="C143">
        <v>1</v>
      </c>
      <c r="D143">
        <v>1429</v>
      </c>
      <c r="E143">
        <v>912</v>
      </c>
      <c r="F143">
        <v>568</v>
      </c>
      <c r="G143">
        <v>5.795918367346939</v>
      </c>
      <c r="H143">
        <v>98</v>
      </c>
      <c r="I143">
        <v>0.1725352112676056</v>
      </c>
      <c r="J143">
        <v>10.039916849397819</v>
      </c>
      <c r="K143">
        <v>1.27981791017805</v>
      </c>
      <c r="L143">
        <v>883.37777777747704</v>
      </c>
      <c r="M143">
        <v>0.84382716064112362</v>
      </c>
    </row>
    <row r="144" spans="1:13">
      <c r="A144" t="s">
        <v>27</v>
      </c>
      <c r="B144">
        <v>10</v>
      </c>
      <c r="C144">
        <v>2</v>
      </c>
      <c r="D144">
        <v>1429</v>
      </c>
      <c r="E144">
        <v>969</v>
      </c>
      <c r="F144">
        <v>621</v>
      </c>
      <c r="G144">
        <v>6.0291262135922334</v>
      </c>
      <c r="H144">
        <v>103</v>
      </c>
      <c r="I144">
        <v>0.1658615136876006</v>
      </c>
      <c r="J144">
        <v>9.3112676656635394</v>
      </c>
      <c r="K144">
        <v>1.1590188048083601</v>
      </c>
      <c r="L144">
        <v>889.37777777798397</v>
      </c>
      <c r="M144">
        <v>0.86512345693754311</v>
      </c>
    </row>
    <row r="145" spans="1:13">
      <c r="A145" t="s">
        <v>27</v>
      </c>
      <c r="B145">
        <v>10</v>
      </c>
      <c r="C145">
        <v>3</v>
      </c>
      <c r="D145">
        <v>1429</v>
      </c>
      <c r="E145">
        <v>933</v>
      </c>
      <c r="F145">
        <v>595</v>
      </c>
      <c r="G145">
        <v>5.6132075471698117</v>
      </c>
      <c r="H145">
        <v>106</v>
      </c>
      <c r="I145">
        <v>0.17815126050420169</v>
      </c>
      <c r="J145">
        <v>9.9538451191062052</v>
      </c>
      <c r="K145">
        <v>1.2551233872662899</v>
      </c>
      <c r="L145">
        <v>892.53333333860996</v>
      </c>
      <c r="M145">
        <v>0.84629629644360693</v>
      </c>
    </row>
    <row r="146" spans="1:13">
      <c r="A146" t="s">
        <v>27</v>
      </c>
      <c r="B146">
        <v>10</v>
      </c>
      <c r="C146">
        <v>4</v>
      </c>
      <c r="D146">
        <v>1429</v>
      </c>
      <c r="E146">
        <v>936</v>
      </c>
      <c r="F146">
        <v>583</v>
      </c>
      <c r="G146">
        <v>5.4485981308411224</v>
      </c>
      <c r="H146">
        <v>107</v>
      </c>
      <c r="I146">
        <v>0.18353344768439109</v>
      </c>
      <c r="J146">
        <v>9.7600906663267413</v>
      </c>
      <c r="K146">
        <v>1.2728047844702399</v>
      </c>
      <c r="L146">
        <v>794.80000000469897</v>
      </c>
      <c r="M146">
        <v>0.838580247060839</v>
      </c>
    </row>
    <row r="147" spans="1:13">
      <c r="A147" t="s">
        <v>27</v>
      </c>
      <c r="B147">
        <v>10</v>
      </c>
      <c r="C147">
        <v>5</v>
      </c>
      <c r="D147">
        <v>1429</v>
      </c>
      <c r="E147">
        <v>927</v>
      </c>
      <c r="F147">
        <v>591</v>
      </c>
      <c r="G147">
        <v>5.372727272727273</v>
      </c>
      <c r="H147">
        <v>110</v>
      </c>
      <c r="I147">
        <v>0.18612521150592221</v>
      </c>
      <c r="J147">
        <v>10.597626752966599</v>
      </c>
      <c r="K147">
        <v>1.30993326629618</v>
      </c>
      <c r="L147">
        <v>967.28888888915696</v>
      </c>
      <c r="M147">
        <v>0.83580246928305002</v>
      </c>
    </row>
    <row r="148" spans="1:13">
      <c r="A148" t="s">
        <v>27</v>
      </c>
      <c r="B148">
        <v>10</v>
      </c>
      <c r="C148">
        <v>6</v>
      </c>
      <c r="D148">
        <v>1429</v>
      </c>
      <c r="E148">
        <v>933</v>
      </c>
      <c r="F148">
        <v>582</v>
      </c>
      <c r="G148">
        <v>5.650485436893204</v>
      </c>
      <c r="H148">
        <v>103</v>
      </c>
      <c r="I148">
        <v>0.17697594501718211</v>
      </c>
      <c r="J148">
        <v>9.7925780412536874</v>
      </c>
      <c r="K148">
        <v>1.2438590155618401</v>
      </c>
      <c r="L148">
        <v>1004.26666666711</v>
      </c>
      <c r="M148">
        <v>0.83919753101145478</v>
      </c>
    </row>
    <row r="149" spans="1:13">
      <c r="A149" t="s">
        <v>27</v>
      </c>
      <c r="B149">
        <v>10</v>
      </c>
      <c r="C149">
        <v>7</v>
      </c>
      <c r="D149">
        <v>1427</v>
      </c>
      <c r="E149">
        <v>940</v>
      </c>
      <c r="F149">
        <v>604</v>
      </c>
      <c r="G149">
        <v>6.04</v>
      </c>
      <c r="H149">
        <v>100</v>
      </c>
      <c r="I149">
        <v>0.16556291390728481</v>
      </c>
      <c r="J149">
        <v>9.9063829787234461</v>
      </c>
      <c r="K149">
        <v>1.213442308361</v>
      </c>
      <c r="L149">
        <v>823.51111111597902</v>
      </c>
      <c r="M149">
        <v>0.95277777792488827</v>
      </c>
    </row>
    <row r="150" spans="1:13">
      <c r="A150" t="s">
        <v>27</v>
      </c>
      <c r="B150">
        <v>10</v>
      </c>
      <c r="C150">
        <v>8</v>
      </c>
      <c r="D150">
        <v>1429</v>
      </c>
      <c r="E150">
        <v>942</v>
      </c>
      <c r="F150">
        <v>584</v>
      </c>
      <c r="G150">
        <v>5.4074074074074074</v>
      </c>
      <c r="H150">
        <v>108</v>
      </c>
      <c r="I150">
        <v>0.18493150684931511</v>
      </c>
      <c r="J150">
        <v>9.8842887473461243</v>
      </c>
      <c r="K150">
        <v>1.2778644795017799</v>
      </c>
      <c r="L150">
        <v>803.02222222262196</v>
      </c>
      <c r="M150">
        <v>0.83919753101146322</v>
      </c>
    </row>
    <row r="151" spans="1:13">
      <c r="A151" t="s">
        <v>27</v>
      </c>
      <c r="B151">
        <v>10</v>
      </c>
      <c r="C151">
        <v>9</v>
      </c>
      <c r="D151">
        <v>1429</v>
      </c>
      <c r="E151">
        <v>921</v>
      </c>
      <c r="F151">
        <v>580</v>
      </c>
      <c r="G151">
        <v>5.5769230769230766</v>
      </c>
      <c r="H151">
        <v>104</v>
      </c>
      <c r="I151">
        <v>0.1793103448275862</v>
      </c>
      <c r="J151">
        <v>10.14875937447165</v>
      </c>
      <c r="K151">
        <v>1.29200481056573</v>
      </c>
      <c r="L151">
        <v>832.40000000492103</v>
      </c>
      <c r="M151">
        <v>0.83487654335712014</v>
      </c>
    </row>
    <row r="152" spans="1:13">
      <c r="A152" t="s">
        <v>28</v>
      </c>
      <c r="B152">
        <v>10</v>
      </c>
      <c r="C152">
        <v>0</v>
      </c>
      <c r="D152">
        <v>1427</v>
      </c>
      <c r="E152">
        <v>925</v>
      </c>
      <c r="F152">
        <v>602</v>
      </c>
      <c r="G152">
        <v>5.3274336283185839</v>
      </c>
      <c r="H152">
        <v>113</v>
      </c>
      <c r="I152">
        <v>0.1877076411960133</v>
      </c>
      <c r="J152">
        <v>10.80043693691983</v>
      </c>
      <c r="K152">
        <v>1.3310517616720901</v>
      </c>
      <c r="L152">
        <v>881.86666666539702</v>
      </c>
      <c r="M152">
        <v>0.98888888903621952</v>
      </c>
    </row>
    <row r="153" spans="1:13">
      <c r="A153" t="s">
        <v>28</v>
      </c>
      <c r="B153">
        <v>10</v>
      </c>
      <c r="C153">
        <v>1</v>
      </c>
      <c r="D153">
        <v>1429</v>
      </c>
      <c r="E153">
        <v>914</v>
      </c>
      <c r="F153">
        <v>576</v>
      </c>
      <c r="G153">
        <v>5.6470588235294121</v>
      </c>
      <c r="H153">
        <v>102</v>
      </c>
      <c r="I153">
        <v>0.17708333333333329</v>
      </c>
      <c r="J153">
        <v>9.9912472647702852</v>
      </c>
      <c r="K153">
        <v>1.2613365752443699</v>
      </c>
      <c r="L153">
        <v>992.44444444015699</v>
      </c>
      <c r="M153">
        <v>0.85524691372761241</v>
      </c>
    </row>
    <row r="154" spans="1:13">
      <c r="A154" t="s">
        <v>28</v>
      </c>
      <c r="B154">
        <v>10</v>
      </c>
      <c r="C154">
        <v>2</v>
      </c>
      <c r="D154">
        <v>1428</v>
      </c>
      <c r="E154">
        <v>966</v>
      </c>
      <c r="F154">
        <v>611</v>
      </c>
      <c r="G154">
        <v>5.5545454545454547</v>
      </c>
      <c r="H154">
        <v>110</v>
      </c>
      <c r="I154">
        <v>0.18003273322422261</v>
      </c>
      <c r="J154">
        <v>10.11014924083935</v>
      </c>
      <c r="K154">
        <v>1.2694943862466801</v>
      </c>
      <c r="L154">
        <v>882.57777777396495</v>
      </c>
      <c r="M154">
        <v>0.87808641990017278</v>
      </c>
    </row>
    <row r="155" spans="1:13">
      <c r="A155" t="s">
        <v>28</v>
      </c>
      <c r="B155">
        <v>10</v>
      </c>
      <c r="C155">
        <v>3</v>
      </c>
      <c r="D155">
        <v>1429</v>
      </c>
      <c r="E155">
        <v>934</v>
      </c>
      <c r="F155">
        <v>595</v>
      </c>
      <c r="G155">
        <v>5.5092592592592604</v>
      </c>
      <c r="H155">
        <v>108</v>
      </c>
      <c r="I155">
        <v>0.1815126050420168</v>
      </c>
      <c r="J155">
        <v>10.261241970021461</v>
      </c>
      <c r="K155">
        <v>1.27799517573205</v>
      </c>
      <c r="L155">
        <v>932.84444444995904</v>
      </c>
      <c r="M155">
        <v>0.86172839520912436</v>
      </c>
    </row>
    <row r="156" spans="1:13">
      <c r="A156" t="s">
        <v>28</v>
      </c>
      <c r="B156">
        <v>10</v>
      </c>
      <c r="C156">
        <v>4</v>
      </c>
      <c r="D156">
        <v>1429</v>
      </c>
      <c r="E156">
        <v>931</v>
      </c>
      <c r="F156">
        <v>588</v>
      </c>
      <c r="G156">
        <v>5.7647058823529411</v>
      </c>
      <c r="H156">
        <v>102</v>
      </c>
      <c r="I156">
        <v>0.17346938775510201</v>
      </c>
      <c r="J156">
        <v>9.7350022597771542</v>
      </c>
      <c r="K156">
        <v>1.23306103352567</v>
      </c>
      <c r="L156">
        <v>894.62222222751097</v>
      </c>
      <c r="M156">
        <v>0.83672839520897846</v>
      </c>
    </row>
    <row r="157" spans="1:13">
      <c r="A157" t="s">
        <v>28</v>
      </c>
      <c r="B157">
        <v>10</v>
      </c>
      <c r="C157">
        <v>5</v>
      </c>
      <c r="D157">
        <v>1428</v>
      </c>
      <c r="E157">
        <v>929</v>
      </c>
      <c r="F157">
        <v>605</v>
      </c>
      <c r="G157">
        <v>5.2155172413793096</v>
      </c>
      <c r="H157">
        <v>116</v>
      </c>
      <c r="I157">
        <v>0.19173553719008271</v>
      </c>
      <c r="J157">
        <v>10.89803103694026</v>
      </c>
      <c r="K157">
        <v>1.31945070001969</v>
      </c>
      <c r="L157">
        <v>942.62222222779496</v>
      </c>
      <c r="M157">
        <v>0.88055555570265631</v>
      </c>
    </row>
    <row r="158" spans="1:13">
      <c r="A158" t="s">
        <v>28</v>
      </c>
      <c r="B158">
        <v>10</v>
      </c>
      <c r="C158">
        <v>6</v>
      </c>
      <c r="D158">
        <v>1429</v>
      </c>
      <c r="E158">
        <v>937</v>
      </c>
      <c r="F158">
        <v>577</v>
      </c>
      <c r="G158">
        <v>5.6568627450980404</v>
      </c>
      <c r="H158">
        <v>102</v>
      </c>
      <c r="I158">
        <v>0.17677642980935879</v>
      </c>
      <c r="J158">
        <v>9.3959553119633821</v>
      </c>
      <c r="K158">
        <v>1.2152348796630501</v>
      </c>
      <c r="L158">
        <v>984.80000000458199</v>
      </c>
      <c r="M158">
        <v>0.84012345693739587</v>
      </c>
    </row>
    <row r="159" spans="1:13">
      <c r="A159" t="s">
        <v>28</v>
      </c>
      <c r="B159">
        <v>10</v>
      </c>
      <c r="C159">
        <v>7</v>
      </c>
      <c r="D159">
        <v>1429</v>
      </c>
      <c r="E159">
        <v>939</v>
      </c>
      <c r="F159">
        <v>598</v>
      </c>
      <c r="G159">
        <v>5.5370370370370372</v>
      </c>
      <c r="H159">
        <v>108</v>
      </c>
      <c r="I159">
        <v>0.1806020066889632</v>
      </c>
      <c r="J159">
        <v>10.2204472843451</v>
      </c>
      <c r="K159">
        <v>1.2795534239208699</v>
      </c>
      <c r="L159">
        <v>845.42222222209705</v>
      </c>
      <c r="M159">
        <v>0.84104938286332087</v>
      </c>
    </row>
    <row r="160" spans="1:13">
      <c r="A160" t="s">
        <v>28</v>
      </c>
      <c r="B160">
        <v>10</v>
      </c>
      <c r="C160">
        <v>8</v>
      </c>
      <c r="D160">
        <v>1429</v>
      </c>
      <c r="E160">
        <v>939</v>
      </c>
      <c r="F160">
        <v>583</v>
      </c>
      <c r="G160">
        <v>5.4485981308411224</v>
      </c>
      <c r="H160">
        <v>107</v>
      </c>
      <c r="I160">
        <v>0.18353344768439109</v>
      </c>
      <c r="J160">
        <v>9.9605963791267822</v>
      </c>
      <c r="K160">
        <v>1.2934374790853</v>
      </c>
      <c r="L160">
        <v>826.84444444087205</v>
      </c>
      <c r="M160">
        <v>0.84783950632015836</v>
      </c>
    </row>
    <row r="161" spans="1:13">
      <c r="A161" t="s">
        <v>28</v>
      </c>
      <c r="B161">
        <v>10</v>
      </c>
      <c r="C161">
        <v>9</v>
      </c>
      <c r="D161">
        <v>1427</v>
      </c>
      <c r="E161">
        <v>923</v>
      </c>
      <c r="F161">
        <v>584</v>
      </c>
      <c r="G161">
        <v>5.7254901960784306</v>
      </c>
      <c r="H161">
        <v>102</v>
      </c>
      <c r="I161">
        <v>0.17465753424657529</v>
      </c>
      <c r="J161">
        <v>10.02600584509263</v>
      </c>
      <c r="K161">
        <v>1.2672834480227499</v>
      </c>
      <c r="L161">
        <v>841.37777778275199</v>
      </c>
      <c r="M161">
        <v>0.95339506187551382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01"/>
  <sheetViews>
    <sheetView workbookViewId="0"/>
  </sheetViews>
  <sheetFormatPr defaultRowHeight="15.75"/>
  <cols>
    <col min="1" max="5" width="18" customWidth="1"/>
  </cols>
  <sheetData>
    <row r="1" spans="1:5">
      <c r="A1" t="s">
        <v>29</v>
      </c>
      <c r="B1" t="s">
        <v>30</v>
      </c>
      <c r="C1" t="s">
        <v>31</v>
      </c>
      <c r="D1" t="s">
        <v>32</v>
      </c>
      <c r="E1" t="s">
        <v>33</v>
      </c>
    </row>
    <row r="2" spans="1:5">
      <c r="A2" t="s">
        <v>34</v>
      </c>
      <c r="B2" t="s">
        <v>13</v>
      </c>
      <c r="C2" t="s">
        <v>3</v>
      </c>
      <c r="D2">
        <f>AVERAGE(per_seed!$D$2:$D$11)</f>
        <v>1422.2</v>
      </c>
      <c r="E2">
        <v>1422.2</v>
      </c>
    </row>
    <row r="3" spans="1:5">
      <c r="A3" t="s">
        <v>35</v>
      </c>
      <c r="B3" t="s">
        <v>13</v>
      </c>
      <c r="C3" t="s">
        <v>3</v>
      </c>
      <c r="D3">
        <f>_xlfn.STDEV.S(per_seed!$D$2:$D$11)</f>
        <v>4.5655716448703823</v>
      </c>
      <c r="E3">
        <v>4.5655716448703823</v>
      </c>
    </row>
    <row r="4" spans="1:5">
      <c r="A4" t="s">
        <v>34</v>
      </c>
      <c r="B4" t="s">
        <v>13</v>
      </c>
      <c r="C4" t="s">
        <v>4</v>
      </c>
      <c r="D4">
        <f>AVERAGE(per_seed!$E$2:$E$11)</f>
        <v>931.2</v>
      </c>
      <c r="E4">
        <v>931.2</v>
      </c>
    </row>
    <row r="5" spans="1:5">
      <c r="A5" t="s">
        <v>35</v>
      </c>
      <c r="B5" t="s">
        <v>13</v>
      </c>
      <c r="C5" t="s">
        <v>4</v>
      </c>
      <c r="D5">
        <f>_xlfn.STDEV.S(per_seed!$E$2:$E$11)</f>
        <v>11.96104789166345</v>
      </c>
      <c r="E5">
        <v>11.96104789166345</v>
      </c>
    </row>
    <row r="6" spans="1:5">
      <c r="A6" t="s">
        <v>34</v>
      </c>
      <c r="B6" t="s">
        <v>13</v>
      </c>
      <c r="C6" t="s">
        <v>5</v>
      </c>
      <c r="D6">
        <f>AVERAGE(per_seed!$F$2:$F$11)</f>
        <v>584</v>
      </c>
      <c r="E6">
        <v>584</v>
      </c>
    </row>
    <row r="7" spans="1:5">
      <c r="A7" t="s">
        <v>35</v>
      </c>
      <c r="B7" t="s">
        <v>13</v>
      </c>
      <c r="C7" t="s">
        <v>5</v>
      </c>
      <c r="D7">
        <f>_xlfn.STDEV.S(per_seed!$F$2:$F$11)</f>
        <v>11.115554667022044</v>
      </c>
      <c r="E7">
        <v>11.115554667022041</v>
      </c>
    </row>
    <row r="8" spans="1:5">
      <c r="A8" t="s">
        <v>34</v>
      </c>
      <c r="B8" t="s">
        <v>13</v>
      </c>
      <c r="C8" t="s">
        <v>6</v>
      </c>
      <c r="D8">
        <f>AVERAGE(per_seed!$G$2:$G$11)</f>
        <v>5.230720266895009</v>
      </c>
      <c r="E8">
        <v>5.2307202668950081</v>
      </c>
    </row>
    <row r="9" spans="1:5">
      <c r="A9" t="s">
        <v>35</v>
      </c>
      <c r="B9" t="s">
        <v>13</v>
      </c>
      <c r="C9" t="s">
        <v>6</v>
      </c>
      <c r="D9">
        <f>_xlfn.STDEV.S(per_seed!$G$2:$G$11)</f>
        <v>0.11305338806849775</v>
      </c>
      <c r="E9">
        <v>0.1130533880684978</v>
      </c>
    </row>
    <row r="10" spans="1:5">
      <c r="A10" t="s">
        <v>34</v>
      </c>
      <c r="B10" t="s">
        <v>13</v>
      </c>
      <c r="C10" t="s">
        <v>7</v>
      </c>
      <c r="D10">
        <f>AVERAGE(per_seed!$H$2:$H$11)</f>
        <v>111.7</v>
      </c>
      <c r="E10">
        <v>111.7</v>
      </c>
    </row>
    <row r="11" spans="1:5">
      <c r="A11" t="s">
        <v>35</v>
      </c>
      <c r="B11" t="s">
        <v>13</v>
      </c>
      <c r="C11" t="s">
        <v>7</v>
      </c>
      <c r="D11">
        <f>_xlfn.STDEV.S(per_seed!$H$2:$H$11)</f>
        <v>3.4009802508492561</v>
      </c>
      <c r="E11">
        <v>3.4009802508492561</v>
      </c>
    </row>
    <row r="12" spans="1:5">
      <c r="A12" t="s">
        <v>34</v>
      </c>
      <c r="B12" t="s">
        <v>13</v>
      </c>
      <c r="C12" t="s">
        <v>8</v>
      </c>
      <c r="D12">
        <f>AVERAGE(per_seed!$I$2:$I$11)</f>
        <v>0.19125943050388863</v>
      </c>
      <c r="E12">
        <v>0.19125943050388861</v>
      </c>
    </row>
    <row r="13" spans="1:5">
      <c r="A13" t="s">
        <v>35</v>
      </c>
      <c r="B13" t="s">
        <v>13</v>
      </c>
      <c r="C13" t="s">
        <v>8</v>
      </c>
      <c r="D13">
        <f>_xlfn.STDEV.S(per_seed!$I$2:$I$11)</f>
        <v>4.1735315484725272E-3</v>
      </c>
      <c r="E13">
        <v>4.1735315484725281E-3</v>
      </c>
    </row>
    <row r="14" spans="1:5">
      <c r="A14" t="s">
        <v>34</v>
      </c>
      <c r="B14" t="s">
        <v>13</v>
      </c>
      <c r="C14" t="s">
        <v>9</v>
      </c>
      <c r="D14">
        <f>AVERAGE(per_seed!$J$2:$J$11)</f>
        <v>9.4020916400988774</v>
      </c>
      <c r="E14">
        <v>9.4020916400988774</v>
      </c>
    </row>
    <row r="15" spans="1:5">
      <c r="A15" t="s">
        <v>35</v>
      </c>
      <c r="B15" t="s">
        <v>13</v>
      </c>
      <c r="C15" t="s">
        <v>9</v>
      </c>
      <c r="D15">
        <f>_xlfn.STDEV.S(per_seed!$J$2:$J$11)</f>
        <v>0.23180472614620243</v>
      </c>
      <c r="E15">
        <v>0.2318047261462024</v>
      </c>
    </row>
    <row r="16" spans="1:5">
      <c r="A16" t="s">
        <v>34</v>
      </c>
      <c r="B16" t="s">
        <v>13</v>
      </c>
      <c r="C16" t="s">
        <v>10</v>
      </c>
      <c r="D16">
        <f>AVERAGE(per_seed!$K$2:$K$11)</f>
        <v>1.203161459557057</v>
      </c>
      <c r="E16">
        <v>1.203161459557057</v>
      </c>
    </row>
    <row r="17" spans="1:5">
      <c r="A17" t="s">
        <v>35</v>
      </c>
      <c r="B17" t="s">
        <v>13</v>
      </c>
      <c r="C17" t="s">
        <v>10</v>
      </c>
      <c r="D17">
        <f>_xlfn.STDEV.S(per_seed!$K$2:$K$11)</f>
        <v>2.323113163586632E-2</v>
      </c>
      <c r="E17">
        <v>2.323113163586632E-2</v>
      </c>
    </row>
    <row r="18" spans="1:5">
      <c r="A18" t="s">
        <v>34</v>
      </c>
      <c r="B18" t="s">
        <v>13</v>
      </c>
      <c r="C18" t="s">
        <v>11</v>
      </c>
      <c r="D18">
        <f>AVERAGE(per_seed!$L$2:$L$11)</f>
        <v>916.86666666714314</v>
      </c>
      <c r="E18">
        <v>916.86666666714314</v>
      </c>
    </row>
    <row r="19" spans="1:5">
      <c r="A19" t="s">
        <v>35</v>
      </c>
      <c r="B19" t="s">
        <v>13</v>
      </c>
      <c r="C19" t="s">
        <v>11</v>
      </c>
      <c r="D19">
        <f>_xlfn.STDEV.S(per_seed!$L$2:$L$11)</f>
        <v>64.204215511545812</v>
      </c>
      <c r="E19">
        <v>64.204215511545812</v>
      </c>
    </row>
    <row r="20" spans="1:5">
      <c r="A20" t="s">
        <v>34</v>
      </c>
      <c r="B20" t="s">
        <v>13</v>
      </c>
      <c r="C20" t="s">
        <v>12</v>
      </c>
      <c r="D20">
        <f>AVERAGE(per_seed!$M$2:$M$11)</f>
        <v>1.2984567902633033</v>
      </c>
      <c r="E20">
        <v>1.2984567902633031</v>
      </c>
    </row>
    <row r="21" spans="1:5">
      <c r="A21" t="s">
        <v>35</v>
      </c>
      <c r="B21" t="s">
        <v>13</v>
      </c>
      <c r="C21" t="s">
        <v>12</v>
      </c>
      <c r="D21">
        <f>_xlfn.STDEV.S(per_seed!$M$2:$M$11)</f>
        <v>0.29223757639494674</v>
      </c>
      <c r="E21">
        <v>0.29223757639494707</v>
      </c>
    </row>
    <row r="22" spans="1:5">
      <c r="A22" t="s">
        <v>34</v>
      </c>
      <c r="B22" t="s">
        <v>14</v>
      </c>
      <c r="C22" t="s">
        <v>3</v>
      </c>
      <c r="D22">
        <f>AVERAGE(per_seed!$D$12:$D$21)</f>
        <v>882.8</v>
      </c>
      <c r="E22">
        <v>882.8</v>
      </c>
    </row>
    <row r="23" spans="1:5">
      <c r="A23" t="s">
        <v>35</v>
      </c>
      <c r="B23" t="s">
        <v>14</v>
      </c>
      <c r="C23" t="s">
        <v>3</v>
      </c>
      <c r="D23">
        <f>_xlfn.STDEV.S(per_seed!$D$12:$D$21)</f>
        <v>255.10119996233297</v>
      </c>
      <c r="E23">
        <v>255.101199962333</v>
      </c>
    </row>
    <row r="24" spans="1:5">
      <c r="A24" t="s">
        <v>34</v>
      </c>
      <c r="B24" t="s">
        <v>14</v>
      </c>
      <c r="C24" t="s">
        <v>4</v>
      </c>
      <c r="D24">
        <f>AVERAGE(per_seed!$E$12:$E$21)</f>
        <v>586.70000000000005</v>
      </c>
      <c r="E24">
        <v>586.70000000000005</v>
      </c>
    </row>
    <row r="25" spans="1:5">
      <c r="A25" t="s">
        <v>35</v>
      </c>
      <c r="B25" t="s">
        <v>14</v>
      </c>
      <c r="C25" t="s">
        <v>4</v>
      </c>
      <c r="D25">
        <f>_xlfn.STDEV.S(per_seed!$E$12:$E$21)</f>
        <v>169.02665798953467</v>
      </c>
      <c r="E25">
        <v>169.02665798953461</v>
      </c>
    </row>
    <row r="26" spans="1:5">
      <c r="A26" t="s">
        <v>34</v>
      </c>
      <c r="B26" t="s">
        <v>14</v>
      </c>
      <c r="C26" t="s">
        <v>5</v>
      </c>
      <c r="D26">
        <f>AVERAGE(per_seed!$F$12:$F$21)</f>
        <v>364.6</v>
      </c>
      <c r="E26">
        <v>364.6</v>
      </c>
    </row>
    <row r="27" spans="1:5">
      <c r="A27" t="s">
        <v>35</v>
      </c>
      <c r="B27" t="s">
        <v>14</v>
      </c>
      <c r="C27" t="s">
        <v>5</v>
      </c>
      <c r="D27">
        <f>_xlfn.STDEV.S(per_seed!$F$12:$F$21)</f>
        <v>111.37444350777541</v>
      </c>
      <c r="E27">
        <v>111.3744435077755</v>
      </c>
    </row>
    <row r="28" spans="1:5">
      <c r="A28" t="s">
        <v>34</v>
      </c>
      <c r="B28" t="s">
        <v>14</v>
      </c>
      <c r="C28" t="s">
        <v>6</v>
      </c>
      <c r="D28">
        <f>AVERAGE(per_seed!$G$12:$G$21)</f>
        <v>5.562335462902035</v>
      </c>
      <c r="E28">
        <v>5.562335462902035</v>
      </c>
    </row>
    <row r="29" spans="1:5">
      <c r="A29" t="s">
        <v>35</v>
      </c>
      <c r="B29" t="s">
        <v>14</v>
      </c>
      <c r="C29" t="s">
        <v>6</v>
      </c>
      <c r="D29">
        <f>_xlfn.STDEV.S(per_seed!$G$12:$G$21)</f>
        <v>0.24679675723761116</v>
      </c>
      <c r="E29">
        <v>0.24679675723761141</v>
      </c>
    </row>
    <row r="30" spans="1:5">
      <c r="A30" t="s">
        <v>34</v>
      </c>
      <c r="B30" t="s">
        <v>14</v>
      </c>
      <c r="C30" t="s">
        <v>7</v>
      </c>
      <c r="D30">
        <f>AVERAGE(per_seed!$H$12:$H$21)</f>
        <v>65.7</v>
      </c>
      <c r="E30">
        <v>65.7</v>
      </c>
    </row>
    <row r="31" spans="1:5">
      <c r="A31" t="s">
        <v>35</v>
      </c>
      <c r="B31" t="s">
        <v>14</v>
      </c>
      <c r="C31" t="s">
        <v>7</v>
      </c>
      <c r="D31">
        <f>_xlfn.STDEV.S(per_seed!$H$12:$H$21)</f>
        <v>20.116604529039627</v>
      </c>
      <c r="E31">
        <v>20.11660452903963</v>
      </c>
    </row>
    <row r="32" spans="1:5">
      <c r="A32" t="s">
        <v>34</v>
      </c>
      <c r="B32" t="s">
        <v>14</v>
      </c>
      <c r="C32" t="s">
        <v>8</v>
      </c>
      <c r="D32">
        <f>AVERAGE(per_seed!$I$12:$I$21)</f>
        <v>0.18011078588762569</v>
      </c>
      <c r="E32">
        <v>0.18011078588762569</v>
      </c>
    </row>
    <row r="33" spans="1:5">
      <c r="A33" t="s">
        <v>35</v>
      </c>
      <c r="B33" t="s">
        <v>14</v>
      </c>
      <c r="C33" t="s">
        <v>8</v>
      </c>
      <c r="D33">
        <f>_xlfn.STDEV.S(per_seed!$I$12:$I$21)</f>
        <v>8.2801105696195844E-3</v>
      </c>
      <c r="E33">
        <v>8.2801105696195913E-3</v>
      </c>
    </row>
    <row r="34" spans="1:5">
      <c r="A34" t="s">
        <v>34</v>
      </c>
      <c r="B34" t="s">
        <v>14</v>
      </c>
      <c r="C34" t="s">
        <v>9</v>
      </c>
      <c r="D34">
        <f>AVERAGE(per_seed!$J$12:$J$21)</f>
        <v>9.8975394959171208</v>
      </c>
      <c r="E34">
        <v>9.897539495917119</v>
      </c>
    </row>
    <row r="35" spans="1:5">
      <c r="A35" t="s">
        <v>35</v>
      </c>
      <c r="B35" t="s">
        <v>14</v>
      </c>
      <c r="C35" t="s">
        <v>9</v>
      </c>
      <c r="D35">
        <f>_xlfn.STDEV.S(per_seed!$J$12:$J$21)</f>
        <v>1.0150913463686788</v>
      </c>
      <c r="E35">
        <v>1.0150913463686779</v>
      </c>
    </row>
    <row r="36" spans="1:5">
      <c r="A36" t="s">
        <v>34</v>
      </c>
      <c r="B36" t="s">
        <v>14</v>
      </c>
      <c r="C36" t="s">
        <v>10</v>
      </c>
      <c r="D36">
        <f>AVERAGE(per_seed!$K$12:$K$21)</f>
        <v>1.285163488070552</v>
      </c>
      <c r="E36">
        <v>1.285163488070552</v>
      </c>
    </row>
    <row r="37" spans="1:5">
      <c r="A37" t="s">
        <v>35</v>
      </c>
      <c r="B37" t="s">
        <v>14</v>
      </c>
      <c r="C37" t="s">
        <v>10</v>
      </c>
      <c r="D37">
        <f>_xlfn.STDEV.S(per_seed!$K$12:$K$21)</f>
        <v>0.12324316490460303</v>
      </c>
      <c r="E37">
        <v>0.12324316490460301</v>
      </c>
    </row>
    <row r="38" spans="1:5">
      <c r="A38" t="s">
        <v>34</v>
      </c>
      <c r="B38" t="s">
        <v>14</v>
      </c>
      <c r="C38" t="s">
        <v>11</v>
      </c>
      <c r="D38">
        <f>AVERAGE(per_seed!$L$12:$L$21)</f>
        <v>712.66222222215833</v>
      </c>
      <c r="E38">
        <v>712.66222222215833</v>
      </c>
    </row>
    <row r="39" spans="1:5">
      <c r="A39" t="s">
        <v>35</v>
      </c>
      <c r="B39" t="s">
        <v>14</v>
      </c>
      <c r="C39" t="s">
        <v>11</v>
      </c>
      <c r="D39">
        <f>_xlfn.STDEV.S(per_seed!$L$12:$L$21)</f>
        <v>117.6041159941867</v>
      </c>
      <c r="E39">
        <v>117.6041159941863</v>
      </c>
    </row>
    <row r="40" spans="1:5">
      <c r="A40" t="s">
        <v>34</v>
      </c>
      <c r="B40" t="s">
        <v>14</v>
      </c>
      <c r="C40" t="s">
        <v>12</v>
      </c>
      <c r="D40">
        <f>AVERAGE(per_seed!$M$12:$M$21)</f>
        <v>38.694444444444443</v>
      </c>
      <c r="E40">
        <v>38.694444444444443</v>
      </c>
    </row>
    <row r="41" spans="1:5">
      <c r="A41" t="s">
        <v>35</v>
      </c>
      <c r="B41" t="s">
        <v>14</v>
      </c>
      <c r="C41" t="s">
        <v>12</v>
      </c>
      <c r="D41">
        <f>_xlfn.STDEV.S(per_seed!$M$12:$M$21)</f>
        <v>17.715361108495351</v>
      </c>
      <c r="E41">
        <v>17.715361108495351</v>
      </c>
    </row>
    <row r="42" spans="1:5">
      <c r="A42" t="s">
        <v>34</v>
      </c>
      <c r="B42" t="s">
        <v>15</v>
      </c>
      <c r="C42" t="s">
        <v>3</v>
      </c>
      <c r="D42">
        <f>AVERAGE(per_seed!$D$22:$D$31)</f>
        <v>1136.2</v>
      </c>
      <c r="E42">
        <v>1136.2</v>
      </c>
    </row>
    <row r="43" spans="1:5">
      <c r="A43" t="s">
        <v>35</v>
      </c>
      <c r="B43" t="s">
        <v>15</v>
      </c>
      <c r="C43" t="s">
        <v>3</v>
      </c>
      <c r="D43">
        <f>_xlfn.STDEV.S(per_seed!$D$22:$D$31)</f>
        <v>297.93243081835402</v>
      </c>
      <c r="E43">
        <v>297.93243081835408</v>
      </c>
    </row>
    <row r="44" spans="1:5">
      <c r="A44" t="s">
        <v>34</v>
      </c>
      <c r="B44" t="s">
        <v>15</v>
      </c>
      <c r="C44" t="s">
        <v>4</v>
      </c>
      <c r="D44">
        <f>AVERAGE(per_seed!$E$22:$E$31)</f>
        <v>747.3</v>
      </c>
      <c r="E44">
        <v>747.3</v>
      </c>
    </row>
    <row r="45" spans="1:5">
      <c r="A45" t="s">
        <v>35</v>
      </c>
      <c r="B45" t="s">
        <v>15</v>
      </c>
      <c r="C45" t="s">
        <v>4</v>
      </c>
      <c r="D45">
        <f>_xlfn.STDEV.S(per_seed!$E$22:$E$31)</f>
        <v>194.08076783763096</v>
      </c>
      <c r="E45">
        <v>194.08076783763099</v>
      </c>
    </row>
    <row r="46" spans="1:5">
      <c r="A46" t="s">
        <v>34</v>
      </c>
      <c r="B46" t="s">
        <v>15</v>
      </c>
      <c r="C46" t="s">
        <v>5</v>
      </c>
      <c r="D46">
        <f>AVERAGE(per_seed!$F$22:$F$31)</f>
        <v>475.7</v>
      </c>
      <c r="E46">
        <v>475.7</v>
      </c>
    </row>
    <row r="47" spans="1:5">
      <c r="A47" t="s">
        <v>35</v>
      </c>
      <c r="B47" t="s">
        <v>15</v>
      </c>
      <c r="C47" t="s">
        <v>5</v>
      </c>
      <c r="D47">
        <f>_xlfn.STDEV.S(per_seed!$F$22:$F$31)</f>
        <v>127.73501216711628</v>
      </c>
      <c r="E47">
        <v>127.7350121671162</v>
      </c>
    </row>
    <row r="48" spans="1:5">
      <c r="A48" t="s">
        <v>34</v>
      </c>
      <c r="B48" t="s">
        <v>15</v>
      </c>
      <c r="C48" t="s">
        <v>6</v>
      </c>
      <c r="D48">
        <f>AVERAGE(per_seed!$G$22:$G$31)</f>
        <v>5.42565664625777</v>
      </c>
      <c r="E48">
        <v>5.4256566462577709</v>
      </c>
    </row>
    <row r="49" spans="1:5">
      <c r="A49" t="s">
        <v>35</v>
      </c>
      <c r="B49" t="s">
        <v>15</v>
      </c>
      <c r="C49" t="s">
        <v>6</v>
      </c>
      <c r="D49">
        <f>_xlfn.STDEV.S(per_seed!$G$22:$G$31)</f>
        <v>0.36599935566307534</v>
      </c>
      <c r="E49">
        <v>0.36599935566307529</v>
      </c>
    </row>
    <row r="50" spans="1:5">
      <c r="A50" t="s">
        <v>34</v>
      </c>
      <c r="B50" t="s">
        <v>15</v>
      </c>
      <c r="C50" t="s">
        <v>7</v>
      </c>
      <c r="D50">
        <f>AVERAGE(per_seed!$H$22:$H$31)</f>
        <v>89</v>
      </c>
      <c r="E50">
        <v>89</v>
      </c>
    </row>
    <row r="51" spans="1:5">
      <c r="A51" t="s">
        <v>35</v>
      </c>
      <c r="B51" t="s">
        <v>15</v>
      </c>
      <c r="C51" t="s">
        <v>7</v>
      </c>
      <c r="D51">
        <f>_xlfn.STDEV.S(per_seed!$H$22:$H$31)</f>
        <v>25.595138427269955</v>
      </c>
      <c r="E51">
        <v>25.595138427269951</v>
      </c>
    </row>
    <row r="52" spans="1:5">
      <c r="A52" t="s">
        <v>34</v>
      </c>
      <c r="B52" t="s">
        <v>15</v>
      </c>
      <c r="C52" t="s">
        <v>8</v>
      </c>
      <c r="D52">
        <f>AVERAGE(per_seed!$I$22:$I$31)</f>
        <v>0.18500017971988164</v>
      </c>
      <c r="E52">
        <v>0.18500017971988161</v>
      </c>
    </row>
    <row r="53" spans="1:5">
      <c r="A53" t="s">
        <v>35</v>
      </c>
      <c r="B53" t="s">
        <v>15</v>
      </c>
      <c r="C53" t="s">
        <v>8</v>
      </c>
      <c r="D53">
        <f>_xlfn.STDEV.S(per_seed!$I$22:$I$31)</f>
        <v>1.1405801974098189E-2</v>
      </c>
      <c r="E53">
        <v>1.140580197409821E-2</v>
      </c>
    </row>
    <row r="54" spans="1:5">
      <c r="A54" t="s">
        <v>34</v>
      </c>
      <c r="B54" t="s">
        <v>15</v>
      </c>
      <c r="C54" t="s">
        <v>9</v>
      </c>
      <c r="D54">
        <f>AVERAGE(per_seed!$J$22:$J$31)</f>
        <v>9.2699462132339345</v>
      </c>
      <c r="E54">
        <v>9.2699462132339328</v>
      </c>
    </row>
    <row r="55" spans="1:5">
      <c r="A55" t="s">
        <v>35</v>
      </c>
      <c r="B55" t="s">
        <v>15</v>
      </c>
      <c r="C55" t="s">
        <v>9</v>
      </c>
      <c r="D55">
        <f>_xlfn.STDEV.S(per_seed!$J$22:$J$31)</f>
        <v>0.87666457570469936</v>
      </c>
      <c r="E55">
        <v>0.87666457570469913</v>
      </c>
    </row>
    <row r="56" spans="1:5">
      <c r="A56" t="s">
        <v>34</v>
      </c>
      <c r="B56" t="s">
        <v>15</v>
      </c>
      <c r="C56" t="s">
        <v>10</v>
      </c>
      <c r="D56">
        <f>AVERAGE(per_seed!$K$22:$K$31)</f>
        <v>1.1732941309682334</v>
      </c>
      <c r="E56">
        <v>1.173294130968233</v>
      </c>
    </row>
    <row r="57" spans="1:5">
      <c r="A57" t="s">
        <v>35</v>
      </c>
      <c r="B57" t="s">
        <v>15</v>
      </c>
      <c r="C57" t="s">
        <v>10</v>
      </c>
      <c r="D57">
        <f>_xlfn.STDEV.S(per_seed!$K$22:$K$31)</f>
        <v>0.10177639631043645</v>
      </c>
      <c r="E57">
        <v>0.1017763963104365</v>
      </c>
    </row>
    <row r="58" spans="1:5">
      <c r="A58" t="s">
        <v>34</v>
      </c>
      <c r="B58" t="s">
        <v>15</v>
      </c>
      <c r="C58" t="s">
        <v>11</v>
      </c>
      <c r="D58">
        <f>AVERAGE(per_seed!$L$22:$L$31)</f>
        <v>775.591111112318</v>
      </c>
      <c r="E58">
        <v>775.591111112318</v>
      </c>
    </row>
    <row r="59" spans="1:5">
      <c r="A59" t="s">
        <v>35</v>
      </c>
      <c r="B59" t="s">
        <v>15</v>
      </c>
      <c r="C59" t="s">
        <v>11</v>
      </c>
      <c r="D59">
        <f>_xlfn.STDEV.S(per_seed!$L$22:$L$31)</f>
        <v>143.0002020972224</v>
      </c>
      <c r="E59">
        <v>143.00020209722251</v>
      </c>
    </row>
    <row r="60" spans="1:5">
      <c r="A60" t="s">
        <v>34</v>
      </c>
      <c r="B60" t="s">
        <v>15</v>
      </c>
      <c r="C60" t="s">
        <v>12</v>
      </c>
      <c r="D60">
        <f>AVERAGE(per_seed!$M$22:$M$31)</f>
        <v>21.133148148221771</v>
      </c>
      <c r="E60">
        <v>21.133148148221771</v>
      </c>
    </row>
    <row r="61" spans="1:5">
      <c r="A61" t="s">
        <v>35</v>
      </c>
      <c r="B61" t="s">
        <v>15</v>
      </c>
      <c r="C61" t="s">
        <v>12</v>
      </c>
      <c r="D61">
        <f>_xlfn.STDEV.S(per_seed!$M$22:$M$31)</f>
        <v>20.665007045129528</v>
      </c>
      <c r="E61">
        <v>20.665007045129531</v>
      </c>
    </row>
    <row r="62" spans="1:5">
      <c r="A62" t="s">
        <v>34</v>
      </c>
      <c r="B62" t="s">
        <v>16</v>
      </c>
      <c r="C62" t="s">
        <v>3</v>
      </c>
      <c r="D62">
        <f>AVERAGE(per_seed!$D$32:$D$41)</f>
        <v>1215.9000000000001</v>
      </c>
      <c r="E62">
        <v>1215.9000000000001</v>
      </c>
    </row>
    <row r="63" spans="1:5">
      <c r="A63" t="s">
        <v>35</v>
      </c>
      <c r="B63" t="s">
        <v>16</v>
      </c>
      <c r="C63" t="s">
        <v>3</v>
      </c>
      <c r="D63">
        <f>_xlfn.STDEV.S(per_seed!$D$32:$D$41)</f>
        <v>301.94828475529829</v>
      </c>
      <c r="E63">
        <v>301.94828475529818</v>
      </c>
    </row>
    <row r="64" spans="1:5">
      <c r="A64" t="s">
        <v>34</v>
      </c>
      <c r="B64" t="s">
        <v>16</v>
      </c>
      <c r="C64" t="s">
        <v>4</v>
      </c>
      <c r="D64">
        <f>AVERAGE(per_seed!$E$32:$E$41)</f>
        <v>798.6</v>
      </c>
      <c r="E64">
        <v>798.6</v>
      </c>
    </row>
    <row r="65" spans="1:5">
      <c r="A65" t="s">
        <v>35</v>
      </c>
      <c r="B65" t="s">
        <v>16</v>
      </c>
      <c r="C65" t="s">
        <v>4</v>
      </c>
      <c r="D65">
        <f>_xlfn.STDEV.S(per_seed!$E$32:$E$41)</f>
        <v>199.42985400051495</v>
      </c>
      <c r="E65">
        <v>199.42985400051489</v>
      </c>
    </row>
    <row r="66" spans="1:5">
      <c r="A66" t="s">
        <v>34</v>
      </c>
      <c r="B66" t="s">
        <v>16</v>
      </c>
      <c r="C66" t="s">
        <v>5</v>
      </c>
      <c r="D66">
        <f>AVERAGE(per_seed!$F$32:$F$41)</f>
        <v>503.4</v>
      </c>
      <c r="E66">
        <v>503.4</v>
      </c>
    </row>
    <row r="67" spans="1:5">
      <c r="A67" t="s">
        <v>35</v>
      </c>
      <c r="B67" t="s">
        <v>16</v>
      </c>
      <c r="C67" t="s">
        <v>5</v>
      </c>
      <c r="D67">
        <f>_xlfn.STDEV.S(per_seed!$F$32:$F$41)</f>
        <v>130.54518162094084</v>
      </c>
      <c r="E67">
        <v>130.54518162094089</v>
      </c>
    </row>
    <row r="68" spans="1:5">
      <c r="A68" t="s">
        <v>34</v>
      </c>
      <c r="B68" t="s">
        <v>16</v>
      </c>
      <c r="C68" t="s">
        <v>6</v>
      </c>
      <c r="D68">
        <f>AVERAGE(per_seed!$G$32:$G$41)</f>
        <v>5.4756412701601702</v>
      </c>
      <c r="E68">
        <v>5.4756412701601702</v>
      </c>
    </row>
    <row r="69" spans="1:5">
      <c r="A69" t="s">
        <v>35</v>
      </c>
      <c r="B69" t="s">
        <v>16</v>
      </c>
      <c r="C69" t="s">
        <v>6</v>
      </c>
      <c r="D69">
        <f>_xlfn.STDEV.S(per_seed!$G$32:$G$41)</f>
        <v>0.24981753742712867</v>
      </c>
      <c r="E69">
        <v>0.2498175374271287</v>
      </c>
    </row>
    <row r="70" spans="1:5">
      <c r="A70" t="s">
        <v>34</v>
      </c>
      <c r="B70" t="s">
        <v>16</v>
      </c>
      <c r="C70" t="s">
        <v>7</v>
      </c>
      <c r="D70">
        <f>AVERAGE(per_seed!$H$32:$H$41)</f>
        <v>92.5</v>
      </c>
      <c r="E70">
        <v>92.5</v>
      </c>
    </row>
    <row r="71" spans="1:5">
      <c r="A71" t="s">
        <v>35</v>
      </c>
      <c r="B71" t="s">
        <v>16</v>
      </c>
      <c r="C71" t="s">
        <v>7</v>
      </c>
      <c r="D71">
        <f>_xlfn.STDEV.S(per_seed!$H$32:$H$41)</f>
        <v>25.171633064048727</v>
      </c>
      <c r="E71">
        <v>25.171633064048731</v>
      </c>
    </row>
    <row r="72" spans="1:5">
      <c r="A72" t="s">
        <v>34</v>
      </c>
      <c r="B72" t="s">
        <v>16</v>
      </c>
      <c r="C72" t="s">
        <v>8</v>
      </c>
      <c r="D72">
        <f>AVERAGE(per_seed!$I$32:$I$41)</f>
        <v>0.18297189180498641</v>
      </c>
      <c r="E72">
        <v>0.18297189180498641</v>
      </c>
    </row>
    <row r="73" spans="1:5">
      <c r="A73" t="s">
        <v>35</v>
      </c>
      <c r="B73" t="s">
        <v>16</v>
      </c>
      <c r="C73" t="s">
        <v>8</v>
      </c>
      <c r="D73">
        <f>_xlfn.STDEV.S(per_seed!$I$32:$I$41)</f>
        <v>8.4032458011706248E-3</v>
      </c>
      <c r="E73">
        <v>8.4032458011706369E-3</v>
      </c>
    </row>
    <row r="74" spans="1:5">
      <c r="A74" t="s">
        <v>34</v>
      </c>
      <c r="B74" t="s">
        <v>16</v>
      </c>
      <c r="C74" t="s">
        <v>9</v>
      </c>
      <c r="D74">
        <f>AVERAGE(per_seed!$J$32:$J$41)</f>
        <v>8.9785681485296358</v>
      </c>
      <c r="E74">
        <v>8.9785681485296358</v>
      </c>
    </row>
    <row r="75" spans="1:5">
      <c r="A75" t="s">
        <v>35</v>
      </c>
      <c r="B75" t="s">
        <v>16</v>
      </c>
      <c r="C75" t="s">
        <v>9</v>
      </c>
      <c r="D75">
        <f>_xlfn.STDEV.S(per_seed!$J$32:$J$41)</f>
        <v>0.56192122229520403</v>
      </c>
      <c r="E75">
        <v>0.56192122229520403</v>
      </c>
    </row>
    <row r="76" spans="1:5">
      <c r="A76" t="s">
        <v>34</v>
      </c>
      <c r="B76" t="s">
        <v>16</v>
      </c>
      <c r="C76" t="s">
        <v>10</v>
      </c>
      <c r="D76">
        <f>AVERAGE(per_seed!$K$32:$K$41)</f>
        <v>1.1487385210820589</v>
      </c>
      <c r="E76">
        <v>1.1487385210820591</v>
      </c>
    </row>
    <row r="77" spans="1:5">
      <c r="A77" t="s">
        <v>35</v>
      </c>
      <c r="B77" t="s">
        <v>16</v>
      </c>
      <c r="C77" t="s">
        <v>10</v>
      </c>
      <c r="D77">
        <f>_xlfn.STDEV.S(per_seed!$K$32:$K$41)</f>
        <v>4.6992130720281106E-2</v>
      </c>
      <c r="E77">
        <v>4.6992130720281113E-2</v>
      </c>
    </row>
    <row r="78" spans="1:5">
      <c r="A78" t="s">
        <v>34</v>
      </c>
      <c r="B78" t="s">
        <v>16</v>
      </c>
      <c r="C78" t="s">
        <v>11</v>
      </c>
      <c r="D78">
        <f>AVERAGE(per_seed!$L$32:$L$41)</f>
        <v>787.2444444444385</v>
      </c>
      <c r="E78">
        <v>787.2444444444385</v>
      </c>
    </row>
    <row r="79" spans="1:5">
      <c r="A79" t="s">
        <v>35</v>
      </c>
      <c r="B79" t="s">
        <v>16</v>
      </c>
      <c r="C79" t="s">
        <v>11</v>
      </c>
      <c r="D79">
        <f>_xlfn.STDEV.S(per_seed!$L$32:$L$41)</f>
        <v>123.44977797348959</v>
      </c>
      <c r="E79">
        <v>123.4497779734899</v>
      </c>
    </row>
    <row r="80" spans="1:5">
      <c r="A80" t="s">
        <v>34</v>
      </c>
      <c r="B80" t="s">
        <v>16</v>
      </c>
      <c r="C80" t="s">
        <v>12</v>
      </c>
      <c r="D80">
        <f>AVERAGE(per_seed!$M$32:$M$41)</f>
        <v>15.607222222325259</v>
      </c>
      <c r="E80">
        <v>15.607222222325261</v>
      </c>
    </row>
    <row r="81" spans="1:5">
      <c r="A81" t="s">
        <v>35</v>
      </c>
      <c r="B81" t="s">
        <v>16</v>
      </c>
      <c r="C81" t="s">
        <v>12</v>
      </c>
      <c r="D81">
        <f>_xlfn.STDEV.S(per_seed!$M$32:$M$41)</f>
        <v>20.944864667695416</v>
      </c>
      <c r="E81">
        <v>20.94486466769542</v>
      </c>
    </row>
    <row r="82" spans="1:5">
      <c r="A82" t="s">
        <v>34</v>
      </c>
      <c r="B82" t="s">
        <v>17</v>
      </c>
      <c r="C82" t="s">
        <v>3</v>
      </c>
      <c r="D82">
        <f>AVERAGE(per_seed!$D$42:$D$51)</f>
        <v>1422.2</v>
      </c>
      <c r="E82">
        <v>1422.2</v>
      </c>
    </row>
    <row r="83" spans="1:5">
      <c r="A83" t="s">
        <v>35</v>
      </c>
      <c r="B83" t="s">
        <v>17</v>
      </c>
      <c r="C83" t="s">
        <v>3</v>
      </c>
      <c r="D83">
        <f>_xlfn.STDEV.S(per_seed!$D$42:$D$51)</f>
        <v>3.8528488738133042</v>
      </c>
      <c r="E83">
        <v>3.8528488738133042</v>
      </c>
    </row>
    <row r="84" spans="1:5">
      <c r="A84" t="s">
        <v>34</v>
      </c>
      <c r="B84" t="s">
        <v>17</v>
      </c>
      <c r="C84" t="s">
        <v>4</v>
      </c>
      <c r="D84">
        <f>AVERAGE(per_seed!$E$42:$E$51)</f>
        <v>932.2</v>
      </c>
      <c r="E84">
        <v>932.2</v>
      </c>
    </row>
    <row r="85" spans="1:5">
      <c r="A85" t="s">
        <v>35</v>
      </c>
      <c r="B85" t="s">
        <v>17</v>
      </c>
      <c r="C85" t="s">
        <v>4</v>
      </c>
      <c r="D85">
        <f>_xlfn.STDEV.S(per_seed!$E$42:$E$51)</f>
        <v>11.933147112141036</v>
      </c>
      <c r="E85">
        <v>11.93314711214104</v>
      </c>
    </row>
    <row r="86" spans="1:5">
      <c r="A86" t="s">
        <v>34</v>
      </c>
      <c r="B86" t="s">
        <v>17</v>
      </c>
      <c r="C86" t="s">
        <v>5</v>
      </c>
      <c r="D86">
        <f>AVERAGE(per_seed!$F$42:$F$51)</f>
        <v>589.79999999999995</v>
      </c>
      <c r="E86">
        <v>589.79999999999995</v>
      </c>
    </row>
    <row r="87" spans="1:5">
      <c r="A87" t="s">
        <v>35</v>
      </c>
      <c r="B87" t="s">
        <v>17</v>
      </c>
      <c r="C87" t="s">
        <v>5</v>
      </c>
      <c r="D87">
        <f>_xlfn.STDEV.S(per_seed!$F$42:$F$51)</f>
        <v>9.7729786202115001</v>
      </c>
      <c r="E87">
        <v>9.7729786202115019</v>
      </c>
    </row>
    <row r="88" spans="1:5">
      <c r="A88" t="s">
        <v>34</v>
      </c>
      <c r="B88" t="s">
        <v>17</v>
      </c>
      <c r="C88" t="s">
        <v>6</v>
      </c>
      <c r="D88">
        <f>AVERAGE(per_seed!$G$42:$G$51)</f>
        <v>5.7679596689022983</v>
      </c>
      <c r="E88">
        <v>5.7679596689022983</v>
      </c>
    </row>
    <row r="89" spans="1:5">
      <c r="A89" t="s">
        <v>35</v>
      </c>
      <c r="B89" t="s">
        <v>17</v>
      </c>
      <c r="C89" t="s">
        <v>6</v>
      </c>
      <c r="D89">
        <f>_xlfn.STDEV.S(per_seed!$G$42:$G$51)</f>
        <v>0.16345872946059903</v>
      </c>
      <c r="E89">
        <v>0.16345872946059889</v>
      </c>
    </row>
    <row r="90" spans="1:5">
      <c r="A90" t="s">
        <v>34</v>
      </c>
      <c r="B90" t="s">
        <v>17</v>
      </c>
      <c r="C90" t="s">
        <v>7</v>
      </c>
      <c r="D90">
        <f>AVERAGE(per_seed!$H$42:$H$51)</f>
        <v>102.3</v>
      </c>
      <c r="E90">
        <v>102.3</v>
      </c>
    </row>
    <row r="91" spans="1:5">
      <c r="A91" t="s">
        <v>35</v>
      </c>
      <c r="B91" t="s">
        <v>17</v>
      </c>
      <c r="C91" t="s">
        <v>7</v>
      </c>
      <c r="D91">
        <f>_xlfn.STDEV.S(per_seed!$H$42:$H$51)</f>
        <v>2.2135943621178655</v>
      </c>
      <c r="E91">
        <v>2.213594362117866</v>
      </c>
    </row>
    <row r="92" spans="1:5">
      <c r="A92" t="s">
        <v>34</v>
      </c>
      <c r="B92" t="s">
        <v>17</v>
      </c>
      <c r="C92" t="s">
        <v>8</v>
      </c>
      <c r="D92">
        <f>AVERAGE(per_seed!$I$42:$I$51)</f>
        <v>0.17349545616480669</v>
      </c>
      <c r="E92">
        <v>0.17349545616480669</v>
      </c>
    </row>
    <row r="93" spans="1:5">
      <c r="A93" t="s">
        <v>35</v>
      </c>
      <c r="B93" t="s">
        <v>17</v>
      </c>
      <c r="C93" t="s">
        <v>8</v>
      </c>
      <c r="D93">
        <f>_xlfn.STDEV.S(per_seed!$I$42:$I$51)</f>
        <v>4.8603148806191125E-3</v>
      </c>
      <c r="E93">
        <v>4.860314880619116E-3</v>
      </c>
    </row>
    <row r="94" spans="1:5">
      <c r="A94" t="s">
        <v>34</v>
      </c>
      <c r="B94" t="s">
        <v>17</v>
      </c>
      <c r="C94" t="s">
        <v>9</v>
      </c>
      <c r="D94">
        <f>AVERAGE(per_seed!$J$42:$J$51)</f>
        <v>9.0552691127042397</v>
      </c>
      <c r="E94">
        <v>9.055269112704238</v>
      </c>
    </row>
    <row r="95" spans="1:5">
      <c r="A95" t="s">
        <v>35</v>
      </c>
      <c r="B95" t="s">
        <v>17</v>
      </c>
      <c r="C95" t="s">
        <v>9</v>
      </c>
      <c r="D95">
        <f>_xlfn.STDEV.S(per_seed!$J$42:$J$51)</f>
        <v>0.228880237979948</v>
      </c>
      <c r="E95">
        <v>0.228880237979948</v>
      </c>
    </row>
    <row r="96" spans="1:5">
      <c r="A96" t="s">
        <v>34</v>
      </c>
      <c r="B96" t="s">
        <v>17</v>
      </c>
      <c r="C96" t="s">
        <v>10</v>
      </c>
      <c r="D96">
        <f>AVERAGE(per_seed!$K$42:$K$51)</f>
        <v>1.144737936581522</v>
      </c>
      <c r="E96">
        <v>1.144737936581522</v>
      </c>
    </row>
    <row r="97" spans="1:5">
      <c r="A97" t="s">
        <v>35</v>
      </c>
      <c r="B97" t="s">
        <v>17</v>
      </c>
      <c r="C97" t="s">
        <v>10</v>
      </c>
      <c r="D97">
        <f>_xlfn.STDEV.S(per_seed!$K$42:$K$51)</f>
        <v>2.4113775870761842E-2</v>
      </c>
      <c r="E97">
        <v>2.4113775870761842E-2</v>
      </c>
    </row>
    <row r="98" spans="1:5">
      <c r="A98" t="s">
        <v>34</v>
      </c>
      <c r="B98" t="s">
        <v>17</v>
      </c>
      <c r="C98" t="s">
        <v>11</v>
      </c>
      <c r="D98">
        <f>AVERAGE(per_seed!$L$42:$L$51)</f>
        <v>866.68000000168524</v>
      </c>
      <c r="E98">
        <v>866.68000000168524</v>
      </c>
    </row>
    <row r="99" spans="1:5">
      <c r="A99" t="s">
        <v>35</v>
      </c>
      <c r="B99" t="s">
        <v>17</v>
      </c>
      <c r="C99" t="s">
        <v>11</v>
      </c>
      <c r="D99">
        <f>_xlfn.STDEV.S(per_seed!$L$42:$L$51)</f>
        <v>39.489672139675733</v>
      </c>
      <c r="E99">
        <v>39.489672139675733</v>
      </c>
    </row>
    <row r="100" spans="1:5">
      <c r="A100" t="s">
        <v>34</v>
      </c>
      <c r="B100" t="s">
        <v>17</v>
      </c>
      <c r="C100" t="s">
        <v>12</v>
      </c>
      <c r="D100">
        <f>AVERAGE(per_seed!$M$42:$M$51)</f>
        <v>1.3065123458262509</v>
      </c>
      <c r="E100">
        <v>1.3065123458262511</v>
      </c>
    </row>
    <row r="101" spans="1:5">
      <c r="A101" t="s">
        <v>35</v>
      </c>
      <c r="B101" t="s">
        <v>17</v>
      </c>
      <c r="C101" t="s">
        <v>12</v>
      </c>
      <c r="D101">
        <f>_xlfn.STDEV.S(per_seed!$M$42:$M$51)</f>
        <v>0.26697717000231708</v>
      </c>
      <c r="E101">
        <v>0.26697717000231669</v>
      </c>
    </row>
    <row r="102" spans="1:5">
      <c r="A102" t="s">
        <v>34</v>
      </c>
      <c r="B102" t="s">
        <v>18</v>
      </c>
      <c r="C102" t="s">
        <v>3</v>
      </c>
      <c r="D102">
        <f>AVERAGE(per_seed!$D$52:$D$61)</f>
        <v>1424.5</v>
      </c>
      <c r="E102">
        <v>1424.5</v>
      </c>
    </row>
    <row r="103" spans="1:5">
      <c r="A103" t="s">
        <v>35</v>
      </c>
      <c r="B103" t="s">
        <v>18</v>
      </c>
      <c r="C103" t="s">
        <v>3</v>
      </c>
      <c r="D103">
        <f>_xlfn.STDEV.S(per_seed!$D$52:$D$61)</f>
        <v>3.5355339059327378</v>
      </c>
      <c r="E103">
        <v>3.5355339059327382</v>
      </c>
    </row>
    <row r="104" spans="1:5">
      <c r="A104" t="s">
        <v>34</v>
      </c>
      <c r="B104" t="s">
        <v>18</v>
      </c>
      <c r="C104" t="s">
        <v>4</v>
      </c>
      <c r="D104">
        <f>AVERAGE(per_seed!$E$52:$E$61)</f>
        <v>933.7</v>
      </c>
      <c r="E104">
        <v>933.7</v>
      </c>
    </row>
    <row r="105" spans="1:5">
      <c r="A105" t="s">
        <v>35</v>
      </c>
      <c r="B105" t="s">
        <v>18</v>
      </c>
      <c r="C105" t="s">
        <v>4</v>
      </c>
      <c r="D105">
        <f>_xlfn.STDEV.S(per_seed!$E$52:$E$61)</f>
        <v>9.4286796530585324</v>
      </c>
      <c r="E105">
        <v>9.4286796530585342</v>
      </c>
    </row>
    <row r="106" spans="1:5">
      <c r="A106" t="s">
        <v>34</v>
      </c>
      <c r="B106" t="s">
        <v>18</v>
      </c>
      <c r="C106" t="s">
        <v>5</v>
      </c>
      <c r="D106">
        <f>AVERAGE(per_seed!$F$52:$F$61)</f>
        <v>587.70000000000005</v>
      </c>
      <c r="E106">
        <v>587.70000000000005</v>
      </c>
    </row>
    <row r="107" spans="1:5">
      <c r="A107" t="s">
        <v>35</v>
      </c>
      <c r="B107" t="s">
        <v>18</v>
      </c>
      <c r="C107" t="s">
        <v>5</v>
      </c>
      <c r="D107">
        <f>_xlfn.STDEV.S(per_seed!$F$52:$F$61)</f>
        <v>11.823235127869566</v>
      </c>
      <c r="E107">
        <v>11.82323512786957</v>
      </c>
    </row>
    <row r="108" spans="1:5">
      <c r="A108" t="s">
        <v>34</v>
      </c>
      <c r="B108" t="s">
        <v>18</v>
      </c>
      <c r="C108" t="s">
        <v>6</v>
      </c>
      <c r="D108">
        <f>AVERAGE(per_seed!$G$52:$G$61)</f>
        <v>5.7477201513444367</v>
      </c>
      <c r="E108">
        <v>5.7477201513444367</v>
      </c>
    </row>
    <row r="109" spans="1:5">
      <c r="A109" t="s">
        <v>35</v>
      </c>
      <c r="B109" t="s">
        <v>18</v>
      </c>
      <c r="C109" t="s">
        <v>6</v>
      </c>
      <c r="D109">
        <f>_xlfn.STDEV.S(per_seed!$G$52:$G$61)</f>
        <v>0.16877020281479177</v>
      </c>
      <c r="E109">
        <v>0.16877020281479191</v>
      </c>
    </row>
    <row r="110" spans="1:5">
      <c r="A110" t="s">
        <v>34</v>
      </c>
      <c r="B110" t="s">
        <v>18</v>
      </c>
      <c r="C110" t="s">
        <v>7</v>
      </c>
      <c r="D110">
        <f>AVERAGE(per_seed!$H$52:$H$61)</f>
        <v>102.3</v>
      </c>
      <c r="E110">
        <v>102.3</v>
      </c>
    </row>
    <row r="111" spans="1:5">
      <c r="A111" t="s">
        <v>35</v>
      </c>
      <c r="B111" t="s">
        <v>18</v>
      </c>
      <c r="C111" t="s">
        <v>7</v>
      </c>
      <c r="D111">
        <f>_xlfn.STDEV.S(per_seed!$H$52:$H$61)</f>
        <v>2.6267851073127395</v>
      </c>
      <c r="E111">
        <v>2.62678510731274</v>
      </c>
    </row>
    <row r="112" spans="1:5">
      <c r="A112" t="s">
        <v>34</v>
      </c>
      <c r="B112" t="s">
        <v>18</v>
      </c>
      <c r="C112" t="s">
        <v>8</v>
      </c>
      <c r="D112">
        <f>AVERAGE(per_seed!$I$52:$I$61)</f>
        <v>0.17411595231431135</v>
      </c>
      <c r="E112">
        <v>0.17411595231431129</v>
      </c>
    </row>
    <row r="113" spans="1:5">
      <c r="A113" t="s">
        <v>35</v>
      </c>
      <c r="B113" t="s">
        <v>18</v>
      </c>
      <c r="C113" t="s">
        <v>8</v>
      </c>
      <c r="D113">
        <f>_xlfn.STDEV.S(per_seed!$I$52:$I$61)</f>
        <v>5.070828808234582E-3</v>
      </c>
      <c r="E113">
        <v>5.0708288082345889E-3</v>
      </c>
    </row>
    <row r="114" spans="1:5">
      <c r="A114" t="s">
        <v>34</v>
      </c>
      <c r="B114" t="s">
        <v>18</v>
      </c>
      <c r="C114" t="s">
        <v>9</v>
      </c>
      <c r="D114">
        <f>AVERAGE(per_seed!$J$52:$J$61)</f>
        <v>9.132762956136208</v>
      </c>
      <c r="E114">
        <v>9.132762956136208</v>
      </c>
    </row>
    <row r="115" spans="1:5">
      <c r="A115" t="s">
        <v>35</v>
      </c>
      <c r="B115" t="s">
        <v>18</v>
      </c>
      <c r="C115" t="s">
        <v>9</v>
      </c>
      <c r="D115">
        <f>_xlfn.STDEV.S(per_seed!$J$52:$J$61)</f>
        <v>0.29509718552857711</v>
      </c>
      <c r="E115">
        <v>0.29509718552857711</v>
      </c>
    </row>
    <row r="116" spans="1:5">
      <c r="A116" t="s">
        <v>34</v>
      </c>
      <c r="B116" t="s">
        <v>18</v>
      </c>
      <c r="C116" t="s">
        <v>10</v>
      </c>
      <c r="D116">
        <f>AVERAGE(per_seed!$K$52:$K$61)</f>
        <v>1.1555975174116959</v>
      </c>
      <c r="E116">
        <v>1.1555975174116959</v>
      </c>
    </row>
    <row r="117" spans="1:5">
      <c r="A117" t="s">
        <v>35</v>
      </c>
      <c r="B117" t="s">
        <v>18</v>
      </c>
      <c r="C117" t="s">
        <v>10</v>
      </c>
      <c r="D117">
        <f>_xlfn.STDEV.S(per_seed!$K$52:$K$61)</f>
        <v>3.1531815644376071E-2</v>
      </c>
      <c r="E117">
        <v>3.1531815644376071E-2</v>
      </c>
    </row>
    <row r="118" spans="1:5">
      <c r="A118" t="s">
        <v>34</v>
      </c>
      <c r="B118" t="s">
        <v>18</v>
      </c>
      <c r="C118" t="s">
        <v>11</v>
      </c>
      <c r="D118">
        <f>AVERAGE(per_seed!$L$52:$L$61)</f>
        <v>879.82222222143866</v>
      </c>
      <c r="E118">
        <v>879.82222222143866</v>
      </c>
    </row>
    <row r="119" spans="1:5">
      <c r="A119" t="s">
        <v>35</v>
      </c>
      <c r="B119" t="s">
        <v>18</v>
      </c>
      <c r="C119" t="s">
        <v>11</v>
      </c>
      <c r="D119">
        <f>_xlfn.STDEV.S(per_seed!$L$52:$L$61)</f>
        <v>63.663480842098252</v>
      </c>
      <c r="E119">
        <v>63.663480842098252</v>
      </c>
    </row>
    <row r="120" spans="1:5">
      <c r="A120" t="s">
        <v>34</v>
      </c>
      <c r="B120" t="s">
        <v>18</v>
      </c>
      <c r="C120" t="s">
        <v>12</v>
      </c>
      <c r="D120">
        <f>AVERAGE(per_seed!$M$52:$M$61)</f>
        <v>1.1426234569373359</v>
      </c>
      <c r="E120">
        <v>1.1426234569373359</v>
      </c>
    </row>
    <row r="121" spans="1:5">
      <c r="A121" t="s">
        <v>35</v>
      </c>
      <c r="B121" t="s">
        <v>18</v>
      </c>
      <c r="C121" t="s">
        <v>12</v>
      </c>
      <c r="D121">
        <f>_xlfn.STDEV.S(per_seed!$M$52:$M$61)</f>
        <v>0.24022800952878942</v>
      </c>
      <c r="E121">
        <v>0.240228009528789</v>
      </c>
    </row>
    <row r="122" spans="1:5">
      <c r="A122" t="s">
        <v>34</v>
      </c>
      <c r="B122" t="s">
        <v>19</v>
      </c>
      <c r="C122" t="s">
        <v>3</v>
      </c>
      <c r="D122">
        <f>AVERAGE(per_seed!$D$62:$D$71)</f>
        <v>1422.5</v>
      </c>
      <c r="E122">
        <v>1422.5</v>
      </c>
    </row>
    <row r="123" spans="1:5">
      <c r="A123" t="s">
        <v>35</v>
      </c>
      <c r="B123" t="s">
        <v>19</v>
      </c>
      <c r="C123" t="s">
        <v>3</v>
      </c>
      <c r="D123">
        <f>_xlfn.STDEV.S(per_seed!$D$62:$D$71)</f>
        <v>3.1710495984067415</v>
      </c>
      <c r="E123">
        <v>3.1710495984067411</v>
      </c>
    </row>
    <row r="124" spans="1:5">
      <c r="A124" t="s">
        <v>34</v>
      </c>
      <c r="B124" t="s">
        <v>19</v>
      </c>
      <c r="C124" t="s">
        <v>4</v>
      </c>
      <c r="D124">
        <f>AVERAGE(per_seed!$E$62:$E$71)</f>
        <v>931.1</v>
      </c>
      <c r="E124">
        <v>931.1</v>
      </c>
    </row>
    <row r="125" spans="1:5">
      <c r="A125" t="s">
        <v>35</v>
      </c>
      <c r="B125" t="s">
        <v>19</v>
      </c>
      <c r="C125" t="s">
        <v>4</v>
      </c>
      <c r="D125">
        <f>_xlfn.STDEV.S(per_seed!$E$62:$E$71)</f>
        <v>14.03527302509249</v>
      </c>
      <c r="E125">
        <v>14.03527302509249</v>
      </c>
    </row>
    <row r="126" spans="1:5">
      <c r="A126" t="s">
        <v>34</v>
      </c>
      <c r="B126" t="s">
        <v>19</v>
      </c>
      <c r="C126" t="s">
        <v>5</v>
      </c>
      <c r="D126">
        <f>AVERAGE(per_seed!$F$62:$F$71)</f>
        <v>588.70000000000005</v>
      </c>
      <c r="E126">
        <v>588.70000000000005</v>
      </c>
    </row>
    <row r="127" spans="1:5">
      <c r="A127" t="s">
        <v>35</v>
      </c>
      <c r="B127" t="s">
        <v>19</v>
      </c>
      <c r="C127" t="s">
        <v>5</v>
      </c>
      <c r="D127">
        <f>_xlfn.STDEV.S(per_seed!$F$62:$F$71)</f>
        <v>13.064370546558214</v>
      </c>
      <c r="E127">
        <v>13.064370546558211</v>
      </c>
    </row>
    <row r="128" spans="1:5">
      <c r="A128" t="s">
        <v>34</v>
      </c>
      <c r="B128" t="s">
        <v>19</v>
      </c>
      <c r="C128" t="s">
        <v>6</v>
      </c>
      <c r="D128">
        <f>AVERAGE(per_seed!$G$62:$G$71)</f>
        <v>5.7411804607637169</v>
      </c>
      <c r="E128">
        <v>5.7411804607637169</v>
      </c>
    </row>
    <row r="129" spans="1:5">
      <c r="A129" t="s">
        <v>35</v>
      </c>
      <c r="B129" t="s">
        <v>19</v>
      </c>
      <c r="C129" t="s">
        <v>6</v>
      </c>
      <c r="D129">
        <f>_xlfn.STDEV.S(per_seed!$G$62:$G$71)</f>
        <v>0.19207932406285488</v>
      </c>
      <c r="E129">
        <v>0.19207932406285491</v>
      </c>
    </row>
    <row r="130" spans="1:5">
      <c r="A130" t="s">
        <v>34</v>
      </c>
      <c r="B130" t="s">
        <v>19</v>
      </c>
      <c r="C130" t="s">
        <v>7</v>
      </c>
      <c r="D130">
        <f>AVERAGE(per_seed!$H$62:$H$71)</f>
        <v>102.6</v>
      </c>
      <c r="E130">
        <v>102.6</v>
      </c>
    </row>
    <row r="131" spans="1:5">
      <c r="A131" t="s">
        <v>35</v>
      </c>
      <c r="B131" t="s">
        <v>19</v>
      </c>
      <c r="C131" t="s">
        <v>7</v>
      </c>
      <c r="D131">
        <f>_xlfn.STDEV.S(per_seed!$H$62:$H$71)</f>
        <v>2.6749870196985173</v>
      </c>
      <c r="E131">
        <v>2.6749870196985168</v>
      </c>
    </row>
    <row r="132" spans="1:5">
      <c r="A132" t="s">
        <v>34</v>
      </c>
      <c r="B132" t="s">
        <v>19</v>
      </c>
      <c r="C132" t="s">
        <v>8</v>
      </c>
      <c r="D132">
        <f>AVERAGE(per_seed!$I$62:$I$71)</f>
        <v>0.17435349351115098</v>
      </c>
      <c r="E132">
        <v>0.17435349351115101</v>
      </c>
    </row>
    <row r="133" spans="1:5">
      <c r="A133" t="s">
        <v>35</v>
      </c>
      <c r="B133" t="s">
        <v>19</v>
      </c>
      <c r="C133" t="s">
        <v>8</v>
      </c>
      <c r="D133">
        <f>_xlfn.STDEV.S(per_seed!$I$62:$I$71)</f>
        <v>5.7582885182921014E-3</v>
      </c>
      <c r="E133">
        <v>5.7582885182920866E-3</v>
      </c>
    </row>
    <row r="134" spans="1:5">
      <c r="A134" t="s">
        <v>34</v>
      </c>
      <c r="B134" t="s">
        <v>19</v>
      </c>
      <c r="C134" t="s">
        <v>9</v>
      </c>
      <c r="D134">
        <f>AVERAGE(per_seed!$J$62:$J$71)</f>
        <v>9.2624761872842658</v>
      </c>
      <c r="E134">
        <v>9.262476187284264</v>
      </c>
    </row>
    <row r="135" spans="1:5">
      <c r="A135" t="s">
        <v>35</v>
      </c>
      <c r="B135" t="s">
        <v>19</v>
      </c>
      <c r="C135" t="s">
        <v>9</v>
      </c>
      <c r="D135">
        <f>_xlfn.STDEV.S(per_seed!$J$62:$J$71)</f>
        <v>0.32632863949463026</v>
      </c>
      <c r="E135">
        <v>0.32632863949463031</v>
      </c>
    </row>
    <row r="136" spans="1:5">
      <c r="A136" t="s">
        <v>34</v>
      </c>
      <c r="B136" t="s">
        <v>19</v>
      </c>
      <c r="C136" t="s">
        <v>10</v>
      </c>
      <c r="D136">
        <f>AVERAGE(per_seed!$K$62:$K$71)</f>
        <v>1.166497611303706</v>
      </c>
      <c r="E136">
        <v>1.166497611303706</v>
      </c>
    </row>
    <row r="137" spans="1:5">
      <c r="A137" t="s">
        <v>35</v>
      </c>
      <c r="B137" t="s">
        <v>19</v>
      </c>
      <c r="C137" t="s">
        <v>10</v>
      </c>
      <c r="D137">
        <f>_xlfn.STDEV.S(per_seed!$K$62:$K$71)</f>
        <v>3.3968449165204494E-2</v>
      </c>
      <c r="E137">
        <v>3.3968449165204487E-2</v>
      </c>
    </row>
    <row r="138" spans="1:5">
      <c r="A138" t="s">
        <v>34</v>
      </c>
      <c r="B138" t="s">
        <v>19</v>
      </c>
      <c r="C138" t="s">
        <v>11</v>
      </c>
      <c r="D138">
        <f>AVERAGE(per_seed!$L$62:$L$71)</f>
        <v>886.19999999988363</v>
      </c>
      <c r="E138">
        <v>886.19999999988363</v>
      </c>
    </row>
    <row r="139" spans="1:5">
      <c r="A139" t="s">
        <v>35</v>
      </c>
      <c r="B139" t="s">
        <v>19</v>
      </c>
      <c r="C139" t="s">
        <v>11</v>
      </c>
      <c r="D139">
        <f>_xlfn.STDEV.S(per_seed!$L$62:$L$71)</f>
        <v>74.43875636930278</v>
      </c>
      <c r="E139">
        <v>74.438756369302794</v>
      </c>
    </row>
    <row r="140" spans="1:5">
      <c r="A140" t="s">
        <v>34</v>
      </c>
      <c r="B140" t="s">
        <v>19</v>
      </c>
      <c r="C140" t="s">
        <v>12</v>
      </c>
      <c r="D140">
        <f>AVERAGE(per_seed!$M$62:$M$71)</f>
        <v>1.2919135803941857</v>
      </c>
      <c r="E140">
        <v>1.2919135803941859</v>
      </c>
    </row>
    <row r="141" spans="1:5">
      <c r="A141" t="s">
        <v>35</v>
      </c>
      <c r="B141" t="s">
        <v>19</v>
      </c>
      <c r="C141" t="s">
        <v>12</v>
      </c>
      <c r="D141">
        <f>_xlfn.STDEV.S(per_seed!$M$62:$M$71)</f>
        <v>0.20962043600910768</v>
      </c>
      <c r="E141">
        <v>0.2096204360091086</v>
      </c>
    </row>
    <row r="142" spans="1:5">
      <c r="A142" t="s">
        <v>34</v>
      </c>
      <c r="B142" t="s">
        <v>20</v>
      </c>
      <c r="C142" t="s">
        <v>3</v>
      </c>
      <c r="D142">
        <f>AVERAGE(per_seed!$D$72:$D$81)</f>
        <v>1424.3</v>
      </c>
      <c r="E142">
        <v>1424.3</v>
      </c>
    </row>
    <row r="143" spans="1:5">
      <c r="A143" t="s">
        <v>35</v>
      </c>
      <c r="B143" t="s">
        <v>20</v>
      </c>
      <c r="C143" t="s">
        <v>3</v>
      </c>
      <c r="D143">
        <f>_xlfn.STDEV.S(per_seed!$D$72:$D$81)</f>
        <v>3.5916569992135945</v>
      </c>
      <c r="E143">
        <v>3.591656999213594</v>
      </c>
    </row>
    <row r="144" spans="1:5">
      <c r="A144" t="s">
        <v>34</v>
      </c>
      <c r="B144" t="s">
        <v>20</v>
      </c>
      <c r="C144" t="s">
        <v>4</v>
      </c>
      <c r="D144">
        <f>AVERAGE(per_seed!$E$72:$E$81)</f>
        <v>933.4</v>
      </c>
      <c r="E144">
        <v>933.4</v>
      </c>
    </row>
    <row r="145" spans="1:5">
      <c r="A145" t="s">
        <v>35</v>
      </c>
      <c r="B145" t="s">
        <v>20</v>
      </c>
      <c r="C145" t="s">
        <v>4</v>
      </c>
      <c r="D145">
        <f>_xlfn.STDEV.S(per_seed!$E$72:$E$81)</f>
        <v>12.677188612271696</v>
      </c>
      <c r="E145">
        <v>12.67718861227169</v>
      </c>
    </row>
    <row r="146" spans="1:5">
      <c r="A146" t="s">
        <v>34</v>
      </c>
      <c r="B146" t="s">
        <v>20</v>
      </c>
      <c r="C146" t="s">
        <v>5</v>
      </c>
      <c r="D146">
        <f>AVERAGE(per_seed!$F$72:$F$81)</f>
        <v>588.70000000000005</v>
      </c>
      <c r="E146">
        <v>588.70000000000005</v>
      </c>
    </row>
    <row r="147" spans="1:5">
      <c r="A147" t="s">
        <v>35</v>
      </c>
      <c r="B147" t="s">
        <v>20</v>
      </c>
      <c r="C147" t="s">
        <v>5</v>
      </c>
      <c r="D147">
        <f>_xlfn.STDEV.S(per_seed!$F$72:$F$81)</f>
        <v>12.101882314563941</v>
      </c>
      <c r="E147">
        <v>12.101882314563939</v>
      </c>
    </row>
    <row r="148" spans="1:5">
      <c r="A148" t="s">
        <v>34</v>
      </c>
      <c r="B148" t="s">
        <v>20</v>
      </c>
      <c r="C148" t="s">
        <v>6</v>
      </c>
      <c r="D148">
        <f>AVERAGE(per_seed!$G$72:$G$81)</f>
        <v>5.8559275579755568</v>
      </c>
      <c r="E148">
        <v>5.8559275579755568</v>
      </c>
    </row>
    <row r="149" spans="1:5">
      <c r="A149" t="s">
        <v>35</v>
      </c>
      <c r="B149" t="s">
        <v>20</v>
      </c>
      <c r="C149" t="s">
        <v>6</v>
      </c>
      <c r="D149">
        <f>_xlfn.STDEV.S(per_seed!$G$72:$G$81)</f>
        <v>0.19155003471165455</v>
      </c>
      <c r="E149">
        <v>0.1915500347116546</v>
      </c>
    </row>
    <row r="150" spans="1:5">
      <c r="A150" t="s">
        <v>34</v>
      </c>
      <c r="B150" t="s">
        <v>20</v>
      </c>
      <c r="C150" t="s">
        <v>7</v>
      </c>
      <c r="D150">
        <f>AVERAGE(per_seed!$H$72:$H$81)</f>
        <v>100.6</v>
      </c>
      <c r="E150">
        <v>100.6</v>
      </c>
    </row>
    <row r="151" spans="1:5">
      <c r="A151" t="s">
        <v>35</v>
      </c>
      <c r="B151" t="s">
        <v>20</v>
      </c>
      <c r="C151" t="s">
        <v>7</v>
      </c>
      <c r="D151">
        <f>_xlfn.STDEV.S(per_seed!$H$72:$H$81)</f>
        <v>2.9888682361946528</v>
      </c>
      <c r="E151">
        <v>2.9888682361946528</v>
      </c>
    </row>
    <row r="152" spans="1:5">
      <c r="A152" t="s">
        <v>34</v>
      </c>
      <c r="B152" t="s">
        <v>20</v>
      </c>
      <c r="C152" t="s">
        <v>8</v>
      </c>
      <c r="D152">
        <f>AVERAGE(per_seed!$I$72:$I$81)</f>
        <v>0.17093292251554998</v>
      </c>
      <c r="E152">
        <v>0.17093292251555001</v>
      </c>
    </row>
    <row r="153" spans="1:5">
      <c r="A153" t="s">
        <v>35</v>
      </c>
      <c r="B153" t="s">
        <v>20</v>
      </c>
      <c r="C153" t="s">
        <v>8</v>
      </c>
      <c r="D153">
        <f>_xlfn.STDEV.S(per_seed!$I$72:$I$81)</f>
        <v>5.6373212213420192E-3</v>
      </c>
      <c r="E153">
        <v>5.6373212213420027E-3</v>
      </c>
    </row>
    <row r="154" spans="1:5">
      <c r="A154" t="s">
        <v>34</v>
      </c>
      <c r="B154" t="s">
        <v>20</v>
      </c>
      <c r="C154" t="s">
        <v>9</v>
      </c>
      <c r="D154">
        <f>AVERAGE(per_seed!$J$72:$J$81)</f>
        <v>9.1729758298016399</v>
      </c>
      <c r="E154">
        <v>9.1729758298016417</v>
      </c>
    </row>
    <row r="155" spans="1:5">
      <c r="A155" t="s">
        <v>35</v>
      </c>
      <c r="B155" t="s">
        <v>20</v>
      </c>
      <c r="C155" t="s">
        <v>9</v>
      </c>
      <c r="D155">
        <f>_xlfn.STDEV.S(per_seed!$J$72:$J$81)</f>
        <v>0.28533654422582738</v>
      </c>
      <c r="E155">
        <v>0.28533654422582738</v>
      </c>
    </row>
    <row r="156" spans="1:5">
      <c r="A156" t="s">
        <v>34</v>
      </c>
      <c r="B156" t="s">
        <v>20</v>
      </c>
      <c r="C156" t="s">
        <v>10</v>
      </c>
      <c r="D156">
        <f>AVERAGE(per_seed!$K$72:$K$81)</f>
        <v>1.1588711504772671</v>
      </c>
      <c r="E156">
        <v>1.1588711504772671</v>
      </c>
    </row>
    <row r="157" spans="1:5">
      <c r="A157" t="s">
        <v>35</v>
      </c>
      <c r="B157" t="s">
        <v>20</v>
      </c>
      <c r="C157" t="s">
        <v>10</v>
      </c>
      <c r="D157">
        <f>_xlfn.STDEV.S(per_seed!$K$72:$K$81)</f>
        <v>3.2502937135969481E-2</v>
      </c>
      <c r="E157">
        <v>3.2502937135969481E-2</v>
      </c>
    </row>
    <row r="158" spans="1:5">
      <c r="A158" t="s">
        <v>34</v>
      </c>
      <c r="B158" t="s">
        <v>20</v>
      </c>
      <c r="C158" t="s">
        <v>11</v>
      </c>
      <c r="D158">
        <f>AVERAGE(per_seed!$L$72:$L$81)</f>
        <v>913.7955555561324</v>
      </c>
      <c r="E158">
        <v>913.7955555561324</v>
      </c>
    </row>
    <row r="159" spans="1:5">
      <c r="A159" t="s">
        <v>35</v>
      </c>
      <c r="B159" t="s">
        <v>20</v>
      </c>
      <c r="C159" t="s">
        <v>11</v>
      </c>
      <c r="D159">
        <f>_xlfn.STDEV.S(per_seed!$L$72:$L$81)</f>
        <v>67.271978565987538</v>
      </c>
      <c r="E159">
        <v>67.271978565987538</v>
      </c>
    </row>
    <row r="160" spans="1:5">
      <c r="A160" t="s">
        <v>34</v>
      </c>
      <c r="B160" t="s">
        <v>20</v>
      </c>
      <c r="C160" t="s">
        <v>12</v>
      </c>
      <c r="D160">
        <f>AVERAGE(per_seed!$M$72:$M$81)</f>
        <v>1.1566049384188168</v>
      </c>
      <c r="E160">
        <v>1.1566049384188171</v>
      </c>
    </row>
    <row r="161" spans="1:5">
      <c r="A161" t="s">
        <v>35</v>
      </c>
      <c r="B161" t="s">
        <v>20</v>
      </c>
      <c r="C161" t="s">
        <v>12</v>
      </c>
      <c r="D161">
        <f>_xlfn.STDEV.S(per_seed!$M$72:$M$81)</f>
        <v>0.24671542117014614</v>
      </c>
      <c r="E161">
        <v>0.2467154211701463</v>
      </c>
    </row>
    <row r="162" spans="1:5">
      <c r="A162" t="s">
        <v>34</v>
      </c>
      <c r="B162" t="s">
        <v>21</v>
      </c>
      <c r="C162" t="s">
        <v>3</v>
      </c>
      <c r="D162">
        <f>AVERAGE(per_seed!$D$82:$D$91)</f>
        <v>1430.3</v>
      </c>
      <c r="E162">
        <v>1430.3</v>
      </c>
    </row>
    <row r="163" spans="1:5">
      <c r="A163" t="s">
        <v>35</v>
      </c>
      <c r="B163" t="s">
        <v>21</v>
      </c>
      <c r="C163" t="s">
        <v>3</v>
      </c>
      <c r="D163">
        <f>_xlfn.STDEV.S(per_seed!$D$82:$D$91)</f>
        <v>0.67494855771055284</v>
      </c>
      <c r="E163">
        <v>0.67494855771055295</v>
      </c>
    </row>
    <row r="164" spans="1:5">
      <c r="A164" t="s">
        <v>34</v>
      </c>
      <c r="B164" t="s">
        <v>21</v>
      </c>
      <c r="C164" t="s">
        <v>4</v>
      </c>
      <c r="D164">
        <f>AVERAGE(per_seed!$E$82:$E$91)</f>
        <v>934.2</v>
      </c>
      <c r="E164">
        <v>934.2</v>
      </c>
    </row>
    <row r="165" spans="1:5">
      <c r="A165" t="s">
        <v>35</v>
      </c>
      <c r="B165" t="s">
        <v>21</v>
      </c>
      <c r="C165" t="s">
        <v>4</v>
      </c>
      <c r="D165">
        <f>_xlfn.STDEV.S(per_seed!$E$82:$E$91)</f>
        <v>14.596803303006675</v>
      </c>
      <c r="E165">
        <v>14.596803303006681</v>
      </c>
    </row>
    <row r="166" spans="1:5">
      <c r="A166" t="s">
        <v>34</v>
      </c>
      <c r="B166" t="s">
        <v>21</v>
      </c>
      <c r="C166" t="s">
        <v>5</v>
      </c>
      <c r="D166">
        <f>AVERAGE(per_seed!$F$82:$F$91)</f>
        <v>588.1</v>
      </c>
      <c r="E166">
        <v>588.1</v>
      </c>
    </row>
    <row r="167" spans="1:5">
      <c r="A167" t="s">
        <v>35</v>
      </c>
      <c r="B167" t="s">
        <v>21</v>
      </c>
      <c r="C167" t="s">
        <v>5</v>
      </c>
      <c r="D167">
        <f>_xlfn.STDEV.S(per_seed!$F$82:$F$91)</f>
        <v>13.739238212749157</v>
      </c>
      <c r="E167">
        <v>13.739238212749161</v>
      </c>
    </row>
    <row r="168" spans="1:5">
      <c r="A168" t="s">
        <v>34</v>
      </c>
      <c r="B168" t="s">
        <v>21</v>
      </c>
      <c r="C168" t="s">
        <v>6</v>
      </c>
      <c r="D168">
        <f>AVERAGE(per_seed!$G$82:$G$91)</f>
        <v>5.0806618255949489</v>
      </c>
      <c r="E168">
        <v>5.0806618255949489</v>
      </c>
    </row>
    <row r="169" spans="1:5">
      <c r="A169" t="s">
        <v>35</v>
      </c>
      <c r="B169" t="s">
        <v>21</v>
      </c>
      <c r="C169" t="s">
        <v>6</v>
      </c>
      <c r="D169">
        <f>_xlfn.STDEV.S(per_seed!$G$82:$G$91)</f>
        <v>0.13703903416325916</v>
      </c>
      <c r="E169">
        <v>0.13703903416325919</v>
      </c>
    </row>
    <row r="170" spans="1:5">
      <c r="A170" t="s">
        <v>34</v>
      </c>
      <c r="B170" t="s">
        <v>21</v>
      </c>
      <c r="C170" t="s">
        <v>7</v>
      </c>
      <c r="D170">
        <f>AVERAGE(per_seed!$H$82:$H$91)</f>
        <v>115.8</v>
      </c>
      <c r="E170">
        <v>115.8</v>
      </c>
    </row>
    <row r="171" spans="1:5">
      <c r="A171" t="s">
        <v>35</v>
      </c>
      <c r="B171" t="s">
        <v>21</v>
      </c>
      <c r="C171" t="s">
        <v>7</v>
      </c>
      <c r="D171">
        <f>_xlfn.STDEV.S(per_seed!$H$82:$H$91)</f>
        <v>3.1198290551460244</v>
      </c>
      <c r="E171">
        <v>3.1198290551460239</v>
      </c>
    </row>
    <row r="172" spans="1:5">
      <c r="A172" t="s">
        <v>34</v>
      </c>
      <c r="B172" t="s">
        <v>21</v>
      </c>
      <c r="C172" t="s">
        <v>8</v>
      </c>
      <c r="D172">
        <f>AVERAGE(per_seed!$I$82:$I$91)</f>
        <v>0.19695460564069459</v>
      </c>
      <c r="E172">
        <v>0.19695460564069461</v>
      </c>
    </row>
    <row r="173" spans="1:5">
      <c r="A173" t="s">
        <v>35</v>
      </c>
      <c r="B173" t="s">
        <v>21</v>
      </c>
      <c r="C173" t="s">
        <v>8</v>
      </c>
      <c r="D173">
        <f>_xlfn.STDEV.S(per_seed!$I$82:$I$91)</f>
        <v>5.3499205682135008E-3</v>
      </c>
      <c r="E173">
        <v>5.3499205682134938E-3</v>
      </c>
    </row>
    <row r="174" spans="1:5">
      <c r="A174" t="s">
        <v>34</v>
      </c>
      <c r="B174" t="s">
        <v>21</v>
      </c>
      <c r="C174" t="s">
        <v>9</v>
      </c>
      <c r="D174">
        <f>AVERAGE(per_seed!$J$82:$J$91)</f>
        <v>10.184533424333432</v>
      </c>
      <c r="E174">
        <v>10.184533424333431</v>
      </c>
    </row>
    <row r="175" spans="1:5">
      <c r="A175" t="s">
        <v>35</v>
      </c>
      <c r="B175" t="s">
        <v>21</v>
      </c>
      <c r="C175" t="s">
        <v>9</v>
      </c>
      <c r="D175">
        <f>_xlfn.STDEV.S(per_seed!$J$82:$J$91)</f>
        <v>0.28233404528442546</v>
      </c>
      <c r="E175">
        <v>0.2823340452844269</v>
      </c>
    </row>
    <row r="176" spans="1:5">
      <c r="A176" t="s">
        <v>34</v>
      </c>
      <c r="B176" t="s">
        <v>21</v>
      </c>
      <c r="C176" t="s">
        <v>10</v>
      </c>
      <c r="D176">
        <f>AVERAGE(per_seed!$K$82:$K$91)</f>
        <v>1.312053841801589</v>
      </c>
      <c r="E176">
        <v>1.312053841801589</v>
      </c>
    </row>
    <row r="177" spans="1:5">
      <c r="A177" t="s">
        <v>35</v>
      </c>
      <c r="B177" t="s">
        <v>21</v>
      </c>
      <c r="C177" t="s">
        <v>10</v>
      </c>
      <c r="D177">
        <f>_xlfn.STDEV.S(per_seed!$K$82:$K$91)</f>
        <v>3.5188312401846458E-2</v>
      </c>
      <c r="E177">
        <v>3.5188312401846451E-2</v>
      </c>
    </row>
    <row r="178" spans="1:5">
      <c r="A178" t="s">
        <v>34</v>
      </c>
      <c r="B178" t="s">
        <v>21</v>
      </c>
      <c r="C178" t="s">
        <v>11</v>
      </c>
      <c r="D178">
        <f>AVERAGE(per_seed!$L$82:$L$91)</f>
        <v>955.16888888980588</v>
      </c>
      <c r="E178">
        <v>955.16888888980588</v>
      </c>
    </row>
    <row r="179" spans="1:5">
      <c r="A179" t="s">
        <v>35</v>
      </c>
      <c r="B179" t="s">
        <v>21</v>
      </c>
      <c r="C179" t="s">
        <v>11</v>
      </c>
      <c r="D179">
        <f>_xlfn.STDEV.S(per_seed!$L$82:$L$91)</f>
        <v>59.762808901562707</v>
      </c>
      <c r="E179">
        <v>59.762808901562707</v>
      </c>
    </row>
    <row r="180" spans="1:5">
      <c r="A180" t="s">
        <v>34</v>
      </c>
      <c r="B180" t="s">
        <v>21</v>
      </c>
      <c r="C180" t="s">
        <v>12</v>
      </c>
      <c r="D180">
        <f>AVERAGE(per_seed!$M$82:$M$91)</f>
        <v>0.73530864212249336</v>
      </c>
      <c r="E180">
        <v>0.73530864212249336</v>
      </c>
    </row>
    <row r="181" spans="1:5">
      <c r="A181" t="s">
        <v>35</v>
      </c>
      <c r="B181" t="s">
        <v>21</v>
      </c>
      <c r="C181" t="s">
        <v>12</v>
      </c>
      <c r="D181">
        <f>_xlfn.STDEV.S(per_seed!$M$82:$M$91)</f>
        <v>2.4435921530266028E-2</v>
      </c>
      <c r="E181">
        <v>2.4435921530266028E-2</v>
      </c>
    </row>
    <row r="182" spans="1:5">
      <c r="A182" t="s">
        <v>34</v>
      </c>
      <c r="B182" t="s">
        <v>22</v>
      </c>
      <c r="C182" t="s">
        <v>3</v>
      </c>
      <c r="D182">
        <f>AVERAGE(per_seed!$D$92:$D$101)</f>
        <v>936.3</v>
      </c>
      <c r="E182">
        <v>936.3</v>
      </c>
    </row>
    <row r="183" spans="1:5">
      <c r="A183" t="s">
        <v>35</v>
      </c>
      <c r="B183" t="s">
        <v>22</v>
      </c>
      <c r="C183" t="s">
        <v>3</v>
      </c>
      <c r="D183">
        <f>_xlfn.STDEV.S(per_seed!$D$92:$D$101)</f>
        <v>346.11175138160854</v>
      </c>
      <c r="E183">
        <v>346.1117513816086</v>
      </c>
    </row>
    <row r="184" spans="1:5">
      <c r="A184" t="s">
        <v>34</v>
      </c>
      <c r="B184" t="s">
        <v>22</v>
      </c>
      <c r="C184" t="s">
        <v>4</v>
      </c>
      <c r="D184">
        <f>AVERAGE(per_seed!$E$92:$E$101)</f>
        <v>616.5</v>
      </c>
      <c r="E184">
        <v>616.5</v>
      </c>
    </row>
    <row r="185" spans="1:5">
      <c r="A185" t="s">
        <v>35</v>
      </c>
      <c r="B185" t="s">
        <v>22</v>
      </c>
      <c r="C185" t="s">
        <v>4</v>
      </c>
      <c r="D185">
        <f>_xlfn.STDEV.S(per_seed!$E$92:$E$101)</f>
        <v>225.23925550894145</v>
      </c>
      <c r="E185">
        <v>225.23925550894151</v>
      </c>
    </row>
    <row r="186" spans="1:5">
      <c r="A186" t="s">
        <v>34</v>
      </c>
      <c r="B186" t="s">
        <v>22</v>
      </c>
      <c r="C186" t="s">
        <v>5</v>
      </c>
      <c r="D186">
        <f>AVERAGE(per_seed!$F$92:$F$101)</f>
        <v>387.6</v>
      </c>
      <c r="E186">
        <v>387.6</v>
      </c>
    </row>
    <row r="187" spans="1:5">
      <c r="A187" t="s">
        <v>35</v>
      </c>
      <c r="B187" t="s">
        <v>22</v>
      </c>
      <c r="C187" t="s">
        <v>5</v>
      </c>
      <c r="D187">
        <f>_xlfn.STDEV.S(per_seed!$F$92:$F$101)</f>
        <v>143.81485010634717</v>
      </c>
      <c r="E187">
        <v>143.81485010634719</v>
      </c>
    </row>
    <row r="188" spans="1:5">
      <c r="A188" t="s">
        <v>34</v>
      </c>
      <c r="B188" t="s">
        <v>22</v>
      </c>
      <c r="C188" t="s">
        <v>6</v>
      </c>
      <c r="D188">
        <f>AVERAGE(per_seed!$G$92:$G$101)</f>
        <v>5.4815250129635311</v>
      </c>
      <c r="E188">
        <v>5.4815250129635311</v>
      </c>
    </row>
    <row r="189" spans="1:5">
      <c r="A189" t="s">
        <v>35</v>
      </c>
      <c r="B189" t="s">
        <v>22</v>
      </c>
      <c r="C189" t="s">
        <v>6</v>
      </c>
      <c r="D189">
        <f>_xlfn.STDEV.S(per_seed!$G$92:$G$101)</f>
        <v>0.26284222443355609</v>
      </c>
      <c r="E189">
        <v>0.26284222443355598</v>
      </c>
    </row>
    <row r="190" spans="1:5">
      <c r="A190" t="s">
        <v>34</v>
      </c>
      <c r="B190" t="s">
        <v>22</v>
      </c>
      <c r="C190" t="s">
        <v>7</v>
      </c>
      <c r="D190">
        <f>AVERAGE(per_seed!$H$92:$H$101)</f>
        <v>71.400000000000006</v>
      </c>
      <c r="E190">
        <v>71.400000000000006</v>
      </c>
    </row>
    <row r="191" spans="1:5">
      <c r="A191" t="s">
        <v>35</v>
      </c>
      <c r="B191" t="s">
        <v>22</v>
      </c>
      <c r="C191" t="s">
        <v>7</v>
      </c>
      <c r="D191">
        <f>_xlfn.STDEV.S(per_seed!$H$92:$H$101)</f>
        <v>28.257545698253573</v>
      </c>
      <c r="E191">
        <v>28.257545698253569</v>
      </c>
    </row>
    <row r="192" spans="1:5">
      <c r="A192" t="s">
        <v>34</v>
      </c>
      <c r="B192" t="s">
        <v>22</v>
      </c>
      <c r="C192" t="s">
        <v>8</v>
      </c>
      <c r="D192">
        <f>AVERAGE(per_seed!$I$92:$I$101)</f>
        <v>0.18280747933633434</v>
      </c>
      <c r="E192">
        <v>0.1828074793363344</v>
      </c>
    </row>
    <row r="193" spans="1:5">
      <c r="A193" t="s">
        <v>35</v>
      </c>
      <c r="B193" t="s">
        <v>22</v>
      </c>
      <c r="C193" t="s">
        <v>8</v>
      </c>
      <c r="D193">
        <f>_xlfn.STDEV.S(per_seed!$I$92:$I$101)</f>
        <v>8.7344964852224486E-3</v>
      </c>
      <c r="E193">
        <v>8.7344964852224434E-3</v>
      </c>
    </row>
    <row r="194" spans="1:5">
      <c r="A194" t="s">
        <v>34</v>
      </c>
      <c r="B194" t="s">
        <v>22</v>
      </c>
      <c r="C194" t="s">
        <v>9</v>
      </c>
      <c r="D194">
        <f>AVERAGE(per_seed!$J$92:$J$101)</f>
        <v>10.219535473096659</v>
      </c>
      <c r="E194">
        <v>10.219535473096659</v>
      </c>
    </row>
    <row r="195" spans="1:5">
      <c r="A195" t="s">
        <v>35</v>
      </c>
      <c r="B195" t="s">
        <v>22</v>
      </c>
      <c r="C195" t="s">
        <v>9</v>
      </c>
      <c r="D195">
        <f>_xlfn.STDEV.S(per_seed!$J$92:$J$101)</f>
        <v>1.2321585346764281</v>
      </c>
      <c r="E195">
        <v>1.232158534676431</v>
      </c>
    </row>
    <row r="196" spans="1:5">
      <c r="A196" t="s">
        <v>34</v>
      </c>
      <c r="B196" t="s">
        <v>22</v>
      </c>
      <c r="C196" t="s">
        <v>10</v>
      </c>
      <c r="D196">
        <f>AVERAGE(per_seed!$K$92:$K$101)</f>
        <v>1.305479323811823</v>
      </c>
      <c r="E196">
        <v>1.305479323811823</v>
      </c>
    </row>
    <row r="197" spans="1:5">
      <c r="A197" t="s">
        <v>35</v>
      </c>
      <c r="B197" t="s">
        <v>22</v>
      </c>
      <c r="C197" t="s">
        <v>10</v>
      </c>
      <c r="D197">
        <f>_xlfn.STDEV.S(per_seed!$K$92:$K$101)</f>
        <v>0.15674672149574267</v>
      </c>
      <c r="E197">
        <v>0.15674672149574301</v>
      </c>
    </row>
    <row r="198" spans="1:5">
      <c r="A198" t="s">
        <v>34</v>
      </c>
      <c r="B198" t="s">
        <v>22</v>
      </c>
      <c r="C198" t="s">
        <v>11</v>
      </c>
      <c r="D198">
        <f>AVERAGE(per_seed!$L$92:$L$101)</f>
        <v>749.62222222134938</v>
      </c>
      <c r="E198">
        <v>749.62222222134949</v>
      </c>
    </row>
    <row r="199" spans="1:5">
      <c r="A199" t="s">
        <v>35</v>
      </c>
      <c r="B199" t="s">
        <v>22</v>
      </c>
      <c r="C199" t="s">
        <v>11</v>
      </c>
      <c r="D199">
        <f>_xlfn.STDEV.S(per_seed!$L$92:$L$101)</f>
        <v>153.98103209130292</v>
      </c>
      <c r="E199">
        <v>153.9810320913023</v>
      </c>
    </row>
    <row r="200" spans="1:5">
      <c r="A200" t="s">
        <v>34</v>
      </c>
      <c r="B200" t="s">
        <v>22</v>
      </c>
      <c r="C200" t="s">
        <v>12</v>
      </c>
      <c r="D200">
        <f>AVERAGE(per_seed!$M$92:$M$101)</f>
        <v>34.992469135824578</v>
      </c>
      <c r="E200">
        <v>34.992469135824571</v>
      </c>
    </row>
    <row r="201" spans="1:5">
      <c r="A201" t="s">
        <v>35</v>
      </c>
      <c r="B201" t="s">
        <v>22</v>
      </c>
      <c r="C201" t="s">
        <v>12</v>
      </c>
      <c r="D201">
        <f>_xlfn.STDEV.S(per_seed!$M$92:$M$101)</f>
        <v>24.018045810219387</v>
      </c>
      <c r="E201">
        <v>24.018045810219402</v>
      </c>
    </row>
    <row r="202" spans="1:5">
      <c r="A202" t="s">
        <v>34</v>
      </c>
      <c r="B202" t="s">
        <v>23</v>
      </c>
      <c r="C202" t="s">
        <v>3</v>
      </c>
      <c r="D202">
        <f>AVERAGE(per_seed!$D$102:$D$111)</f>
        <v>993.2</v>
      </c>
      <c r="E202">
        <v>993.2</v>
      </c>
    </row>
    <row r="203" spans="1:5">
      <c r="A203" t="s">
        <v>35</v>
      </c>
      <c r="B203" t="s">
        <v>23</v>
      </c>
      <c r="C203" t="s">
        <v>3</v>
      </c>
      <c r="D203">
        <f>_xlfn.STDEV.S(per_seed!$D$102:$D$111)</f>
        <v>345.44714984109117</v>
      </c>
      <c r="E203">
        <v>345.44714984109117</v>
      </c>
    </row>
    <row r="204" spans="1:5">
      <c r="A204" t="s">
        <v>34</v>
      </c>
      <c r="B204" t="s">
        <v>23</v>
      </c>
      <c r="C204" t="s">
        <v>4</v>
      </c>
      <c r="D204">
        <f>AVERAGE(per_seed!$E$102:$E$111)</f>
        <v>653.9</v>
      </c>
      <c r="E204">
        <v>653.9</v>
      </c>
    </row>
    <row r="205" spans="1:5">
      <c r="A205" t="s">
        <v>35</v>
      </c>
      <c r="B205" t="s">
        <v>23</v>
      </c>
      <c r="C205" t="s">
        <v>4</v>
      </c>
      <c r="D205">
        <f>_xlfn.STDEV.S(per_seed!$E$102:$E$111)</f>
        <v>223.57322936543395</v>
      </c>
      <c r="E205">
        <v>223.5732293654338</v>
      </c>
    </row>
    <row r="206" spans="1:5">
      <c r="A206" t="s">
        <v>34</v>
      </c>
      <c r="B206" t="s">
        <v>23</v>
      </c>
      <c r="C206" t="s">
        <v>5</v>
      </c>
      <c r="D206">
        <f>AVERAGE(per_seed!$F$102:$F$111)</f>
        <v>413.3</v>
      </c>
      <c r="E206">
        <v>413.3</v>
      </c>
    </row>
    <row r="207" spans="1:5">
      <c r="A207" t="s">
        <v>35</v>
      </c>
      <c r="B207" t="s">
        <v>23</v>
      </c>
      <c r="C207" t="s">
        <v>5</v>
      </c>
      <c r="D207">
        <f>_xlfn.STDEV.S(per_seed!$F$102:$F$111)</f>
        <v>144.79261030867565</v>
      </c>
      <c r="E207">
        <v>144.79261030867559</v>
      </c>
    </row>
    <row r="208" spans="1:5">
      <c r="A208" t="s">
        <v>34</v>
      </c>
      <c r="B208" t="s">
        <v>23</v>
      </c>
      <c r="C208" t="s">
        <v>6</v>
      </c>
      <c r="D208">
        <f>AVERAGE(per_seed!$G$102:$G$111)</f>
        <v>5.516024867770783</v>
      </c>
      <c r="E208">
        <v>5.5160248677707839</v>
      </c>
    </row>
    <row r="209" spans="1:5">
      <c r="A209" t="s">
        <v>35</v>
      </c>
      <c r="B209" t="s">
        <v>23</v>
      </c>
      <c r="C209" t="s">
        <v>6</v>
      </c>
      <c r="D209">
        <f>_xlfn.STDEV.S(per_seed!$G$102:$G$111)</f>
        <v>0.27228432428900462</v>
      </c>
      <c r="E209">
        <v>0.27228432428900451</v>
      </c>
    </row>
    <row r="210" spans="1:5">
      <c r="A210" t="s">
        <v>34</v>
      </c>
      <c r="B210" t="s">
        <v>23</v>
      </c>
      <c r="C210" t="s">
        <v>7</v>
      </c>
      <c r="D210">
        <f>AVERAGE(per_seed!$H$102:$H$111)</f>
        <v>75.7</v>
      </c>
      <c r="E210">
        <v>75.7</v>
      </c>
    </row>
    <row r="211" spans="1:5">
      <c r="A211" t="s">
        <v>35</v>
      </c>
      <c r="B211" t="s">
        <v>23</v>
      </c>
      <c r="C211" t="s">
        <v>7</v>
      </c>
      <c r="D211">
        <f>_xlfn.STDEV.S(per_seed!$H$102:$H$111)</f>
        <v>27.817061111643135</v>
      </c>
      <c r="E211">
        <v>27.817061111643142</v>
      </c>
    </row>
    <row r="212" spans="1:5">
      <c r="A212" t="s">
        <v>34</v>
      </c>
      <c r="B212" t="s">
        <v>23</v>
      </c>
      <c r="C212" t="s">
        <v>8</v>
      </c>
      <c r="D212">
        <f>AVERAGE(per_seed!$I$102:$I$111)</f>
        <v>0.18166429393944361</v>
      </c>
      <c r="E212">
        <v>0.18166429393944361</v>
      </c>
    </row>
    <row r="213" spans="1:5">
      <c r="A213" t="s">
        <v>35</v>
      </c>
      <c r="B213" t="s">
        <v>23</v>
      </c>
      <c r="C213" t="s">
        <v>8</v>
      </c>
      <c r="D213">
        <f>_xlfn.STDEV.S(per_seed!$I$102:$I$111)</f>
        <v>8.4411826212422939E-3</v>
      </c>
      <c r="E213">
        <v>8.4411826212422783E-3</v>
      </c>
    </row>
    <row r="214" spans="1:5">
      <c r="A214" t="s">
        <v>34</v>
      </c>
      <c r="B214" t="s">
        <v>23</v>
      </c>
      <c r="C214" t="s">
        <v>9</v>
      </c>
      <c r="D214">
        <f>AVERAGE(per_seed!$J$102:$J$111)</f>
        <v>9.6913979385238775</v>
      </c>
      <c r="E214">
        <v>9.6913979385238775</v>
      </c>
    </row>
    <row r="215" spans="1:5">
      <c r="A215" t="s">
        <v>35</v>
      </c>
      <c r="B215" t="s">
        <v>23</v>
      </c>
      <c r="C215" t="s">
        <v>9</v>
      </c>
      <c r="D215">
        <f>_xlfn.STDEV.S(per_seed!$J$102:$J$111)</f>
        <v>0.99599163737891483</v>
      </c>
      <c r="E215">
        <v>0.99599163737891394</v>
      </c>
    </row>
    <row r="216" spans="1:5">
      <c r="A216" t="s">
        <v>34</v>
      </c>
      <c r="B216" t="s">
        <v>23</v>
      </c>
      <c r="C216" t="s">
        <v>10</v>
      </c>
      <c r="D216">
        <f>AVERAGE(per_seed!$K$102:$K$111)</f>
        <v>1.2280588585590919</v>
      </c>
      <c r="E216">
        <v>1.2280588585590919</v>
      </c>
    </row>
    <row r="217" spans="1:5">
      <c r="A217" t="s">
        <v>35</v>
      </c>
      <c r="B217" t="s">
        <v>23</v>
      </c>
      <c r="C217" t="s">
        <v>10</v>
      </c>
      <c r="D217">
        <f>_xlfn.STDEV.S(per_seed!$K$102:$K$111)</f>
        <v>0.1193382717755113</v>
      </c>
      <c r="E217">
        <v>0.1193382717755113</v>
      </c>
    </row>
    <row r="218" spans="1:5">
      <c r="A218" t="s">
        <v>34</v>
      </c>
      <c r="B218" t="s">
        <v>23</v>
      </c>
      <c r="C218" t="s">
        <v>11</v>
      </c>
      <c r="D218">
        <f>AVERAGE(per_seed!$L$102:$L$111)</f>
        <v>735.77333333332206</v>
      </c>
      <c r="E218">
        <v>735.77333333332194</v>
      </c>
    </row>
    <row r="219" spans="1:5">
      <c r="A219" t="s">
        <v>35</v>
      </c>
      <c r="B219" t="s">
        <v>23</v>
      </c>
      <c r="C219" t="s">
        <v>11</v>
      </c>
      <c r="D219">
        <f>_xlfn.STDEV.S(per_seed!$L$102:$L$111)</f>
        <v>158.18914822849339</v>
      </c>
      <c r="E219">
        <v>158.18914822849379</v>
      </c>
    </row>
    <row r="220" spans="1:5">
      <c r="A220" t="s">
        <v>34</v>
      </c>
      <c r="B220" t="s">
        <v>23</v>
      </c>
      <c r="C220" t="s">
        <v>12</v>
      </c>
      <c r="D220">
        <f>AVERAGE(per_seed!$M$102:$M$111)</f>
        <v>31.049382716093554</v>
      </c>
      <c r="E220">
        <v>31.04938271609355</v>
      </c>
    </row>
    <row r="221" spans="1:5">
      <c r="A221" t="s">
        <v>35</v>
      </c>
      <c r="B221" t="s">
        <v>23</v>
      </c>
      <c r="C221" t="s">
        <v>12</v>
      </c>
      <c r="D221">
        <f>_xlfn.STDEV.S(per_seed!$M$102:$M$111)</f>
        <v>23.96610452036704</v>
      </c>
      <c r="E221">
        <v>23.96610452036704</v>
      </c>
    </row>
    <row r="222" spans="1:5">
      <c r="A222" t="s">
        <v>34</v>
      </c>
      <c r="B222" t="s">
        <v>24</v>
      </c>
      <c r="C222" t="s">
        <v>3</v>
      </c>
      <c r="D222">
        <f>AVERAGE(per_seed!$D$112:$D$121)</f>
        <v>1197</v>
      </c>
      <c r="E222">
        <v>1197</v>
      </c>
    </row>
    <row r="223" spans="1:5">
      <c r="A223" t="s">
        <v>35</v>
      </c>
      <c r="B223" t="s">
        <v>24</v>
      </c>
      <c r="C223" t="s">
        <v>3</v>
      </c>
      <c r="D223">
        <f>_xlfn.STDEV.S(per_seed!$D$112:$D$121)</f>
        <v>322.51235979760872</v>
      </c>
      <c r="E223">
        <v>322.51235979760872</v>
      </c>
    </row>
    <row r="224" spans="1:5">
      <c r="A224" t="s">
        <v>34</v>
      </c>
      <c r="B224" t="s">
        <v>24</v>
      </c>
      <c r="C224" t="s">
        <v>4</v>
      </c>
      <c r="D224">
        <f>AVERAGE(per_seed!$E$112:$E$121)</f>
        <v>783.3</v>
      </c>
      <c r="E224">
        <v>783.3</v>
      </c>
    </row>
    <row r="225" spans="1:5">
      <c r="A225" t="s">
        <v>35</v>
      </c>
      <c r="B225" t="s">
        <v>24</v>
      </c>
      <c r="C225" t="s">
        <v>4</v>
      </c>
      <c r="D225">
        <f>_xlfn.STDEV.S(per_seed!$E$112:$E$121)</f>
        <v>207.05342842421661</v>
      </c>
      <c r="E225">
        <v>207.05342842421669</v>
      </c>
    </row>
    <row r="226" spans="1:5">
      <c r="A226" t="s">
        <v>34</v>
      </c>
      <c r="B226" t="s">
        <v>24</v>
      </c>
      <c r="C226" t="s">
        <v>5</v>
      </c>
      <c r="D226">
        <f>AVERAGE(per_seed!$F$112:$F$121)</f>
        <v>496.2</v>
      </c>
      <c r="E226">
        <v>496.2</v>
      </c>
    </row>
    <row r="227" spans="1:5">
      <c r="A227" t="s">
        <v>35</v>
      </c>
      <c r="B227" t="s">
        <v>24</v>
      </c>
      <c r="C227" t="s">
        <v>5</v>
      </c>
      <c r="D227">
        <f>_xlfn.STDEV.S(per_seed!$F$112:$F$121)</f>
        <v>133.5571454887799</v>
      </c>
      <c r="E227">
        <v>133.5571454887799</v>
      </c>
    </row>
    <row r="228" spans="1:5">
      <c r="A228" t="s">
        <v>34</v>
      </c>
      <c r="B228" t="s">
        <v>24</v>
      </c>
      <c r="C228" t="s">
        <v>6</v>
      </c>
      <c r="D228">
        <f>AVERAGE(per_seed!$G$112:$G$121)</f>
        <v>5.5538602005874269</v>
      </c>
      <c r="E228">
        <v>5.5538602005874269</v>
      </c>
    </row>
    <row r="229" spans="1:5">
      <c r="A229" t="s">
        <v>35</v>
      </c>
      <c r="B229" t="s">
        <v>24</v>
      </c>
      <c r="C229" t="s">
        <v>6</v>
      </c>
      <c r="D229">
        <f>_xlfn.STDEV.S(per_seed!$G$112:$G$121)</f>
        <v>0.1194075087530371</v>
      </c>
      <c r="E229">
        <v>0.1194075087530368</v>
      </c>
    </row>
    <row r="230" spans="1:5">
      <c r="A230" t="s">
        <v>34</v>
      </c>
      <c r="B230" t="s">
        <v>24</v>
      </c>
      <c r="C230" t="s">
        <v>7</v>
      </c>
      <c r="D230">
        <f>AVERAGE(per_seed!$H$112:$H$121)</f>
        <v>89.4</v>
      </c>
      <c r="E230">
        <v>89.4</v>
      </c>
    </row>
    <row r="231" spans="1:5">
      <c r="A231" t="s">
        <v>35</v>
      </c>
      <c r="B231" t="s">
        <v>24</v>
      </c>
      <c r="C231" t="s">
        <v>7</v>
      </c>
      <c r="D231">
        <f>_xlfn.STDEV.S(per_seed!$H$112:$H$121)</f>
        <v>23.870949336426101</v>
      </c>
      <c r="E231">
        <v>23.870949336426111</v>
      </c>
    </row>
    <row r="232" spans="1:5">
      <c r="A232" t="s">
        <v>34</v>
      </c>
      <c r="B232" t="s">
        <v>24</v>
      </c>
      <c r="C232" t="s">
        <v>8</v>
      </c>
      <c r="D232">
        <f>AVERAGE(per_seed!$I$112:$I$121)</f>
        <v>0.18013098807882369</v>
      </c>
      <c r="E232">
        <v>0.18013098807882369</v>
      </c>
    </row>
    <row r="233" spans="1:5">
      <c r="A233" t="s">
        <v>35</v>
      </c>
      <c r="B233" t="s">
        <v>24</v>
      </c>
      <c r="C233" t="s">
        <v>8</v>
      </c>
      <c r="D233">
        <f>_xlfn.STDEV.S(per_seed!$I$112:$I$121)</f>
        <v>3.9313790008071127E-3</v>
      </c>
      <c r="E233">
        <v>3.9313790008071231E-3</v>
      </c>
    </row>
    <row r="234" spans="1:5">
      <c r="A234" t="s">
        <v>34</v>
      </c>
      <c r="B234" t="s">
        <v>24</v>
      </c>
      <c r="C234" t="s">
        <v>9</v>
      </c>
      <c r="D234">
        <f>AVERAGE(per_seed!$J$112:$J$121)</f>
        <v>9.7507699817992695</v>
      </c>
      <c r="E234">
        <v>9.7507699817992695</v>
      </c>
    </row>
    <row r="235" spans="1:5">
      <c r="A235" t="s">
        <v>35</v>
      </c>
      <c r="B235" t="s">
        <v>24</v>
      </c>
      <c r="C235" t="s">
        <v>9</v>
      </c>
      <c r="D235">
        <f>_xlfn.STDEV.S(per_seed!$J$112:$J$121)</f>
        <v>0.72581566811546161</v>
      </c>
      <c r="E235">
        <v>0.72581566811546161</v>
      </c>
    </row>
    <row r="236" spans="1:5">
      <c r="A236" t="s">
        <v>34</v>
      </c>
      <c r="B236" t="s">
        <v>24</v>
      </c>
      <c r="C236" t="s">
        <v>10</v>
      </c>
      <c r="D236">
        <f>AVERAGE(per_seed!$K$112:$K$121)</f>
        <v>1.2409083929141409</v>
      </c>
      <c r="E236">
        <v>1.2409083929141409</v>
      </c>
    </row>
    <row r="237" spans="1:5">
      <c r="A237" t="s">
        <v>35</v>
      </c>
      <c r="B237" t="s">
        <v>24</v>
      </c>
      <c r="C237" t="s">
        <v>10</v>
      </c>
      <c r="D237">
        <f>_xlfn.STDEV.S(per_seed!$K$112:$K$121)</f>
        <v>7.7096551964415477E-2</v>
      </c>
      <c r="E237">
        <v>7.7096551964415477E-2</v>
      </c>
    </row>
    <row r="238" spans="1:5">
      <c r="A238" t="s">
        <v>34</v>
      </c>
      <c r="B238" t="s">
        <v>24</v>
      </c>
      <c r="C238" t="s">
        <v>11</v>
      </c>
      <c r="D238">
        <f>AVERAGE(per_seed!$L$112:$L$121)</f>
        <v>803.4311111106548</v>
      </c>
      <c r="E238">
        <v>803.4311111106548</v>
      </c>
    </row>
    <row r="239" spans="1:5">
      <c r="A239" t="s">
        <v>35</v>
      </c>
      <c r="B239" t="s">
        <v>24</v>
      </c>
      <c r="C239" t="s">
        <v>11</v>
      </c>
      <c r="D239">
        <f>_xlfn.STDEV.S(per_seed!$L$112:$L$121)</f>
        <v>145.76474316912294</v>
      </c>
      <c r="E239">
        <v>145.76474316912231</v>
      </c>
    </row>
    <row r="240" spans="1:5">
      <c r="A240" t="s">
        <v>34</v>
      </c>
      <c r="B240" t="s">
        <v>24</v>
      </c>
      <c r="C240" t="s">
        <v>12</v>
      </c>
      <c r="D240">
        <f>AVERAGE(per_seed!$M$112:$M$121)</f>
        <v>16.899074074162307</v>
      </c>
      <c r="E240">
        <v>16.899074074162311</v>
      </c>
    </row>
    <row r="241" spans="1:5">
      <c r="A241" t="s">
        <v>35</v>
      </c>
      <c r="B241" t="s">
        <v>24</v>
      </c>
      <c r="C241" t="s">
        <v>12</v>
      </c>
      <c r="D241">
        <f>_xlfn.STDEV.S(per_seed!$M$112:$M$121)</f>
        <v>22.38175149919963</v>
      </c>
      <c r="E241">
        <v>22.38175149919963</v>
      </c>
    </row>
    <row r="242" spans="1:5">
      <c r="A242" t="s">
        <v>34</v>
      </c>
      <c r="B242" t="s">
        <v>25</v>
      </c>
      <c r="C242" t="s">
        <v>3</v>
      </c>
      <c r="D242">
        <f>AVERAGE(per_seed!$D$122:$D$131)</f>
        <v>1411</v>
      </c>
      <c r="E242">
        <v>1411</v>
      </c>
    </row>
    <row r="243" spans="1:5">
      <c r="A243" t="s">
        <v>35</v>
      </c>
      <c r="B243" t="s">
        <v>25</v>
      </c>
      <c r="C243" t="s">
        <v>3</v>
      </c>
      <c r="D243">
        <f>_xlfn.STDEV.S(per_seed!$D$122:$D$131)</f>
        <v>49.256697232175668</v>
      </c>
      <c r="E243">
        <v>49.256697232175668</v>
      </c>
    </row>
    <row r="244" spans="1:5">
      <c r="A244" t="s">
        <v>34</v>
      </c>
      <c r="B244" t="s">
        <v>25</v>
      </c>
      <c r="C244" t="s">
        <v>4</v>
      </c>
      <c r="D244">
        <f>AVERAGE(per_seed!$E$122:$E$131)</f>
        <v>925.5</v>
      </c>
      <c r="E244">
        <v>925.5</v>
      </c>
    </row>
    <row r="245" spans="1:5">
      <c r="A245" t="s">
        <v>35</v>
      </c>
      <c r="B245" t="s">
        <v>25</v>
      </c>
      <c r="C245" t="s">
        <v>4</v>
      </c>
      <c r="D245">
        <f>_xlfn.STDEV.S(per_seed!$E$122:$E$131)</f>
        <v>35.437738829295149</v>
      </c>
      <c r="E245">
        <v>35.437738829295149</v>
      </c>
    </row>
    <row r="246" spans="1:5">
      <c r="A246" t="s">
        <v>34</v>
      </c>
      <c r="B246" t="s">
        <v>25</v>
      </c>
      <c r="C246" t="s">
        <v>5</v>
      </c>
      <c r="D246">
        <f>AVERAGE(per_seed!$F$122:$F$131)</f>
        <v>585.6</v>
      </c>
      <c r="E246">
        <v>585.6</v>
      </c>
    </row>
    <row r="247" spans="1:5">
      <c r="A247" t="s">
        <v>35</v>
      </c>
      <c r="B247" t="s">
        <v>25</v>
      </c>
      <c r="C247" t="s">
        <v>5</v>
      </c>
      <c r="D247">
        <f>_xlfn.STDEV.S(per_seed!$F$122:$F$131)</f>
        <v>26.837784309936364</v>
      </c>
      <c r="E247">
        <v>26.83778430993636</v>
      </c>
    </row>
    <row r="248" spans="1:5">
      <c r="A248" t="s">
        <v>34</v>
      </c>
      <c r="B248" t="s">
        <v>25</v>
      </c>
      <c r="C248" t="s">
        <v>6</v>
      </c>
      <c r="D248">
        <f>AVERAGE(per_seed!$G$122:$G$131)</f>
        <v>5.6552505216812508</v>
      </c>
      <c r="E248">
        <v>5.6552505216812499</v>
      </c>
    </row>
    <row r="249" spans="1:5">
      <c r="A249" t="s">
        <v>35</v>
      </c>
      <c r="B249" t="s">
        <v>25</v>
      </c>
      <c r="C249" t="s">
        <v>6</v>
      </c>
      <c r="D249">
        <f>_xlfn.STDEV.S(per_seed!$G$122:$G$131)</f>
        <v>0.18303667783065677</v>
      </c>
      <c r="E249">
        <v>0.1830366778306568</v>
      </c>
    </row>
    <row r="250" spans="1:5">
      <c r="A250" t="s">
        <v>34</v>
      </c>
      <c r="B250" t="s">
        <v>25</v>
      </c>
      <c r="C250" t="s">
        <v>7</v>
      </c>
      <c r="D250">
        <f>AVERAGE(per_seed!$H$122:$H$131)</f>
        <v>103.6</v>
      </c>
      <c r="E250">
        <v>103.6</v>
      </c>
    </row>
    <row r="251" spans="1:5">
      <c r="A251" t="s">
        <v>35</v>
      </c>
      <c r="B251" t="s">
        <v>25</v>
      </c>
      <c r="C251" t="s">
        <v>7</v>
      </c>
      <c r="D251">
        <f>_xlfn.STDEV.S(per_seed!$H$122:$H$131)</f>
        <v>4.8579831205964474</v>
      </c>
      <c r="E251">
        <v>4.8579831205964474</v>
      </c>
    </row>
    <row r="252" spans="1:5">
      <c r="A252" t="s">
        <v>34</v>
      </c>
      <c r="B252" t="s">
        <v>25</v>
      </c>
      <c r="C252" t="s">
        <v>8</v>
      </c>
      <c r="D252">
        <f>AVERAGE(per_seed!$I$122:$I$131)</f>
        <v>0.17699749434996037</v>
      </c>
      <c r="E252">
        <v>0.1769974943499604</v>
      </c>
    </row>
    <row r="253" spans="1:5">
      <c r="A253" t="s">
        <v>35</v>
      </c>
      <c r="B253" t="s">
        <v>25</v>
      </c>
      <c r="C253" t="s">
        <v>8</v>
      </c>
      <c r="D253">
        <f>_xlfn.STDEV.S(per_seed!$I$122:$I$131)</f>
        <v>5.8614154308669663E-3</v>
      </c>
      <c r="E253">
        <v>5.8614154308669507E-3</v>
      </c>
    </row>
    <row r="254" spans="1:5">
      <c r="A254" t="s">
        <v>34</v>
      </c>
      <c r="B254" t="s">
        <v>25</v>
      </c>
      <c r="C254" t="s">
        <v>9</v>
      </c>
      <c r="D254">
        <f>AVERAGE(per_seed!$J$122:$J$131)</f>
        <v>9.8233929925903762</v>
      </c>
      <c r="E254">
        <v>9.823392992590378</v>
      </c>
    </row>
    <row r="255" spans="1:5">
      <c r="A255" t="s">
        <v>35</v>
      </c>
      <c r="B255" t="s">
        <v>25</v>
      </c>
      <c r="C255" t="s">
        <v>9</v>
      </c>
      <c r="D255">
        <f>_xlfn.STDEV.S(per_seed!$J$122:$J$131)</f>
        <v>0.25942919804999437</v>
      </c>
      <c r="E255">
        <v>0.25942919804999559</v>
      </c>
    </row>
    <row r="256" spans="1:5">
      <c r="A256" t="s">
        <v>34</v>
      </c>
      <c r="B256" t="s">
        <v>25</v>
      </c>
      <c r="C256" t="s">
        <v>10</v>
      </c>
      <c r="D256">
        <f>AVERAGE(per_seed!$K$122:$K$131)</f>
        <v>1.2383023676388332</v>
      </c>
      <c r="E256">
        <v>1.2383023676388329</v>
      </c>
    </row>
    <row r="257" spans="1:5">
      <c r="A257" t="s">
        <v>35</v>
      </c>
      <c r="B257" t="s">
        <v>25</v>
      </c>
      <c r="C257" t="s">
        <v>10</v>
      </c>
      <c r="D257">
        <f>_xlfn.STDEV.S(per_seed!$K$122:$K$131)</f>
        <v>2.4430398567966999E-2</v>
      </c>
      <c r="E257">
        <v>2.4430398567966999E-2</v>
      </c>
    </row>
    <row r="258" spans="1:5">
      <c r="A258" t="s">
        <v>34</v>
      </c>
      <c r="B258" t="s">
        <v>25</v>
      </c>
      <c r="C258" t="s">
        <v>11</v>
      </c>
      <c r="D258">
        <f>AVERAGE(per_seed!$L$122:$L$131)</f>
        <v>856.87111111139234</v>
      </c>
      <c r="E258">
        <v>856.87111111139234</v>
      </c>
    </row>
    <row r="259" spans="1:5">
      <c r="A259" t="s">
        <v>35</v>
      </c>
      <c r="B259" t="s">
        <v>25</v>
      </c>
      <c r="C259" t="s">
        <v>11</v>
      </c>
      <c r="D259">
        <f>_xlfn.STDEV.S(per_seed!$L$122:$L$131)</f>
        <v>68.844826053063045</v>
      </c>
      <c r="E259">
        <v>68.844826053063045</v>
      </c>
    </row>
    <row r="260" spans="1:5">
      <c r="A260" t="s">
        <v>34</v>
      </c>
      <c r="B260" t="s">
        <v>25</v>
      </c>
      <c r="C260" t="s">
        <v>12</v>
      </c>
      <c r="D260">
        <f>AVERAGE(per_seed!$M$122:$M$131)</f>
        <v>2.0793827161892509</v>
      </c>
      <c r="E260">
        <v>2.07938271618925</v>
      </c>
    </row>
    <row r="261" spans="1:5">
      <c r="A261" t="s">
        <v>35</v>
      </c>
      <c r="B261" t="s">
        <v>25</v>
      </c>
      <c r="C261" t="s">
        <v>12</v>
      </c>
      <c r="D261">
        <f>_xlfn.STDEV.S(per_seed!$M$122:$M$131)</f>
        <v>3.3979225906027706</v>
      </c>
      <c r="E261">
        <v>3.3979225906027688</v>
      </c>
    </row>
    <row r="262" spans="1:5">
      <c r="A262" t="s">
        <v>34</v>
      </c>
      <c r="B262" t="s">
        <v>26</v>
      </c>
      <c r="C262" t="s">
        <v>3</v>
      </c>
      <c r="D262">
        <f>AVERAGE(per_seed!$D$132:$D$141)</f>
        <v>1428.6</v>
      </c>
      <c r="E262">
        <v>1428.6</v>
      </c>
    </row>
    <row r="263" spans="1:5">
      <c r="A263" t="s">
        <v>35</v>
      </c>
      <c r="B263" t="s">
        <v>26</v>
      </c>
      <c r="C263" t="s">
        <v>3</v>
      </c>
      <c r="D263">
        <f>_xlfn.STDEV.S(per_seed!$D$132:$D$141)</f>
        <v>0.69920589878010109</v>
      </c>
      <c r="E263">
        <v>0.69920589878010109</v>
      </c>
    </row>
    <row r="264" spans="1:5">
      <c r="A264" t="s">
        <v>34</v>
      </c>
      <c r="B264" t="s">
        <v>26</v>
      </c>
      <c r="C264" t="s">
        <v>4</v>
      </c>
      <c r="D264">
        <f>AVERAGE(per_seed!$E$132:$E$141)</f>
        <v>934</v>
      </c>
      <c r="E264">
        <v>934</v>
      </c>
    </row>
    <row r="265" spans="1:5">
      <c r="A265" t="s">
        <v>35</v>
      </c>
      <c r="B265" t="s">
        <v>26</v>
      </c>
      <c r="C265" t="s">
        <v>4</v>
      </c>
      <c r="D265">
        <f>_xlfn.STDEV.S(per_seed!$E$132:$E$141)</f>
        <v>14.406788523316205</v>
      </c>
      <c r="E265">
        <v>14.406788523316211</v>
      </c>
    </row>
    <row r="266" spans="1:5">
      <c r="A266" t="s">
        <v>34</v>
      </c>
      <c r="B266" t="s">
        <v>26</v>
      </c>
      <c r="C266" t="s">
        <v>5</v>
      </c>
      <c r="D266">
        <f>AVERAGE(per_seed!$F$132:$F$141)</f>
        <v>591</v>
      </c>
      <c r="E266">
        <v>591</v>
      </c>
    </row>
    <row r="267" spans="1:5">
      <c r="A267" t="s">
        <v>35</v>
      </c>
      <c r="B267" t="s">
        <v>26</v>
      </c>
      <c r="C267" t="s">
        <v>5</v>
      </c>
      <c r="D267">
        <f>_xlfn.STDEV.S(per_seed!$F$132:$F$141)</f>
        <v>10.402991022884823</v>
      </c>
      <c r="E267">
        <v>10.402991022884819</v>
      </c>
    </row>
    <row r="268" spans="1:5">
      <c r="A268" t="s">
        <v>34</v>
      </c>
      <c r="B268" t="s">
        <v>26</v>
      </c>
      <c r="C268" t="s">
        <v>6</v>
      </c>
      <c r="D268">
        <f>AVERAGE(per_seed!$G$132:$G$141)</f>
        <v>5.5611429823492466</v>
      </c>
      <c r="E268">
        <v>5.5611429823492484</v>
      </c>
    </row>
    <row r="269" spans="1:5">
      <c r="A269" t="s">
        <v>35</v>
      </c>
      <c r="B269" t="s">
        <v>26</v>
      </c>
      <c r="C269" t="s">
        <v>6</v>
      </c>
      <c r="D269">
        <f>_xlfn.STDEV.S(per_seed!$G$132:$G$141)</f>
        <v>0.10299349233350211</v>
      </c>
      <c r="E269">
        <v>0.10299349233350211</v>
      </c>
    </row>
    <row r="270" spans="1:5">
      <c r="A270" t="s">
        <v>34</v>
      </c>
      <c r="B270" t="s">
        <v>26</v>
      </c>
      <c r="C270" t="s">
        <v>7</v>
      </c>
      <c r="D270">
        <f>AVERAGE(per_seed!$H$132:$H$141)</f>
        <v>106.3</v>
      </c>
      <c r="E270">
        <v>106.3</v>
      </c>
    </row>
    <row r="271" spans="1:5">
      <c r="A271" t="s">
        <v>35</v>
      </c>
      <c r="B271" t="s">
        <v>26</v>
      </c>
      <c r="C271" t="s">
        <v>7</v>
      </c>
      <c r="D271">
        <f>_xlfn.STDEV.S(per_seed!$H$132:$H$141)</f>
        <v>2.4517567397911053</v>
      </c>
      <c r="E271">
        <v>2.4517567397911049</v>
      </c>
    </row>
    <row r="272" spans="1:5">
      <c r="A272" t="s">
        <v>34</v>
      </c>
      <c r="B272" t="s">
        <v>26</v>
      </c>
      <c r="C272" t="s">
        <v>8</v>
      </c>
      <c r="D272">
        <f>AVERAGE(per_seed!$I$132:$I$141)</f>
        <v>0.1798740887502015</v>
      </c>
      <c r="E272">
        <v>0.1798740887502015</v>
      </c>
    </row>
    <row r="273" spans="1:5">
      <c r="A273" t="s">
        <v>35</v>
      </c>
      <c r="B273" t="s">
        <v>26</v>
      </c>
      <c r="C273" t="s">
        <v>8</v>
      </c>
      <c r="D273">
        <f>_xlfn.STDEV.S(per_seed!$I$132:$I$141)</f>
        <v>3.2962348710935613E-3</v>
      </c>
      <c r="E273">
        <v>3.2962348710935561E-3</v>
      </c>
    </row>
    <row r="274" spans="1:5">
      <c r="A274" t="s">
        <v>34</v>
      </c>
      <c r="B274" t="s">
        <v>26</v>
      </c>
      <c r="C274" t="s">
        <v>9</v>
      </c>
      <c r="D274">
        <f>AVERAGE(per_seed!$J$132:$J$141)</f>
        <v>9.9867580647926744</v>
      </c>
      <c r="E274">
        <v>9.9867580647926726</v>
      </c>
    </row>
    <row r="275" spans="1:5">
      <c r="A275" t="s">
        <v>35</v>
      </c>
      <c r="B275" t="s">
        <v>26</v>
      </c>
      <c r="C275" t="s">
        <v>9</v>
      </c>
      <c r="D275">
        <f>_xlfn.STDEV.S(per_seed!$J$132:$J$141)</f>
        <v>0.30280579152312487</v>
      </c>
      <c r="E275">
        <v>0.30280579152312459</v>
      </c>
    </row>
    <row r="276" spans="1:5">
      <c r="A276" t="s">
        <v>34</v>
      </c>
      <c r="B276" t="s">
        <v>26</v>
      </c>
      <c r="C276" t="s">
        <v>10</v>
      </c>
      <c r="D276">
        <f>AVERAGE(per_seed!$K$132:$K$141)</f>
        <v>1.258598220173702</v>
      </c>
      <c r="E276">
        <v>1.258598220173702</v>
      </c>
    </row>
    <row r="277" spans="1:5">
      <c r="A277" t="s">
        <v>35</v>
      </c>
      <c r="B277" t="s">
        <v>26</v>
      </c>
      <c r="C277" t="s">
        <v>10</v>
      </c>
      <c r="D277">
        <f>_xlfn.STDEV.S(per_seed!$K$132:$K$141)</f>
        <v>2.7362832838777565E-2</v>
      </c>
      <c r="E277">
        <v>2.7362832838777561E-2</v>
      </c>
    </row>
    <row r="278" spans="1:5">
      <c r="A278" t="s">
        <v>34</v>
      </c>
      <c r="B278" t="s">
        <v>26</v>
      </c>
      <c r="C278" t="s">
        <v>11</v>
      </c>
      <c r="D278">
        <f>AVERAGE(per_seed!$L$132:$L$141)</f>
        <v>915.4400000007945</v>
      </c>
      <c r="E278">
        <v>915.4400000007945</v>
      </c>
    </row>
    <row r="279" spans="1:5">
      <c r="A279" t="s">
        <v>35</v>
      </c>
      <c r="B279" t="s">
        <v>26</v>
      </c>
      <c r="C279" t="s">
        <v>11</v>
      </c>
      <c r="D279">
        <f>_xlfn.STDEV.S(per_seed!$L$132:$L$141)</f>
        <v>85.031852210498258</v>
      </c>
      <c r="E279">
        <v>85.031852210498258</v>
      </c>
    </row>
    <row r="280" spans="1:5">
      <c r="A280" t="s">
        <v>34</v>
      </c>
      <c r="B280" t="s">
        <v>26</v>
      </c>
      <c r="C280" t="s">
        <v>12</v>
      </c>
      <c r="D280">
        <f>AVERAGE(per_seed!$M$132:$M$141)</f>
        <v>0.84348765446811347</v>
      </c>
      <c r="E280">
        <v>0.84348765446811336</v>
      </c>
    </row>
    <row r="281" spans="1:5">
      <c r="A281" t="s">
        <v>35</v>
      </c>
      <c r="B281" t="s">
        <v>26</v>
      </c>
      <c r="C281" t="s">
        <v>12</v>
      </c>
      <c r="D281">
        <f>_xlfn.STDEV.S(per_seed!$M$132:$M$141)</f>
        <v>6.7143396882395859E-2</v>
      </c>
      <c r="E281">
        <v>6.7143396882395845E-2</v>
      </c>
    </row>
    <row r="282" spans="1:5">
      <c r="A282" t="s">
        <v>34</v>
      </c>
      <c r="B282" t="s">
        <v>27</v>
      </c>
      <c r="C282" t="s">
        <v>3</v>
      </c>
      <c r="D282">
        <f>AVERAGE(per_seed!$D$142:$D$151)</f>
        <v>1428.4</v>
      </c>
      <c r="E282">
        <v>1428.4</v>
      </c>
    </row>
    <row r="283" spans="1:5">
      <c r="A283" t="s">
        <v>35</v>
      </c>
      <c r="B283" t="s">
        <v>27</v>
      </c>
      <c r="C283" t="s">
        <v>3</v>
      </c>
      <c r="D283">
        <f>_xlfn.STDEV.S(per_seed!$D$142:$D$151)</f>
        <v>1.3498971154211057</v>
      </c>
      <c r="E283">
        <v>1.3498971154211059</v>
      </c>
    </row>
    <row r="284" spans="1:5">
      <c r="A284" t="s">
        <v>34</v>
      </c>
      <c r="B284" t="s">
        <v>27</v>
      </c>
      <c r="C284" t="s">
        <v>4</v>
      </c>
      <c r="D284">
        <f>AVERAGE(per_seed!$E$142:$E$151)</f>
        <v>933.8</v>
      </c>
      <c r="E284">
        <v>933.8</v>
      </c>
    </row>
    <row r="285" spans="1:5">
      <c r="A285" t="s">
        <v>35</v>
      </c>
      <c r="B285" t="s">
        <v>27</v>
      </c>
      <c r="C285" t="s">
        <v>4</v>
      </c>
      <c r="D285">
        <f>_xlfn.STDEV.S(per_seed!$E$142:$E$151)</f>
        <v>15.324635214074245</v>
      </c>
      <c r="E285">
        <v>15.324635214074251</v>
      </c>
    </row>
    <row r="286" spans="1:5">
      <c r="A286" t="s">
        <v>34</v>
      </c>
      <c r="B286" t="s">
        <v>27</v>
      </c>
      <c r="C286" t="s">
        <v>5</v>
      </c>
      <c r="D286">
        <f>AVERAGE(per_seed!$F$142:$F$151)</f>
        <v>591.4</v>
      </c>
      <c r="E286">
        <v>591.4</v>
      </c>
    </row>
    <row r="287" spans="1:5">
      <c r="A287" t="s">
        <v>35</v>
      </c>
      <c r="B287" t="s">
        <v>27</v>
      </c>
      <c r="C287" t="s">
        <v>5</v>
      </c>
      <c r="D287">
        <f>_xlfn.STDEV.S(per_seed!$F$142:$F$151)</f>
        <v>15.46465504159584</v>
      </c>
      <c r="E287">
        <v>15.46465504159584</v>
      </c>
    </row>
    <row r="288" spans="1:5">
      <c r="A288" t="s">
        <v>34</v>
      </c>
      <c r="B288" t="s">
        <v>27</v>
      </c>
      <c r="C288" t="s">
        <v>6</v>
      </c>
      <c r="D288">
        <f>AVERAGE(per_seed!$G$142:$G$151)</f>
        <v>5.6393852912360529</v>
      </c>
      <c r="E288">
        <v>5.6393852912360529</v>
      </c>
    </row>
    <row r="289" spans="1:5">
      <c r="A289" t="s">
        <v>35</v>
      </c>
      <c r="B289" t="s">
        <v>27</v>
      </c>
      <c r="C289" t="s">
        <v>6</v>
      </c>
      <c r="D289">
        <f>_xlfn.STDEV.S(per_seed!$G$142:$G$151)</f>
        <v>0.24387975954041094</v>
      </c>
      <c r="E289">
        <v>0.243879759540411</v>
      </c>
    </row>
    <row r="290" spans="1:5">
      <c r="A290" t="s">
        <v>34</v>
      </c>
      <c r="B290" t="s">
        <v>27</v>
      </c>
      <c r="C290" t="s">
        <v>7</v>
      </c>
      <c r="D290">
        <f>AVERAGE(per_seed!$H$142:$H$151)</f>
        <v>105</v>
      </c>
      <c r="E290">
        <v>105</v>
      </c>
    </row>
    <row r="291" spans="1:5">
      <c r="A291" t="s">
        <v>35</v>
      </c>
      <c r="B291" t="s">
        <v>27</v>
      </c>
      <c r="C291" t="s">
        <v>7</v>
      </c>
      <c r="D291">
        <f>_xlfn.STDEV.S(per_seed!$H$142:$H$151)</f>
        <v>4.1899350299921787</v>
      </c>
      <c r="E291">
        <v>4.1899350299921787</v>
      </c>
    </row>
    <row r="292" spans="1:5">
      <c r="A292" t="s">
        <v>34</v>
      </c>
      <c r="B292" t="s">
        <v>27</v>
      </c>
      <c r="C292" t="s">
        <v>8</v>
      </c>
      <c r="D292">
        <f>AVERAGE(per_seed!$I$142:$I$151)</f>
        <v>0.17761556720827726</v>
      </c>
      <c r="E292">
        <v>0.17761556720827729</v>
      </c>
    </row>
    <row r="293" spans="1:5">
      <c r="A293" t="s">
        <v>35</v>
      </c>
      <c r="B293" t="s">
        <v>27</v>
      </c>
      <c r="C293" t="s">
        <v>8</v>
      </c>
      <c r="D293">
        <f>_xlfn.STDEV.S(per_seed!$I$142:$I$151)</f>
        <v>7.4877229433837423E-3</v>
      </c>
      <c r="E293">
        <v>7.4877229433837292E-3</v>
      </c>
    </row>
    <row r="294" spans="1:5">
      <c r="A294" t="s">
        <v>34</v>
      </c>
      <c r="B294" t="s">
        <v>27</v>
      </c>
      <c r="C294" t="s">
        <v>9</v>
      </c>
      <c r="D294">
        <f>AVERAGE(per_seed!$J$142:$J$151)</f>
        <v>9.9836150752299275</v>
      </c>
      <c r="E294">
        <v>9.9836150752299275</v>
      </c>
    </row>
    <row r="295" spans="1:5">
      <c r="A295" t="s">
        <v>35</v>
      </c>
      <c r="B295" t="s">
        <v>27</v>
      </c>
      <c r="C295" t="s">
        <v>9</v>
      </c>
      <c r="D295">
        <f>_xlfn.STDEV.S(per_seed!$J$142:$J$151)</f>
        <v>0.36090026923712071</v>
      </c>
      <c r="E295">
        <v>0.36090026923712137</v>
      </c>
    </row>
    <row r="296" spans="1:5">
      <c r="A296" t="s">
        <v>34</v>
      </c>
      <c r="B296" t="s">
        <v>27</v>
      </c>
      <c r="C296" t="s">
        <v>10</v>
      </c>
      <c r="D296">
        <f>AVERAGE(per_seed!$K$142:$K$151)</f>
        <v>1.2596857856661601</v>
      </c>
      <c r="E296">
        <v>1.2596857856661601</v>
      </c>
    </row>
    <row r="297" spans="1:5">
      <c r="A297" t="s">
        <v>35</v>
      </c>
      <c r="B297" t="s">
        <v>27</v>
      </c>
      <c r="C297" t="s">
        <v>10</v>
      </c>
      <c r="D297">
        <f>_xlfn.STDEV.S(per_seed!$K$142:$K$151)</f>
        <v>4.488245954397594E-2</v>
      </c>
      <c r="E297">
        <v>4.488245954397594E-2</v>
      </c>
    </row>
    <row r="298" spans="1:5">
      <c r="A298" t="s">
        <v>34</v>
      </c>
      <c r="B298" t="s">
        <v>27</v>
      </c>
      <c r="C298" t="s">
        <v>11</v>
      </c>
      <c r="D298">
        <f>AVERAGE(per_seed!$L$142:$L$151)</f>
        <v>877.66666666878496</v>
      </c>
      <c r="E298">
        <v>877.66666666878496</v>
      </c>
    </row>
    <row r="299" spans="1:5">
      <c r="A299" t="s">
        <v>35</v>
      </c>
      <c r="B299" t="s">
        <v>27</v>
      </c>
      <c r="C299" t="s">
        <v>11</v>
      </c>
      <c r="D299">
        <f>_xlfn.STDEV.S(per_seed!$L$142:$L$151)</f>
        <v>68.265815483453437</v>
      </c>
      <c r="E299">
        <v>68.265815483453437</v>
      </c>
    </row>
    <row r="300" spans="1:5">
      <c r="A300" t="s">
        <v>34</v>
      </c>
      <c r="B300" t="s">
        <v>27</v>
      </c>
      <c r="C300" t="s">
        <v>12</v>
      </c>
      <c r="D300">
        <f>AVERAGE(per_seed!$M$142:$M$151)</f>
        <v>0.87793209891267965</v>
      </c>
      <c r="E300">
        <v>0.87793209891267965</v>
      </c>
    </row>
    <row r="301" spans="1:5">
      <c r="A301" t="s">
        <v>35</v>
      </c>
      <c r="B301" t="s">
        <v>27</v>
      </c>
      <c r="C301" t="s">
        <v>12</v>
      </c>
      <c r="D301">
        <f>_xlfn.STDEV.S(per_seed!$M$142:$M$151)</f>
        <v>8.057050011418404E-2</v>
      </c>
      <c r="E301">
        <v>8.057050011418404E-2</v>
      </c>
    </row>
    <row r="302" spans="1:5">
      <c r="A302" t="s">
        <v>34</v>
      </c>
      <c r="B302" t="s">
        <v>28</v>
      </c>
      <c r="C302" t="s">
        <v>3</v>
      </c>
      <c r="D302">
        <f>AVERAGE(per_seed!$D$152:$D$161)</f>
        <v>1428.4</v>
      </c>
      <c r="E302">
        <v>1428.4</v>
      </c>
    </row>
    <row r="303" spans="1:5">
      <c r="A303" t="s">
        <v>35</v>
      </c>
      <c r="B303" t="s">
        <v>28</v>
      </c>
      <c r="C303" t="s">
        <v>3</v>
      </c>
      <c r="D303">
        <f>_xlfn.STDEV.S(per_seed!$D$152:$D$161)</f>
        <v>0.84327404271156792</v>
      </c>
      <c r="E303">
        <v>0.84327404271156781</v>
      </c>
    </row>
    <row r="304" spans="1:5">
      <c r="A304" t="s">
        <v>34</v>
      </c>
      <c r="B304" t="s">
        <v>28</v>
      </c>
      <c r="C304" t="s">
        <v>4</v>
      </c>
      <c r="D304">
        <f>AVERAGE(per_seed!$E$152:$E$161)</f>
        <v>933.7</v>
      </c>
      <c r="E304">
        <v>933.7</v>
      </c>
    </row>
    <row r="305" spans="1:5">
      <c r="A305" t="s">
        <v>35</v>
      </c>
      <c r="B305" t="s">
        <v>28</v>
      </c>
      <c r="C305" t="s">
        <v>4</v>
      </c>
      <c r="D305">
        <f>_xlfn.STDEV.S(per_seed!$E$152:$E$161)</f>
        <v>13.816656614391196</v>
      </c>
      <c r="E305">
        <v>13.816656614391199</v>
      </c>
    </row>
    <row r="306" spans="1:5">
      <c r="A306" t="s">
        <v>34</v>
      </c>
      <c r="B306" t="s">
        <v>28</v>
      </c>
      <c r="C306" t="s">
        <v>5</v>
      </c>
      <c r="D306">
        <f>AVERAGE(per_seed!$F$152:$F$161)</f>
        <v>591.9</v>
      </c>
      <c r="E306">
        <v>591.9</v>
      </c>
    </row>
    <row r="307" spans="1:5">
      <c r="A307" t="s">
        <v>35</v>
      </c>
      <c r="B307" t="s">
        <v>28</v>
      </c>
      <c r="C307" t="s">
        <v>5</v>
      </c>
      <c r="D307">
        <f>_xlfn.STDEV.S(per_seed!$F$152:$F$161)</f>
        <v>12.096372275282462</v>
      </c>
      <c r="E307">
        <v>12.096372275282461</v>
      </c>
    </row>
    <row r="308" spans="1:5">
      <c r="A308" t="s">
        <v>34</v>
      </c>
      <c r="B308" t="s">
        <v>28</v>
      </c>
      <c r="C308" t="s">
        <v>6</v>
      </c>
      <c r="D308">
        <f>AVERAGE(per_seed!$G$152:$G$161)</f>
        <v>5.5386508398439593</v>
      </c>
      <c r="E308">
        <v>5.5386508398439593</v>
      </c>
    </row>
    <row r="309" spans="1:5">
      <c r="A309" t="s">
        <v>35</v>
      </c>
      <c r="B309" t="s">
        <v>28</v>
      </c>
      <c r="C309" t="s">
        <v>6</v>
      </c>
      <c r="D309">
        <f>_xlfn.STDEV.S(per_seed!$G$152:$G$161)</f>
        <v>0.17320277268684184</v>
      </c>
      <c r="E309">
        <v>0.17320277268684181</v>
      </c>
    </row>
    <row r="310" spans="1:5">
      <c r="A310" t="s">
        <v>34</v>
      </c>
      <c r="B310" t="s">
        <v>28</v>
      </c>
      <c r="C310" t="s">
        <v>7</v>
      </c>
      <c r="D310">
        <f>AVERAGE(per_seed!$H$152:$H$161)</f>
        <v>107</v>
      </c>
      <c r="E310">
        <v>107</v>
      </c>
    </row>
    <row r="311" spans="1:5">
      <c r="A311" t="s">
        <v>35</v>
      </c>
      <c r="B311" t="s">
        <v>28</v>
      </c>
      <c r="C311" t="s">
        <v>7</v>
      </c>
      <c r="D311">
        <f>_xlfn.STDEV.S(per_seed!$H$152:$H$161)</f>
        <v>5.0332229568471663</v>
      </c>
      <c r="E311">
        <v>5.0332229568471663</v>
      </c>
    </row>
    <row r="312" spans="1:5">
      <c r="A312" t="s">
        <v>34</v>
      </c>
      <c r="B312" t="s">
        <v>28</v>
      </c>
      <c r="C312" t="s">
        <v>8</v>
      </c>
      <c r="D312">
        <f>AVERAGE(per_seed!$I$152:$I$161)</f>
        <v>0.18071106561700589</v>
      </c>
      <c r="E312">
        <v>0.18071106561700589</v>
      </c>
    </row>
    <row r="313" spans="1:5">
      <c r="A313" t="s">
        <v>35</v>
      </c>
      <c r="B313" t="s">
        <v>28</v>
      </c>
      <c r="C313" t="s">
        <v>8</v>
      </c>
      <c r="D313">
        <f>_xlfn.STDEV.S(per_seed!$I$152:$I$161)</f>
        <v>5.7474662894624589E-3</v>
      </c>
      <c r="E313">
        <v>5.7474662894624346E-3</v>
      </c>
    </row>
    <row r="314" spans="1:5">
      <c r="A314" t="s">
        <v>34</v>
      </c>
      <c r="B314" t="s">
        <v>28</v>
      </c>
      <c r="C314" t="s">
        <v>9</v>
      </c>
      <c r="D314">
        <f>AVERAGE(per_seed!$J$152:$J$161)</f>
        <v>10.139911352979622</v>
      </c>
      <c r="E314">
        <v>10.13991135297962</v>
      </c>
    </row>
    <row r="315" spans="1:5">
      <c r="A315" t="s">
        <v>35</v>
      </c>
      <c r="B315" t="s">
        <v>28</v>
      </c>
      <c r="C315" t="s">
        <v>9</v>
      </c>
      <c r="D315">
        <f>_xlfn.STDEV.S(per_seed!$J$152:$J$161)</f>
        <v>0.44941736860819065</v>
      </c>
      <c r="E315">
        <v>0.44941736860818959</v>
      </c>
    </row>
    <row r="316" spans="1:5">
      <c r="A316" t="s">
        <v>34</v>
      </c>
      <c r="B316" t="s">
        <v>28</v>
      </c>
      <c r="C316" t="s">
        <v>10</v>
      </c>
      <c r="D316">
        <f>AVERAGE(per_seed!$K$152:$K$161)</f>
        <v>1.2747898863132521</v>
      </c>
      <c r="E316">
        <v>1.2747898863132521</v>
      </c>
    </row>
    <row r="317" spans="1:5">
      <c r="A317" t="s">
        <v>35</v>
      </c>
      <c r="B317" t="s">
        <v>28</v>
      </c>
      <c r="C317" t="s">
        <v>10</v>
      </c>
      <c r="D317">
        <f>_xlfn.STDEV.S(per_seed!$K$152:$K$161)</f>
        <v>3.5109608172688989E-2</v>
      </c>
      <c r="E317">
        <v>3.5109608172688982E-2</v>
      </c>
    </row>
    <row r="318" spans="1:5">
      <c r="A318" t="s">
        <v>34</v>
      </c>
      <c r="B318" t="s">
        <v>28</v>
      </c>
      <c r="C318" t="s">
        <v>11</v>
      </c>
      <c r="D318">
        <f>AVERAGE(per_seed!$L$152:$L$161)</f>
        <v>902.5422222235087</v>
      </c>
      <c r="E318">
        <v>902.5422222235087</v>
      </c>
    </row>
    <row r="319" spans="1:5">
      <c r="A319" t="s">
        <v>35</v>
      </c>
      <c r="B319" t="s">
        <v>28</v>
      </c>
      <c r="C319" t="s">
        <v>11</v>
      </c>
      <c r="D319">
        <f>_xlfn.STDEV.S(per_seed!$L$152:$L$161)</f>
        <v>58.685701364761769</v>
      </c>
      <c r="E319">
        <v>58.685701364761783</v>
      </c>
    </row>
    <row r="320" spans="1:5">
      <c r="A320" t="s">
        <v>34</v>
      </c>
      <c r="B320" t="s">
        <v>28</v>
      </c>
      <c r="C320" t="s">
        <v>12</v>
      </c>
      <c r="D320">
        <f>AVERAGE(per_seed!$M$152:$M$161)</f>
        <v>0.87836419767811535</v>
      </c>
      <c r="E320">
        <v>0.87836419767811535</v>
      </c>
    </row>
    <row r="321" spans="1:5">
      <c r="A321" t="s">
        <v>35</v>
      </c>
      <c r="B321" t="s">
        <v>28</v>
      </c>
      <c r="C321" t="s">
        <v>12</v>
      </c>
      <c r="D321">
        <f>_xlfn.STDEV.S(per_seed!$M$152:$M$161)</f>
        <v>5.1834589931544738E-2</v>
      </c>
      <c r="E321">
        <v>5.1834589931544738E-2</v>
      </c>
    </row>
    <row r="322" spans="1:5">
      <c r="A322" t="s">
        <v>36</v>
      </c>
      <c r="B322" t="s">
        <v>37</v>
      </c>
      <c r="C322" t="s">
        <v>3</v>
      </c>
      <c r="D322">
        <f>(AVERAGE(per_seed!$D$12:$D$21)-AVERAGE(per_seed!$D$2:$D$11))/AVERAGE(per_seed!$D$2:$D$11)*100</f>
        <v>-37.927155111798626</v>
      </c>
      <c r="E322">
        <v>-37.927155111798633</v>
      </c>
    </row>
    <row r="323" spans="1:5">
      <c r="A323" t="s">
        <v>38</v>
      </c>
      <c r="B323" t="s">
        <v>37</v>
      </c>
      <c r="C323" t="s">
        <v>3</v>
      </c>
      <c r="D323">
        <f>_xlfn.T.TEST(per_seed!$D$2:$D$11,per_seed!$D$12:$D$21,2,1)</f>
        <v>8.9934107317618303E-5</v>
      </c>
      <c r="E323">
        <v>8.9934107317618466E-5</v>
      </c>
    </row>
    <row r="324" spans="1:5">
      <c r="A324" t="s">
        <v>36</v>
      </c>
      <c r="B324" t="s">
        <v>37</v>
      </c>
      <c r="C324" t="s">
        <v>4</v>
      </c>
      <c r="D324">
        <f>(AVERAGE(per_seed!$E$12:$E$21)-AVERAGE(per_seed!$E$2:$E$11))/AVERAGE(per_seed!$E$2:$E$11)*100</f>
        <v>-36.995274914089343</v>
      </c>
      <c r="E324">
        <v>-36.995274914089343</v>
      </c>
    </row>
    <row r="325" spans="1:5">
      <c r="A325" t="s">
        <v>38</v>
      </c>
      <c r="B325" t="s">
        <v>37</v>
      </c>
      <c r="C325" t="s">
        <v>4</v>
      </c>
      <c r="D325">
        <f>_xlfn.T.TEST(per_seed!$E$2:$E$11,per_seed!$E$12:$E$21,2,1)</f>
        <v>1.141025094584411E-4</v>
      </c>
      <c r="E325">
        <v>1.14102509458441E-4</v>
      </c>
    </row>
    <row r="326" spans="1:5">
      <c r="A326" t="s">
        <v>36</v>
      </c>
      <c r="B326" t="s">
        <v>37</v>
      </c>
      <c r="C326" t="s">
        <v>5</v>
      </c>
      <c r="D326">
        <f>(AVERAGE(per_seed!$F$12:$F$21)-AVERAGE(per_seed!$F$2:$F$11))/AVERAGE(per_seed!$F$2:$F$11)*100</f>
        <v>-37.56849315068493</v>
      </c>
      <c r="E326">
        <v>-37.56849315068493</v>
      </c>
    </row>
    <row r="327" spans="1:5">
      <c r="A327" t="s">
        <v>38</v>
      </c>
      <c r="B327" t="s">
        <v>37</v>
      </c>
      <c r="C327" t="s">
        <v>5</v>
      </c>
      <c r="D327">
        <f>_xlfn.T.TEST(per_seed!$F$2:$F$11,per_seed!$F$12:$F$21,2,1)</f>
        <v>9.7741316526710304E-5</v>
      </c>
      <c r="E327">
        <v>9.7741316526710222E-5</v>
      </c>
    </row>
    <row r="328" spans="1:5">
      <c r="A328" t="s">
        <v>36</v>
      </c>
      <c r="B328" t="s">
        <v>37</v>
      </c>
      <c r="C328" t="s">
        <v>6</v>
      </c>
      <c r="D328">
        <f>(AVERAGE(per_seed!$G$12:$G$21)-AVERAGE(per_seed!$G$2:$G$11))/AVERAGE(per_seed!$G$2:$G$11)*100</f>
        <v>6.3397616214692922</v>
      </c>
      <c r="E328">
        <v>6.33976162146931</v>
      </c>
    </row>
    <row r="329" spans="1:5">
      <c r="A329" t="s">
        <v>38</v>
      </c>
      <c r="B329" t="s">
        <v>37</v>
      </c>
      <c r="C329" t="s">
        <v>6</v>
      </c>
      <c r="D329">
        <f>_xlfn.T.TEST(per_seed!$G$2:$G$11,per_seed!$G$12:$G$21,2,1)</f>
        <v>4.5708852314268432E-3</v>
      </c>
      <c r="E329">
        <v>4.5708852314268423E-3</v>
      </c>
    </row>
    <row r="330" spans="1:5">
      <c r="A330" t="s">
        <v>36</v>
      </c>
      <c r="B330" t="s">
        <v>37</v>
      </c>
      <c r="C330" t="s">
        <v>7</v>
      </c>
      <c r="D330">
        <f>(AVERAGE(per_seed!$H$12:$H$21)-AVERAGE(per_seed!$H$2:$H$11))/AVERAGE(per_seed!$H$2:$H$11)*100</f>
        <v>-41.18173679498657</v>
      </c>
      <c r="E330">
        <v>-41.18173679498657</v>
      </c>
    </row>
    <row r="331" spans="1:5">
      <c r="A331" t="s">
        <v>38</v>
      </c>
      <c r="B331" t="s">
        <v>37</v>
      </c>
      <c r="C331" t="s">
        <v>7</v>
      </c>
      <c r="D331">
        <f>_xlfn.T.TEST(per_seed!$H$2:$H$11,per_seed!$H$12:$H$21,2,1)</f>
        <v>3.0073586186882974E-5</v>
      </c>
      <c r="E331">
        <v>3.0073586186882991E-5</v>
      </c>
    </row>
    <row r="332" spans="1:5">
      <c r="A332" t="s">
        <v>36</v>
      </c>
      <c r="B332" t="s">
        <v>37</v>
      </c>
      <c r="C332" t="s">
        <v>8</v>
      </c>
      <c r="D332">
        <f>(AVERAGE(per_seed!$I$12:$I$21)-AVERAGE(per_seed!$I$2:$I$11))/AVERAGE(per_seed!$I$2:$I$11)*100</f>
        <v>-5.8290692317188881</v>
      </c>
      <c r="E332">
        <v>-5.8290692317188748</v>
      </c>
    </row>
    <row r="333" spans="1:5">
      <c r="A333" t="s">
        <v>38</v>
      </c>
      <c r="B333" t="s">
        <v>37</v>
      </c>
      <c r="C333" t="s">
        <v>8</v>
      </c>
      <c r="D333">
        <f>_xlfn.T.TEST(per_seed!$I$2:$I$11,per_seed!$I$12:$I$21,2,1)</f>
        <v>5.2083710905876423E-3</v>
      </c>
      <c r="E333">
        <v>5.2083710905877446E-3</v>
      </c>
    </row>
    <row r="334" spans="1:5">
      <c r="A334" t="s">
        <v>36</v>
      </c>
      <c r="B334" t="s">
        <v>37</v>
      </c>
      <c r="C334" t="s">
        <v>9</v>
      </c>
      <c r="D334">
        <f>(AVERAGE(per_seed!$J$12:$J$21)-AVERAGE(per_seed!$J$2:$J$11))/AVERAGE(per_seed!$J$2:$J$11)*100</f>
        <v>5.2695493171457004</v>
      </c>
      <c r="E334">
        <v>5.2695493171456809</v>
      </c>
    </row>
    <row r="335" spans="1:5">
      <c r="A335" t="s">
        <v>38</v>
      </c>
      <c r="B335" t="s">
        <v>37</v>
      </c>
      <c r="C335" t="s">
        <v>9</v>
      </c>
      <c r="D335">
        <f>_xlfn.T.TEST(per_seed!$J$2:$J$11,per_seed!$J$12:$J$21,2,1)</f>
        <v>0.18334295813782631</v>
      </c>
      <c r="E335">
        <v>0.18334295813782631</v>
      </c>
    </row>
    <row r="336" spans="1:5">
      <c r="A336" t="s">
        <v>36</v>
      </c>
      <c r="B336" t="s">
        <v>37</v>
      </c>
      <c r="C336" t="s">
        <v>10</v>
      </c>
      <c r="D336">
        <f>(AVERAGE(per_seed!$K$12:$K$21)-AVERAGE(per_seed!$K$2:$K$11))/AVERAGE(per_seed!$K$2:$K$11)*100</f>
        <v>6.8155464806597124</v>
      </c>
      <c r="E336">
        <v>6.8155464806597124</v>
      </c>
    </row>
    <row r="337" spans="1:5">
      <c r="A337" t="s">
        <v>38</v>
      </c>
      <c r="B337" t="s">
        <v>37</v>
      </c>
      <c r="C337" t="s">
        <v>10</v>
      </c>
      <c r="D337">
        <f>_xlfn.T.TEST(per_seed!$K$2:$K$11,per_seed!$K$12:$K$21,2,1)</f>
        <v>6.7208607003297657E-2</v>
      </c>
      <c r="E337">
        <v>6.7208607003297741E-2</v>
      </c>
    </row>
    <row r="338" spans="1:5">
      <c r="A338" t="s">
        <v>36</v>
      </c>
      <c r="B338" t="s">
        <v>37</v>
      </c>
      <c r="C338" t="s">
        <v>11</v>
      </c>
      <c r="D338">
        <f>(AVERAGE(per_seed!$L$12:$L$21)-AVERAGE(per_seed!$L$2:$L$11))/AVERAGE(per_seed!$L$2:$L$11)*100</f>
        <v>-22.271989141810369</v>
      </c>
      <c r="E338">
        <v>-22.271989141810369</v>
      </c>
    </row>
    <row r="339" spans="1:5">
      <c r="A339" t="s">
        <v>38</v>
      </c>
      <c r="B339" t="s">
        <v>37</v>
      </c>
      <c r="C339" t="s">
        <v>11</v>
      </c>
      <c r="D339">
        <f>_xlfn.T.TEST(per_seed!$L$2:$L$11,per_seed!$L$12:$L$21,2,1)</f>
        <v>7.4121773704357403E-4</v>
      </c>
      <c r="E339">
        <v>7.4121773704357381E-4</v>
      </c>
    </row>
    <row r="340" spans="1:5">
      <c r="A340" t="s">
        <v>36</v>
      </c>
      <c r="B340" t="s">
        <v>37</v>
      </c>
      <c r="C340" t="s">
        <v>12</v>
      </c>
      <c r="D340">
        <f>(AVERAGE(per_seed!$M$12:$M$21)-AVERAGE(per_seed!$M$2:$M$11))/AVERAGE(per_seed!$M$2:$M$11)*100</f>
        <v>2880.0332775492607</v>
      </c>
      <c r="E340">
        <v>2880.0332775492611</v>
      </c>
    </row>
    <row r="341" spans="1:5">
      <c r="A341" t="s">
        <v>38</v>
      </c>
      <c r="B341" t="s">
        <v>37</v>
      </c>
      <c r="C341" t="s">
        <v>12</v>
      </c>
      <c r="D341">
        <f>_xlfn.T.TEST(per_seed!$M$2:$M$11,per_seed!$M$12:$M$21,2,1)</f>
        <v>9.1140444349206069E-5</v>
      </c>
      <c r="E341">
        <v>9.1140444349206069E-5</v>
      </c>
    </row>
    <row r="342" spans="1:5">
      <c r="A342" t="s">
        <v>36</v>
      </c>
      <c r="B342" t="s">
        <v>39</v>
      </c>
      <c r="C342" t="s">
        <v>3</v>
      </c>
      <c r="D342">
        <f>(AVERAGE(per_seed!$D$22:$D$31)-AVERAGE(per_seed!$D$2:$D$11))/AVERAGE(per_seed!$D$2:$D$11)*100</f>
        <v>-20.109689213893965</v>
      </c>
      <c r="E342">
        <v>-20.109689213893969</v>
      </c>
    </row>
    <row r="343" spans="1:5">
      <c r="A343" t="s">
        <v>38</v>
      </c>
      <c r="B343" t="s">
        <v>39</v>
      </c>
      <c r="C343" t="s">
        <v>3</v>
      </c>
      <c r="D343">
        <f>_xlfn.T.TEST(per_seed!$D$2:$D$11,per_seed!$D$22:$D$31,2,1)</f>
        <v>1.414245836983226E-2</v>
      </c>
      <c r="E343">
        <v>1.414245836983226E-2</v>
      </c>
    </row>
    <row r="344" spans="1:5">
      <c r="A344" t="s">
        <v>36</v>
      </c>
      <c r="B344" t="s">
        <v>39</v>
      </c>
      <c r="C344" t="s">
        <v>4</v>
      </c>
      <c r="D344">
        <f>(AVERAGE(per_seed!$E$22:$E$31)-AVERAGE(per_seed!$E$2:$E$11))/AVERAGE(per_seed!$E$2:$E$11)*100</f>
        <v>-19.748711340206192</v>
      </c>
      <c r="E344">
        <v>-19.748711340206189</v>
      </c>
    </row>
    <row r="345" spans="1:5">
      <c r="A345" t="s">
        <v>38</v>
      </c>
      <c r="B345" t="s">
        <v>39</v>
      </c>
      <c r="C345" t="s">
        <v>4</v>
      </c>
      <c r="D345">
        <f>_xlfn.T.TEST(per_seed!$E$2:$E$11,per_seed!$E$22:$E$31,2,1)</f>
        <v>1.3840797005880605E-2</v>
      </c>
      <c r="E345">
        <v>1.38407970058806E-2</v>
      </c>
    </row>
    <row r="346" spans="1:5">
      <c r="A346" t="s">
        <v>36</v>
      </c>
      <c r="B346" t="s">
        <v>39</v>
      </c>
      <c r="C346" t="s">
        <v>5</v>
      </c>
      <c r="D346">
        <f>(AVERAGE(per_seed!$F$22:$F$31)-AVERAGE(per_seed!$F$2:$F$11))/AVERAGE(per_seed!$F$2:$F$11)*100</f>
        <v>-18.544520547945208</v>
      </c>
      <c r="E346">
        <v>-18.544520547945211</v>
      </c>
    </row>
    <row r="347" spans="1:5">
      <c r="A347" t="s">
        <v>38</v>
      </c>
      <c r="B347" t="s">
        <v>39</v>
      </c>
      <c r="C347" t="s">
        <v>5</v>
      </c>
      <c r="D347">
        <f>_xlfn.T.TEST(per_seed!$F$2:$F$11,per_seed!$F$22:$F$31,2,1)</f>
        <v>2.7829264767064838E-2</v>
      </c>
      <c r="E347">
        <v>2.7829264767064842E-2</v>
      </c>
    </row>
    <row r="348" spans="1:5">
      <c r="A348" t="s">
        <v>36</v>
      </c>
      <c r="B348" t="s">
        <v>39</v>
      </c>
      <c r="C348" t="s">
        <v>6</v>
      </c>
      <c r="D348">
        <f>(AVERAGE(per_seed!$G$22:$G$31)-AVERAGE(per_seed!$G$2:$G$11))/AVERAGE(per_seed!$G$2:$G$11)*100</f>
        <v>3.7267597848140435</v>
      </c>
      <c r="E348">
        <v>3.7267597848140781</v>
      </c>
    </row>
    <row r="349" spans="1:5">
      <c r="A349" t="s">
        <v>38</v>
      </c>
      <c r="B349" t="s">
        <v>39</v>
      </c>
      <c r="C349" t="s">
        <v>6</v>
      </c>
      <c r="D349">
        <f>_xlfn.T.TEST(per_seed!$G$2:$G$11,per_seed!$G$22:$G$31,2,1)</f>
        <v>0.10525108583517079</v>
      </c>
      <c r="E349">
        <v>0.105251085835168</v>
      </c>
    </row>
    <row r="350" spans="1:5">
      <c r="A350" t="s">
        <v>36</v>
      </c>
      <c r="B350" t="s">
        <v>39</v>
      </c>
      <c r="C350" t="s">
        <v>7</v>
      </c>
      <c r="D350">
        <f>(AVERAGE(per_seed!$H$22:$H$31)-AVERAGE(per_seed!$H$2:$H$11))/AVERAGE(per_seed!$H$2:$H$11)*100</f>
        <v>-20.322291853178157</v>
      </c>
      <c r="E350">
        <v>-20.322291853178161</v>
      </c>
    </row>
    <row r="351" spans="1:5">
      <c r="A351" t="s">
        <v>38</v>
      </c>
      <c r="B351" t="s">
        <v>39</v>
      </c>
      <c r="C351" t="s">
        <v>7</v>
      </c>
      <c r="D351">
        <f>_xlfn.T.TEST(per_seed!$H$2:$H$11,per_seed!$H$22:$H$31,2,1)</f>
        <v>2.0034259330803907E-2</v>
      </c>
      <c r="E351">
        <v>2.003425933080388E-2</v>
      </c>
    </row>
    <row r="352" spans="1:5">
      <c r="A352" t="s">
        <v>36</v>
      </c>
      <c r="B352" t="s">
        <v>39</v>
      </c>
      <c r="C352" t="s">
        <v>8</v>
      </c>
      <c r="D352">
        <f>(AVERAGE(per_seed!$I$22:$I$31)-AVERAGE(per_seed!$I$2:$I$11))/AVERAGE(per_seed!$I$2:$I$11)*100</f>
        <v>-3.2726494936832573</v>
      </c>
      <c r="E352">
        <v>-3.2726494936832431</v>
      </c>
    </row>
    <row r="353" spans="1:5">
      <c r="A353" t="s">
        <v>38</v>
      </c>
      <c r="B353" t="s">
        <v>39</v>
      </c>
      <c r="C353" t="s">
        <v>8</v>
      </c>
      <c r="D353">
        <f>_xlfn.T.TEST(per_seed!$I$2:$I$11,per_seed!$I$22:$I$31,2,1)</f>
        <v>9.2480924394601802E-2</v>
      </c>
      <c r="E353">
        <v>9.2480924394603703E-2</v>
      </c>
    </row>
    <row r="354" spans="1:5">
      <c r="A354" t="s">
        <v>36</v>
      </c>
      <c r="B354" t="s">
        <v>39</v>
      </c>
      <c r="C354" t="s">
        <v>9</v>
      </c>
      <c r="D354">
        <f>(AVERAGE(per_seed!$J$22:$J$31)-AVERAGE(per_seed!$J$2:$J$11))/AVERAGE(per_seed!$J$2:$J$11)*100</f>
        <v>-1.4054896710574201</v>
      </c>
      <c r="E354">
        <v>-1.4054896710574389</v>
      </c>
    </row>
    <row r="355" spans="1:5">
      <c r="A355" t="s">
        <v>38</v>
      </c>
      <c r="B355" t="s">
        <v>39</v>
      </c>
      <c r="C355" t="s">
        <v>9</v>
      </c>
      <c r="D355">
        <f>_xlfn.T.TEST(per_seed!$J$2:$J$11,per_seed!$J$22:$J$31,2,1)</f>
        <v>0.66047952130887655</v>
      </c>
      <c r="E355">
        <v>0.66047952130887522</v>
      </c>
    </row>
    <row r="356" spans="1:5">
      <c r="A356" t="s">
        <v>36</v>
      </c>
      <c r="B356" t="s">
        <v>39</v>
      </c>
      <c r="C356" t="s">
        <v>10</v>
      </c>
      <c r="D356">
        <f>(AVERAGE(per_seed!$K$22:$K$31)-AVERAGE(per_seed!$K$2:$K$11))/AVERAGE(per_seed!$K$2:$K$11)*100</f>
        <v>-2.482404032441266</v>
      </c>
      <c r="E356">
        <v>-2.482404032441266</v>
      </c>
    </row>
    <row r="357" spans="1:5">
      <c r="A357" t="s">
        <v>38</v>
      </c>
      <c r="B357" t="s">
        <v>39</v>
      </c>
      <c r="C357" t="s">
        <v>10</v>
      </c>
      <c r="D357">
        <f>_xlfn.T.TEST(per_seed!$K$2:$K$11,per_seed!$K$22:$K$31,2,1)</f>
        <v>0.35409469269320315</v>
      </c>
      <c r="E357">
        <v>0.35409469269320382</v>
      </c>
    </row>
    <row r="358" spans="1:5">
      <c r="A358" t="s">
        <v>36</v>
      </c>
      <c r="B358" t="s">
        <v>39</v>
      </c>
      <c r="C358" t="s">
        <v>11</v>
      </c>
      <c r="D358">
        <f>(AVERAGE(per_seed!$L$22:$L$31)-AVERAGE(per_seed!$L$2:$L$11))/AVERAGE(per_seed!$L$2:$L$11)*100</f>
        <v>-15.408516929551922</v>
      </c>
      <c r="E358">
        <v>-15.40851692955192</v>
      </c>
    </row>
    <row r="359" spans="1:5">
      <c r="A359" t="s">
        <v>38</v>
      </c>
      <c r="B359" t="s">
        <v>39</v>
      </c>
      <c r="C359" t="s">
        <v>11</v>
      </c>
      <c r="D359">
        <f>_xlfn.T.TEST(per_seed!$L$2:$L$11,per_seed!$L$22:$L$31,2,1)</f>
        <v>2.5010845782897445E-2</v>
      </c>
      <c r="E359">
        <v>2.5010845782897421E-2</v>
      </c>
    </row>
    <row r="360" spans="1:5">
      <c r="A360" t="s">
        <v>36</v>
      </c>
      <c r="B360" t="s">
        <v>39</v>
      </c>
      <c r="C360" t="s">
        <v>12</v>
      </c>
      <c r="D360">
        <f>(AVERAGE(per_seed!$M$22:$M$31)-AVERAGE(per_seed!$M$2:$M$11))/AVERAGE(per_seed!$M$2:$M$11)*100</f>
        <v>1527.5588303509396</v>
      </c>
      <c r="E360">
        <v>1527.5588303509401</v>
      </c>
    </row>
    <row r="361" spans="1:5">
      <c r="A361" t="s">
        <v>38</v>
      </c>
      <c r="B361" t="s">
        <v>39</v>
      </c>
      <c r="C361" t="s">
        <v>12</v>
      </c>
      <c r="D361">
        <f>_xlfn.T.TEST(per_seed!$M$2:$M$11,per_seed!$M$22:$M$31,2,1)</f>
        <v>1.4132257591988443E-2</v>
      </c>
      <c r="E361">
        <v>1.413225759198841E-2</v>
      </c>
    </row>
    <row r="362" spans="1:5">
      <c r="A362" t="s">
        <v>36</v>
      </c>
      <c r="B362" t="s">
        <v>40</v>
      </c>
      <c r="C362" t="s">
        <v>3</v>
      </c>
      <c r="D362">
        <f>(AVERAGE(per_seed!$D$32:$D$41)-AVERAGE(per_seed!$D$2:$D$11))/AVERAGE(per_seed!$D$2:$D$11)*100</f>
        <v>-14.505695401490645</v>
      </c>
      <c r="E362">
        <v>-14.505695401490639</v>
      </c>
    </row>
    <row r="363" spans="1:5">
      <c r="A363" t="s">
        <v>38</v>
      </c>
      <c r="B363" t="s">
        <v>40</v>
      </c>
      <c r="C363" t="s">
        <v>3</v>
      </c>
      <c r="D363">
        <f>_xlfn.T.TEST(per_seed!$D$2:$D$11,per_seed!$D$32:$D$41,2,1)</f>
        <v>5.785572142269358E-2</v>
      </c>
      <c r="E363">
        <v>5.7855721422693497E-2</v>
      </c>
    </row>
    <row r="364" spans="1:5">
      <c r="A364" t="s">
        <v>36</v>
      </c>
      <c r="B364" t="s">
        <v>40</v>
      </c>
      <c r="C364" t="s">
        <v>4</v>
      </c>
      <c r="D364">
        <f>(AVERAGE(per_seed!$E$32:$E$41)-AVERAGE(per_seed!$E$2:$E$11))/AVERAGE(per_seed!$E$2:$E$11)*100</f>
        <v>-14.239690721649486</v>
      </c>
      <c r="E364">
        <v>-14.23969072164949</v>
      </c>
    </row>
    <row r="365" spans="1:5">
      <c r="A365" t="s">
        <v>38</v>
      </c>
      <c r="B365" t="s">
        <v>40</v>
      </c>
      <c r="C365" t="s">
        <v>4</v>
      </c>
      <c r="D365">
        <f>_xlfn.T.TEST(per_seed!$E$2:$E$11,per_seed!$E$32:$E$41,2,1)</f>
        <v>6.0860082730407106E-2</v>
      </c>
      <c r="E365">
        <v>6.0860082730407113E-2</v>
      </c>
    </row>
    <row r="366" spans="1:5">
      <c r="A366" t="s">
        <v>36</v>
      </c>
      <c r="B366" t="s">
        <v>40</v>
      </c>
      <c r="C366" t="s">
        <v>5</v>
      </c>
      <c r="D366">
        <f>(AVERAGE(per_seed!$F$32:$F$41)-AVERAGE(per_seed!$F$2:$F$11))/AVERAGE(per_seed!$F$2:$F$11)*100</f>
        <v>-13.801369863013701</v>
      </c>
      <c r="E366">
        <v>-13.801369863013701</v>
      </c>
    </row>
    <row r="367" spans="1:5">
      <c r="A367" t="s">
        <v>38</v>
      </c>
      <c r="B367" t="s">
        <v>40</v>
      </c>
      <c r="C367" t="s">
        <v>5</v>
      </c>
      <c r="D367">
        <f>_xlfn.T.TEST(per_seed!$F$2:$F$11,per_seed!$F$32:$F$41,2,1)</f>
        <v>7.3845655343290031E-2</v>
      </c>
      <c r="E367">
        <v>7.3845655343290018E-2</v>
      </c>
    </row>
    <row r="368" spans="1:5">
      <c r="A368" t="s">
        <v>36</v>
      </c>
      <c r="B368" t="s">
        <v>40</v>
      </c>
      <c r="C368" t="s">
        <v>6</v>
      </c>
      <c r="D368">
        <f>(AVERAGE(per_seed!$G$32:$G$41)-AVERAGE(per_seed!$G$2:$G$11))/AVERAGE(per_seed!$G$2:$G$11)*100</f>
        <v>4.6823571280470704</v>
      </c>
      <c r="E368">
        <v>4.6823571280470881</v>
      </c>
    </row>
    <row r="369" spans="1:5">
      <c r="A369" t="s">
        <v>38</v>
      </c>
      <c r="B369" t="s">
        <v>40</v>
      </c>
      <c r="C369" t="s">
        <v>6</v>
      </c>
      <c r="D369">
        <f>_xlfn.T.TEST(per_seed!$G$2:$G$11,per_seed!$G$32:$G$41,2,1)</f>
        <v>1.5025204886978444E-2</v>
      </c>
      <c r="E369">
        <v>1.502520488697803E-2</v>
      </c>
    </row>
    <row r="370" spans="1:5">
      <c r="A370" t="s">
        <v>36</v>
      </c>
      <c r="B370" t="s">
        <v>40</v>
      </c>
      <c r="C370" t="s">
        <v>7</v>
      </c>
      <c r="D370">
        <f>(AVERAGE(per_seed!$H$32:$H$41)-AVERAGE(per_seed!$H$2:$H$11))/AVERAGE(per_seed!$H$2:$H$11)*100</f>
        <v>-17.18889883616831</v>
      </c>
      <c r="E370">
        <v>-17.18889883616831</v>
      </c>
    </row>
    <row r="371" spans="1:5">
      <c r="A371" t="s">
        <v>38</v>
      </c>
      <c r="B371" t="s">
        <v>40</v>
      </c>
      <c r="C371" t="s">
        <v>7</v>
      </c>
      <c r="D371">
        <f>_xlfn.T.TEST(per_seed!$H$2:$H$11,per_seed!$H$32:$H$41,2,1)</f>
        <v>2.880905407561284E-2</v>
      </c>
      <c r="E371">
        <v>2.880905407561285E-2</v>
      </c>
    </row>
    <row r="372" spans="1:5">
      <c r="A372" t="s">
        <v>36</v>
      </c>
      <c r="B372" t="s">
        <v>40</v>
      </c>
      <c r="C372" t="s">
        <v>8</v>
      </c>
      <c r="D372">
        <f>(AVERAGE(per_seed!$I$32:$I$41)-AVERAGE(per_seed!$I$2:$I$11))/AVERAGE(per_seed!$I$2:$I$11)*100</f>
        <v>-4.3331399016864296</v>
      </c>
      <c r="E372">
        <v>-4.3331399016864296</v>
      </c>
    </row>
    <row r="373" spans="1:5">
      <c r="A373" t="s">
        <v>38</v>
      </c>
      <c r="B373" t="s">
        <v>40</v>
      </c>
      <c r="C373" t="s">
        <v>8</v>
      </c>
      <c r="D373">
        <f>_xlfn.T.TEST(per_seed!$I$2:$I$11,per_seed!$I$32:$I$41,2,1)</f>
        <v>1.5080656685343715E-2</v>
      </c>
      <c r="E373">
        <v>1.508065668534409E-2</v>
      </c>
    </row>
    <row r="374" spans="1:5">
      <c r="A374" t="s">
        <v>36</v>
      </c>
      <c r="B374" t="s">
        <v>40</v>
      </c>
      <c r="C374" t="s">
        <v>9</v>
      </c>
      <c r="D374">
        <f>(AVERAGE(per_seed!$J$32:$J$41)-AVERAGE(per_seed!$J$2:$J$11))/AVERAGE(per_seed!$J$2:$J$11)*100</f>
        <v>-4.5045667260140387</v>
      </c>
      <c r="E374">
        <v>-4.5045667260140387</v>
      </c>
    </row>
    <row r="375" spans="1:5">
      <c r="A375" t="s">
        <v>38</v>
      </c>
      <c r="B375" t="s">
        <v>40</v>
      </c>
      <c r="C375" t="s">
        <v>9</v>
      </c>
      <c r="D375">
        <f>_xlfn.T.TEST(per_seed!$J$2:$J$11,per_seed!$J$32:$J$41,2,1)</f>
        <v>3.8017173251612399E-2</v>
      </c>
      <c r="E375">
        <v>3.8017173251612753E-2</v>
      </c>
    </row>
    <row r="376" spans="1:5">
      <c r="A376" t="s">
        <v>36</v>
      </c>
      <c r="B376" t="s">
        <v>40</v>
      </c>
      <c r="C376" t="s">
        <v>10</v>
      </c>
      <c r="D376">
        <f>(AVERAGE(per_seed!$K$32:$K$41)-AVERAGE(per_seed!$K$2:$K$11))/AVERAGE(per_seed!$K$2:$K$11)*100</f>
        <v>-4.5233279409593035</v>
      </c>
      <c r="E376">
        <v>-4.5233279409592848</v>
      </c>
    </row>
    <row r="377" spans="1:5">
      <c r="A377" t="s">
        <v>38</v>
      </c>
      <c r="B377" t="s">
        <v>40</v>
      </c>
      <c r="C377" t="s">
        <v>10</v>
      </c>
      <c r="D377">
        <f>_xlfn.T.TEST(per_seed!$K$2:$K$11,per_seed!$K$32:$K$41,2,1)</f>
        <v>7.0718046444855198E-3</v>
      </c>
      <c r="E377">
        <v>7.0718046444855943E-3</v>
      </c>
    </row>
    <row r="378" spans="1:5">
      <c r="A378" t="s">
        <v>36</v>
      </c>
      <c r="B378" t="s">
        <v>40</v>
      </c>
      <c r="C378" t="s">
        <v>11</v>
      </c>
      <c r="D378">
        <f>(AVERAGE(per_seed!$L$32:$L$41)-AVERAGE(per_seed!$L$2:$L$11))/AVERAGE(per_seed!$L$2:$L$11)*100</f>
        <v>-14.137521510503593</v>
      </c>
      <c r="E378">
        <v>-14.137521510503589</v>
      </c>
    </row>
    <row r="379" spans="1:5">
      <c r="A379" t="s">
        <v>38</v>
      </c>
      <c r="B379" t="s">
        <v>40</v>
      </c>
      <c r="C379" t="s">
        <v>11</v>
      </c>
      <c r="D379">
        <f>_xlfn.T.TEST(per_seed!$L$2:$L$11,per_seed!$L$32:$L$41,2,1)</f>
        <v>4.5116441551389823E-2</v>
      </c>
      <c r="E379">
        <v>4.511644155138967E-2</v>
      </c>
    </row>
    <row r="380" spans="1:5">
      <c r="A380" t="s">
        <v>36</v>
      </c>
      <c r="B380" t="s">
        <v>40</v>
      </c>
      <c r="C380" t="s">
        <v>12</v>
      </c>
      <c r="D380">
        <f>(AVERAGE(per_seed!$M$32:$M$41)-AVERAGE(per_seed!$M$2:$M$11))/AVERAGE(per_seed!$M$2:$M$11)*100</f>
        <v>1101.9824101470792</v>
      </c>
      <c r="E380">
        <v>1101.982410147079</v>
      </c>
    </row>
    <row r="381" spans="1:5">
      <c r="A381" t="s">
        <v>38</v>
      </c>
      <c r="B381" t="s">
        <v>40</v>
      </c>
      <c r="C381" t="s">
        <v>12</v>
      </c>
      <c r="D381">
        <f>_xlfn.T.TEST(per_seed!$M$2:$M$11,per_seed!$M$32:$M$41,2,1)</f>
        <v>5.8022138198883917E-2</v>
      </c>
      <c r="E381">
        <v>5.8022138198883882E-2</v>
      </c>
    </row>
    <row r="382" spans="1:5">
      <c r="A382" t="s">
        <v>36</v>
      </c>
      <c r="B382" t="s">
        <v>41</v>
      </c>
      <c r="C382" t="s">
        <v>3</v>
      </c>
      <c r="D382">
        <f>(AVERAGE(per_seed!$D$42:$D$51)-AVERAGE(per_seed!$D$2:$D$11))/AVERAGE(per_seed!$D$2:$D$11)*100</f>
        <v>0</v>
      </c>
      <c r="E382">
        <v>0</v>
      </c>
    </row>
    <row r="383" spans="1:5">
      <c r="A383" t="s">
        <v>38</v>
      </c>
      <c r="B383" t="s">
        <v>41</v>
      </c>
      <c r="C383" t="s">
        <v>3</v>
      </c>
      <c r="D383">
        <f>_xlfn.T.TEST(per_seed!$D$2:$D$11,per_seed!$D$42:$D$51,2,1)</f>
        <v>1</v>
      </c>
      <c r="E383">
        <v>1</v>
      </c>
    </row>
    <row r="384" spans="1:5">
      <c r="A384" t="s">
        <v>36</v>
      </c>
      <c r="B384" t="s">
        <v>41</v>
      </c>
      <c r="C384" t="s">
        <v>4</v>
      </c>
      <c r="D384">
        <f>(AVERAGE(per_seed!$E$42:$E$51)-AVERAGE(per_seed!$E$2:$E$11))/AVERAGE(per_seed!$E$2:$E$11)*100</f>
        <v>0.10738831615120274</v>
      </c>
      <c r="E384">
        <v>0.1073883161512027</v>
      </c>
    </row>
    <row r="385" spans="1:5">
      <c r="A385" t="s">
        <v>38</v>
      </c>
      <c r="B385" t="s">
        <v>41</v>
      </c>
      <c r="C385" t="s">
        <v>4</v>
      </c>
      <c r="D385">
        <f>_xlfn.T.TEST(per_seed!$E$2:$E$11,per_seed!$E$42:$E$51,2,1)</f>
        <v>0.65667681249037435</v>
      </c>
      <c r="E385">
        <v>0.65667681249037413</v>
      </c>
    </row>
    <row r="386" spans="1:5">
      <c r="A386" t="s">
        <v>36</v>
      </c>
      <c r="B386" t="s">
        <v>41</v>
      </c>
      <c r="C386" t="s">
        <v>5</v>
      </c>
      <c r="D386">
        <f>(AVERAGE(per_seed!$F$42:$F$51)-AVERAGE(per_seed!$F$2:$F$11))/AVERAGE(per_seed!$F$2:$F$11)*100</f>
        <v>0.99315068493149916</v>
      </c>
      <c r="E386">
        <v>0.99315068493149916</v>
      </c>
    </row>
    <row r="387" spans="1:5">
      <c r="A387" t="s">
        <v>38</v>
      </c>
      <c r="B387" t="s">
        <v>41</v>
      </c>
      <c r="C387" t="s">
        <v>5</v>
      </c>
      <c r="D387">
        <f>_xlfn.T.TEST(per_seed!$F$2:$F$11,per_seed!$F$42:$F$51,2,1)</f>
        <v>1.178393304572534E-2</v>
      </c>
      <c r="E387">
        <v>1.1783933045724899E-2</v>
      </c>
    </row>
    <row r="388" spans="1:5">
      <c r="A388" t="s">
        <v>36</v>
      </c>
      <c r="B388" t="s">
        <v>41</v>
      </c>
      <c r="C388" t="s">
        <v>6</v>
      </c>
      <c r="D388">
        <f>(AVERAGE(per_seed!$G$42:$G$51)-AVERAGE(per_seed!$G$2:$G$11))/AVERAGE(per_seed!$G$2:$G$11)*100</f>
        <v>10.270849416426511</v>
      </c>
      <c r="E388">
        <v>10.270849416426531</v>
      </c>
    </row>
    <row r="389" spans="1:5">
      <c r="A389" t="s">
        <v>38</v>
      </c>
      <c r="B389" t="s">
        <v>41</v>
      </c>
      <c r="C389" t="s">
        <v>6</v>
      </c>
      <c r="D389">
        <f>_xlfn.T.TEST(per_seed!$G$2:$G$11,per_seed!$G$42:$G$51,2,1)</f>
        <v>7.4072692099699736E-6</v>
      </c>
      <c r="E389">
        <v>7.4072692099697958E-6</v>
      </c>
    </row>
    <row r="390" spans="1:5">
      <c r="A390" t="s">
        <v>36</v>
      </c>
      <c r="B390" t="s">
        <v>41</v>
      </c>
      <c r="C390" t="s">
        <v>7</v>
      </c>
      <c r="D390">
        <f>(AVERAGE(per_seed!$H$42:$H$51)-AVERAGE(per_seed!$H$2:$H$11))/AVERAGE(per_seed!$H$2:$H$11)*100</f>
        <v>-8.4153983885407388</v>
      </c>
      <c r="E390">
        <v>-8.4153983885407388</v>
      </c>
    </row>
    <row r="391" spans="1:5">
      <c r="A391" t="s">
        <v>38</v>
      </c>
      <c r="B391" t="s">
        <v>41</v>
      </c>
      <c r="C391" t="s">
        <v>7</v>
      </c>
      <c r="D391">
        <f>_xlfn.T.TEST(per_seed!$H$2:$H$11,per_seed!$H$42:$H$51,2,1)</f>
        <v>2.8497959585700076E-5</v>
      </c>
      <c r="E391">
        <v>2.8497959585700212E-5</v>
      </c>
    </row>
    <row r="392" spans="1:5">
      <c r="A392" t="s">
        <v>36</v>
      </c>
      <c r="B392" t="s">
        <v>41</v>
      </c>
      <c r="C392" t="s">
        <v>8</v>
      </c>
      <c r="D392">
        <f>(AVERAGE(per_seed!$I$42:$I$51)-AVERAGE(per_seed!$I$2:$I$11))/AVERAGE(per_seed!$I$2:$I$11)*100</f>
        <v>-9.2878946111474345</v>
      </c>
      <c r="E392">
        <v>-9.2878946111474079</v>
      </c>
    </row>
    <row r="393" spans="1:5">
      <c r="A393" t="s">
        <v>38</v>
      </c>
      <c r="B393" t="s">
        <v>41</v>
      </c>
      <c r="C393" t="s">
        <v>8</v>
      </c>
      <c r="D393">
        <f>_xlfn.T.TEST(per_seed!$I$2:$I$11,per_seed!$I$42:$I$51,2,1)</f>
        <v>5.8074692155528522E-6</v>
      </c>
      <c r="E393">
        <v>5.8074692155530241E-6</v>
      </c>
    </row>
    <row r="394" spans="1:5">
      <c r="A394" t="s">
        <v>36</v>
      </c>
      <c r="B394" t="s">
        <v>41</v>
      </c>
      <c r="C394" t="s">
        <v>9</v>
      </c>
      <c r="D394">
        <f>(AVERAGE(per_seed!$J$42:$J$51)-AVERAGE(per_seed!$J$2:$J$11))/AVERAGE(per_seed!$J$2:$J$11)*100</f>
        <v>-3.6887805466123953</v>
      </c>
      <c r="E394">
        <v>-3.6887805466124139</v>
      </c>
    </row>
    <row r="395" spans="1:5">
      <c r="A395" t="s">
        <v>38</v>
      </c>
      <c r="B395" t="s">
        <v>41</v>
      </c>
      <c r="C395" t="s">
        <v>9</v>
      </c>
      <c r="D395">
        <f>_xlfn.T.TEST(per_seed!$J$2:$J$11,per_seed!$J$42:$J$51,2,1)</f>
        <v>4.5734748370840984E-4</v>
      </c>
      <c r="E395">
        <v>4.5734748370839472E-4</v>
      </c>
    </row>
    <row r="396" spans="1:5">
      <c r="A396" t="s">
        <v>36</v>
      </c>
      <c r="B396" t="s">
        <v>41</v>
      </c>
      <c r="C396" t="s">
        <v>10</v>
      </c>
      <c r="D396">
        <f>(AVERAGE(per_seed!$K$42:$K$51)-AVERAGE(per_seed!$K$2:$K$11))/AVERAGE(per_seed!$K$2:$K$11)*100</f>
        <v>-4.8558339790108942</v>
      </c>
      <c r="E396">
        <v>-4.8558339790109128</v>
      </c>
    </row>
    <row r="397" spans="1:5">
      <c r="A397" t="s">
        <v>38</v>
      </c>
      <c r="B397" t="s">
        <v>41</v>
      </c>
      <c r="C397" t="s">
        <v>10</v>
      </c>
      <c r="D397">
        <f>_xlfn.T.TEST(per_seed!$K$2:$K$11,per_seed!$K$42:$K$51,2,1)</f>
        <v>2.5682347143095867E-5</v>
      </c>
      <c r="E397">
        <v>2.5682347143095712E-5</v>
      </c>
    </row>
    <row r="398" spans="1:5">
      <c r="A398" t="s">
        <v>36</v>
      </c>
      <c r="B398" t="s">
        <v>41</v>
      </c>
      <c r="C398" t="s">
        <v>11</v>
      </c>
      <c r="D398">
        <f>(AVERAGE(per_seed!$L$42:$L$51)-AVERAGE(per_seed!$L$2:$L$11))/AVERAGE(per_seed!$L$2:$L$11)*100</f>
        <v>-5.4737148257214949</v>
      </c>
      <c r="E398">
        <v>-5.4737148257214949</v>
      </c>
    </row>
    <row r="399" spans="1:5">
      <c r="A399" t="s">
        <v>38</v>
      </c>
      <c r="B399" t="s">
        <v>41</v>
      </c>
      <c r="C399" t="s">
        <v>11</v>
      </c>
      <c r="D399">
        <f>_xlfn.T.TEST(per_seed!$L$2:$L$11,per_seed!$L$42:$L$51,2,1)</f>
        <v>1.4694824932872844E-2</v>
      </c>
      <c r="E399">
        <v>1.4694824932872729E-2</v>
      </c>
    </row>
    <row r="400" spans="1:5">
      <c r="A400" t="s">
        <v>36</v>
      </c>
      <c r="B400" t="s">
        <v>41</v>
      </c>
      <c r="C400" t="s">
        <v>12</v>
      </c>
      <c r="D400">
        <f>(AVERAGE(per_seed!$M$42:$M$51)-AVERAGE(per_seed!$M$2:$M$11))/AVERAGE(per_seed!$M$2:$M$11)*100</f>
        <v>0.62039458096361066</v>
      </c>
      <c r="E400">
        <v>0.62039458096362787</v>
      </c>
    </row>
    <row r="401" spans="1:5">
      <c r="A401" t="s">
        <v>38</v>
      </c>
      <c r="B401" t="s">
        <v>41</v>
      </c>
      <c r="C401" t="s">
        <v>12</v>
      </c>
      <c r="D401">
        <f>_xlfn.T.TEST(per_seed!$M$2:$M$11,per_seed!$M$42:$M$51,2,1)</f>
        <v>0.92629536695220482</v>
      </c>
      <c r="E401">
        <v>0.92629536695220194</v>
      </c>
    </row>
    <row r="402" spans="1:5">
      <c r="A402" t="s">
        <v>36</v>
      </c>
      <c r="B402" t="s">
        <v>42</v>
      </c>
      <c r="C402" t="s">
        <v>3</v>
      </c>
      <c r="D402">
        <f>(AVERAGE(per_seed!$D$52:$D$61)-AVERAGE(per_seed!$D$2:$D$11))/AVERAGE(per_seed!$D$2:$D$11)*100</f>
        <v>0.16172127689494828</v>
      </c>
      <c r="E402">
        <v>0.16172127689494831</v>
      </c>
    </row>
    <row r="403" spans="1:5">
      <c r="A403" t="s">
        <v>38</v>
      </c>
      <c r="B403" t="s">
        <v>42</v>
      </c>
      <c r="C403" t="s">
        <v>3</v>
      </c>
      <c r="D403">
        <f>_xlfn.T.TEST(per_seed!$D$2:$D$11,per_seed!$D$52:$D$61,2,1)</f>
        <v>0.16468287339076237</v>
      </c>
      <c r="E403">
        <v>0.16468287339075491</v>
      </c>
    </row>
    <row r="404" spans="1:5">
      <c r="A404" t="s">
        <v>36</v>
      </c>
      <c r="B404" t="s">
        <v>42</v>
      </c>
      <c r="C404" t="s">
        <v>4</v>
      </c>
      <c r="D404">
        <f>(AVERAGE(per_seed!$E$52:$E$61)-AVERAGE(per_seed!$E$2:$E$11))/AVERAGE(per_seed!$E$2:$E$11)*100</f>
        <v>0.26847079037800686</v>
      </c>
      <c r="E404">
        <v>0.26847079037800692</v>
      </c>
    </row>
    <row r="405" spans="1:5">
      <c r="A405" t="s">
        <v>38</v>
      </c>
      <c r="B405" t="s">
        <v>42</v>
      </c>
      <c r="C405" t="s">
        <v>4</v>
      </c>
      <c r="D405">
        <f>_xlfn.T.TEST(per_seed!$E$2:$E$11,per_seed!$E$52:$E$61,2,1)</f>
        <v>0.23577978960930976</v>
      </c>
      <c r="E405">
        <v>0.2357797896093097</v>
      </c>
    </row>
    <row r="406" spans="1:5">
      <c r="A406" t="s">
        <v>36</v>
      </c>
      <c r="B406" t="s">
        <v>42</v>
      </c>
      <c r="C406" t="s">
        <v>5</v>
      </c>
      <c r="D406">
        <f>(AVERAGE(per_seed!$F$52:$F$61)-AVERAGE(per_seed!$F$2:$F$11))/AVERAGE(per_seed!$F$2:$F$11)*100</f>
        <v>0.63356164383562419</v>
      </c>
      <c r="E406">
        <v>0.63356164383562419</v>
      </c>
    </row>
    <row r="407" spans="1:5">
      <c r="A407" t="s">
        <v>38</v>
      </c>
      <c r="B407" t="s">
        <v>42</v>
      </c>
      <c r="C407" t="s">
        <v>5</v>
      </c>
      <c r="D407">
        <f>_xlfn.T.TEST(per_seed!$F$2:$F$11,per_seed!$F$52:$F$61,2,1)</f>
        <v>1.6363981388087825E-2</v>
      </c>
      <c r="E407">
        <v>1.6363981388088839E-2</v>
      </c>
    </row>
    <row r="408" spans="1:5">
      <c r="A408" t="s">
        <v>36</v>
      </c>
      <c r="B408" t="s">
        <v>42</v>
      </c>
      <c r="C408" t="s">
        <v>6</v>
      </c>
      <c r="D408">
        <f>(AVERAGE(per_seed!$G$52:$G$61)-AVERAGE(per_seed!$G$2:$G$11))/AVERAGE(per_seed!$G$2:$G$11)*100</f>
        <v>9.8839138411108785</v>
      </c>
      <c r="E408">
        <v>9.883913841110898</v>
      </c>
    </row>
    <row r="409" spans="1:5">
      <c r="A409" t="s">
        <v>38</v>
      </c>
      <c r="B409" t="s">
        <v>42</v>
      </c>
      <c r="C409" t="s">
        <v>6</v>
      </c>
      <c r="D409">
        <f>_xlfn.T.TEST(per_seed!$G$2:$G$11,per_seed!$G$52:$G$61,2,1)</f>
        <v>3.7906130662047439E-6</v>
      </c>
      <c r="E409">
        <v>3.7906130662047672E-6</v>
      </c>
    </row>
    <row r="410" spans="1:5">
      <c r="A410" t="s">
        <v>36</v>
      </c>
      <c r="B410" t="s">
        <v>42</v>
      </c>
      <c r="C410" t="s">
        <v>7</v>
      </c>
      <c r="D410">
        <f>(AVERAGE(per_seed!$H$52:$H$61)-AVERAGE(per_seed!$H$2:$H$11))/AVERAGE(per_seed!$H$2:$H$11)*100</f>
        <v>-8.4153983885407388</v>
      </c>
      <c r="E410">
        <v>-8.4153983885407388</v>
      </c>
    </row>
    <row r="411" spans="1:5">
      <c r="A411" t="s">
        <v>38</v>
      </c>
      <c r="B411" t="s">
        <v>42</v>
      </c>
      <c r="C411" t="s">
        <v>7</v>
      </c>
      <c r="D411">
        <f>_xlfn.T.TEST(per_seed!$H$2:$H$11,per_seed!$H$52:$H$61,2,1)</f>
        <v>6.6577135038023445E-6</v>
      </c>
      <c r="E411">
        <v>6.6577135038023852E-6</v>
      </c>
    </row>
    <row r="412" spans="1:5">
      <c r="A412" t="s">
        <v>36</v>
      </c>
      <c r="B412" t="s">
        <v>42</v>
      </c>
      <c r="C412" t="s">
        <v>8</v>
      </c>
      <c r="D412">
        <f>(AVERAGE(per_seed!$I$52:$I$61)-AVERAGE(per_seed!$I$2:$I$11))/AVERAGE(per_seed!$I$2:$I$11)*100</f>
        <v>-8.9634681774443177</v>
      </c>
      <c r="E412">
        <v>-8.9634681774443195</v>
      </c>
    </row>
    <row r="413" spans="1:5">
      <c r="A413" t="s">
        <v>38</v>
      </c>
      <c r="B413" t="s">
        <v>42</v>
      </c>
      <c r="C413" t="s">
        <v>8</v>
      </c>
      <c r="D413">
        <f>_xlfn.T.TEST(per_seed!$I$2:$I$11,per_seed!$I$52:$I$61,2,1)</f>
        <v>2.6185951219837121E-6</v>
      </c>
      <c r="E413">
        <v>2.6185951219837091E-6</v>
      </c>
    </row>
    <row r="414" spans="1:5">
      <c r="A414" t="s">
        <v>36</v>
      </c>
      <c r="B414" t="s">
        <v>42</v>
      </c>
      <c r="C414" t="s">
        <v>9</v>
      </c>
      <c r="D414">
        <f>(AVERAGE(per_seed!$J$52:$J$61)-AVERAGE(per_seed!$J$2:$J$11))/AVERAGE(per_seed!$J$2:$J$11)*100</f>
        <v>-2.8645613579643538</v>
      </c>
      <c r="E414">
        <v>-2.8645613579643538</v>
      </c>
    </row>
    <row r="415" spans="1:5">
      <c r="A415" t="s">
        <v>38</v>
      </c>
      <c r="B415" t="s">
        <v>42</v>
      </c>
      <c r="C415" t="s">
        <v>9</v>
      </c>
      <c r="D415">
        <f>_xlfn.T.TEST(per_seed!$J$2:$J$11,per_seed!$J$52:$J$61,2,1)</f>
        <v>7.7280134384231577E-3</v>
      </c>
      <c r="E415">
        <v>7.7280134384233373E-3</v>
      </c>
    </row>
    <row r="416" spans="1:5">
      <c r="A416" t="s">
        <v>36</v>
      </c>
      <c r="B416" t="s">
        <v>42</v>
      </c>
      <c r="C416" t="s">
        <v>10</v>
      </c>
      <c r="D416">
        <f>(AVERAGE(per_seed!$K$52:$K$61)-AVERAGE(per_seed!$K$2:$K$11))/AVERAGE(per_seed!$K$2:$K$11)*100</f>
        <v>-3.9532468204950404</v>
      </c>
      <c r="E416">
        <v>-3.9532468204950399</v>
      </c>
    </row>
    <row r="417" spans="1:5">
      <c r="A417" t="s">
        <v>38</v>
      </c>
      <c r="B417" t="s">
        <v>42</v>
      </c>
      <c r="C417" t="s">
        <v>10</v>
      </c>
      <c r="D417">
        <f>_xlfn.T.TEST(per_seed!$K$2:$K$11,per_seed!$K$52:$K$61,2,1)</f>
        <v>1.0433840989647601E-3</v>
      </c>
      <c r="E417">
        <v>1.043384098964769E-3</v>
      </c>
    </row>
    <row r="418" spans="1:5">
      <c r="A418" t="s">
        <v>36</v>
      </c>
      <c r="B418" t="s">
        <v>42</v>
      </c>
      <c r="C418" t="s">
        <v>11</v>
      </c>
      <c r="D418">
        <f>(AVERAGE(per_seed!$L$52:$L$61)-AVERAGE(per_seed!$L$2:$L$11))/AVERAGE(per_seed!$L$2:$L$11)*100</f>
        <v>-4.0403305946722767</v>
      </c>
      <c r="E418">
        <v>-4.0403305946722767</v>
      </c>
    </row>
    <row r="419" spans="1:5">
      <c r="A419" t="s">
        <v>38</v>
      </c>
      <c r="B419" t="s">
        <v>42</v>
      </c>
      <c r="C419" t="s">
        <v>11</v>
      </c>
      <c r="D419">
        <f>_xlfn.T.TEST(per_seed!$L$2:$L$11,per_seed!$L$52:$L$61,2,1)</f>
        <v>8.9778342459970184E-2</v>
      </c>
      <c r="E419">
        <v>8.9778342459970212E-2</v>
      </c>
    </row>
    <row r="420" spans="1:5">
      <c r="A420" t="s">
        <v>36</v>
      </c>
      <c r="B420" t="s">
        <v>42</v>
      </c>
      <c r="C420" t="s">
        <v>12</v>
      </c>
      <c r="D420">
        <f>(AVERAGE(per_seed!$M$52:$M$61)-AVERAGE(per_seed!$M$2:$M$11))/AVERAGE(per_seed!$M$2:$M$11)*100</f>
        <v>-12.001426192577979</v>
      </c>
      <c r="E420">
        <v>-12.001426192577959</v>
      </c>
    </row>
    <row r="421" spans="1:5">
      <c r="A421" t="s">
        <v>38</v>
      </c>
      <c r="B421" t="s">
        <v>42</v>
      </c>
      <c r="C421" t="s">
        <v>12</v>
      </c>
      <c r="D421">
        <f>_xlfn.T.TEST(per_seed!$M$2:$M$11,per_seed!$M$52:$M$61,2,1)</f>
        <v>0.15275579030606956</v>
      </c>
      <c r="E421">
        <v>0.15275579030607039</v>
      </c>
    </row>
    <row r="422" spans="1:5">
      <c r="A422" t="s">
        <v>36</v>
      </c>
      <c r="B422" t="s">
        <v>43</v>
      </c>
      <c r="C422" t="s">
        <v>3</v>
      </c>
      <c r="D422">
        <f>(AVERAGE(per_seed!$D$62:$D$71)-AVERAGE(per_seed!$D$2:$D$11))/AVERAGE(per_seed!$D$2:$D$11)*100</f>
        <v>2.1094079594990475E-2</v>
      </c>
      <c r="E422">
        <v>2.1094079594990479E-2</v>
      </c>
    </row>
    <row r="423" spans="1:5">
      <c r="A423" t="s">
        <v>38</v>
      </c>
      <c r="B423" t="s">
        <v>43</v>
      </c>
      <c r="C423" t="s">
        <v>3</v>
      </c>
      <c r="D423">
        <f>_xlfn.T.TEST(per_seed!$D$2:$D$11,per_seed!$D$62:$D$71,2,1)</f>
        <v>0.89210976913998796</v>
      </c>
      <c r="E423">
        <v>0.89210976913997064</v>
      </c>
    </row>
    <row r="424" spans="1:5">
      <c r="A424" t="s">
        <v>36</v>
      </c>
      <c r="B424" t="s">
        <v>43</v>
      </c>
      <c r="C424" t="s">
        <v>4</v>
      </c>
      <c r="D424">
        <f>(AVERAGE(per_seed!$E$62:$E$71)-AVERAGE(per_seed!$E$2:$E$11))/AVERAGE(per_seed!$E$2:$E$11)*100</f>
        <v>-1.0738831615122716E-2</v>
      </c>
      <c r="E424">
        <v>-1.0738831615122719E-2</v>
      </c>
    </row>
    <row r="425" spans="1:5">
      <c r="A425" t="s">
        <v>38</v>
      </c>
      <c r="B425" t="s">
        <v>43</v>
      </c>
      <c r="C425" t="s">
        <v>4</v>
      </c>
      <c r="D425">
        <f>_xlfn.T.TEST(per_seed!$E$2:$E$11,per_seed!$E$62:$E$71,2,1)</f>
        <v>0.97132506400470042</v>
      </c>
      <c r="E425">
        <v>0.97132506400470242</v>
      </c>
    </row>
    <row r="426" spans="1:5">
      <c r="A426" t="s">
        <v>36</v>
      </c>
      <c r="B426" t="s">
        <v>43</v>
      </c>
      <c r="C426" t="s">
        <v>5</v>
      </c>
      <c r="D426">
        <f>(AVERAGE(per_seed!$F$62:$F$71)-AVERAGE(per_seed!$F$2:$F$11))/AVERAGE(per_seed!$F$2:$F$11)*100</f>
        <v>0.80479452054795297</v>
      </c>
      <c r="E426">
        <v>0.80479452054795297</v>
      </c>
    </row>
    <row r="427" spans="1:5">
      <c r="A427" t="s">
        <v>38</v>
      </c>
      <c r="B427" t="s">
        <v>43</v>
      </c>
      <c r="C427" t="s">
        <v>5</v>
      </c>
      <c r="D427">
        <f>_xlfn.T.TEST(per_seed!$F$2:$F$11,per_seed!$F$62:$F$71,2,1)</f>
        <v>3.606435742043089E-2</v>
      </c>
      <c r="E427">
        <v>3.6064357420432312E-2</v>
      </c>
    </row>
    <row r="428" spans="1:5">
      <c r="A428" t="s">
        <v>36</v>
      </c>
      <c r="B428" t="s">
        <v>43</v>
      </c>
      <c r="C428" t="s">
        <v>6</v>
      </c>
      <c r="D428">
        <f>(AVERAGE(per_seed!$G$62:$G$71)-AVERAGE(per_seed!$G$2:$G$11))/AVERAGE(per_seed!$G$2:$G$11)*100</f>
        <v>9.7588891743912836</v>
      </c>
      <c r="E428">
        <v>9.7588891743913031</v>
      </c>
    </row>
    <row r="429" spans="1:5">
      <c r="A429" t="s">
        <v>38</v>
      </c>
      <c r="B429" t="s">
        <v>43</v>
      </c>
      <c r="C429" t="s">
        <v>6</v>
      </c>
      <c r="D429">
        <f>_xlfn.T.TEST(per_seed!$G$2:$G$11,per_seed!$G$62:$G$71,2,1)</f>
        <v>9.0373411686671224E-6</v>
      </c>
      <c r="E429">
        <v>9.0373411686668683E-6</v>
      </c>
    </row>
    <row r="430" spans="1:5">
      <c r="A430" t="s">
        <v>36</v>
      </c>
      <c r="B430" t="s">
        <v>43</v>
      </c>
      <c r="C430" t="s">
        <v>7</v>
      </c>
      <c r="D430">
        <f>(AVERAGE(per_seed!$H$62:$H$71)-AVERAGE(per_seed!$H$2:$H$11))/AVERAGE(per_seed!$H$2:$H$11)*100</f>
        <v>-8.1468218442256113</v>
      </c>
      <c r="E430">
        <v>-8.1468218442256113</v>
      </c>
    </row>
    <row r="431" spans="1:5">
      <c r="A431" t="s">
        <v>38</v>
      </c>
      <c r="B431" t="s">
        <v>43</v>
      </c>
      <c r="C431" t="s">
        <v>7</v>
      </c>
      <c r="D431">
        <f>_xlfn.T.TEST(per_seed!$H$2:$H$11,per_seed!$H$62:$H$71,2,1)</f>
        <v>2.9248365904146844E-5</v>
      </c>
      <c r="E431">
        <v>2.9248365904147031E-5</v>
      </c>
    </row>
    <row r="432" spans="1:5">
      <c r="A432" t="s">
        <v>36</v>
      </c>
      <c r="B432" t="s">
        <v>43</v>
      </c>
      <c r="C432" t="s">
        <v>8</v>
      </c>
      <c r="D432">
        <f>(AVERAGE(per_seed!$I$62:$I$71)-AVERAGE(per_seed!$I$2:$I$11))/AVERAGE(per_seed!$I$2:$I$11)*100</f>
        <v>-8.8392697542796057</v>
      </c>
      <c r="E432">
        <v>-8.8392697542795933</v>
      </c>
    </row>
    <row r="433" spans="1:5">
      <c r="A433" t="s">
        <v>38</v>
      </c>
      <c r="B433" t="s">
        <v>43</v>
      </c>
      <c r="C433" t="s">
        <v>8</v>
      </c>
      <c r="D433">
        <f>_xlfn.T.TEST(per_seed!$I$2:$I$11,per_seed!$I$62:$I$71,2,1)</f>
        <v>6.2105848532346064E-6</v>
      </c>
      <c r="E433">
        <v>6.2105848532346564E-6</v>
      </c>
    </row>
    <row r="434" spans="1:5">
      <c r="A434" t="s">
        <v>36</v>
      </c>
      <c r="B434" t="s">
        <v>43</v>
      </c>
      <c r="C434" t="s">
        <v>9</v>
      </c>
      <c r="D434">
        <f>(AVERAGE(per_seed!$J$62:$J$71)-AVERAGE(per_seed!$J$2:$J$11))/AVERAGE(per_seed!$J$2:$J$11)*100</f>
        <v>-1.4849403532631742</v>
      </c>
      <c r="E434">
        <v>-1.4849403532631931</v>
      </c>
    </row>
    <row r="435" spans="1:5">
      <c r="A435" t="s">
        <v>38</v>
      </c>
      <c r="B435" t="s">
        <v>43</v>
      </c>
      <c r="C435" t="s">
        <v>9</v>
      </c>
      <c r="D435">
        <f>_xlfn.T.TEST(per_seed!$J$2:$J$11,per_seed!$J$62:$J$71,2,1)</f>
        <v>0.14360016795094063</v>
      </c>
      <c r="E435">
        <v>0.14360016795094069</v>
      </c>
    </row>
    <row r="436" spans="1:5">
      <c r="A436" t="s">
        <v>36</v>
      </c>
      <c r="B436" t="s">
        <v>43</v>
      </c>
      <c r="C436" t="s">
        <v>10</v>
      </c>
      <c r="D436">
        <f>(AVERAGE(per_seed!$K$62:$K$71)-AVERAGE(per_seed!$K$2:$K$11))/AVERAGE(per_seed!$K$2:$K$11)*100</f>
        <v>-3.0472924445941589</v>
      </c>
      <c r="E436">
        <v>-3.0472924445941589</v>
      </c>
    </row>
    <row r="437" spans="1:5">
      <c r="A437" t="s">
        <v>38</v>
      </c>
      <c r="B437" t="s">
        <v>43</v>
      </c>
      <c r="C437" t="s">
        <v>10</v>
      </c>
      <c r="D437">
        <f>_xlfn.T.TEST(per_seed!$K$2:$K$11,per_seed!$K$62:$K$71,2,1)</f>
        <v>6.81535042322788E-4</v>
      </c>
      <c r="E437">
        <v>6.8153504232278746E-4</v>
      </c>
    </row>
    <row r="438" spans="1:5">
      <c r="A438" t="s">
        <v>36</v>
      </c>
      <c r="B438" t="s">
        <v>43</v>
      </c>
      <c r="C438" t="s">
        <v>11</v>
      </c>
      <c r="D438">
        <f>(AVERAGE(per_seed!$L$62:$L$71)-AVERAGE(per_seed!$L$2:$L$11))/AVERAGE(per_seed!$L$2:$L$11)*100</f>
        <v>-3.3447247873820514</v>
      </c>
      <c r="E438">
        <v>-3.3447247873820509</v>
      </c>
    </row>
    <row r="439" spans="1:5">
      <c r="A439" t="s">
        <v>38</v>
      </c>
      <c r="B439" t="s">
        <v>43</v>
      </c>
      <c r="C439" t="s">
        <v>11</v>
      </c>
      <c r="D439">
        <f>_xlfn.T.TEST(per_seed!$L$2:$L$11,per_seed!$L$62:$L$71,2,1)</f>
        <v>0.28314684201632628</v>
      </c>
      <c r="E439">
        <v>0.28314684201632478</v>
      </c>
    </row>
    <row r="440" spans="1:5">
      <c r="A440" t="s">
        <v>36</v>
      </c>
      <c r="B440" t="s">
        <v>43</v>
      </c>
      <c r="C440" t="s">
        <v>12</v>
      </c>
      <c r="D440">
        <f>(AVERAGE(per_seed!$M$62:$M$71)-AVERAGE(per_seed!$M$2:$M$11))/AVERAGE(per_seed!$M$2:$M$11)*100</f>
        <v>-0.50392203407791203</v>
      </c>
      <c r="E440">
        <v>-0.50392203407789493</v>
      </c>
    </row>
    <row r="441" spans="1:5">
      <c r="A441" t="s">
        <v>38</v>
      </c>
      <c r="B441" t="s">
        <v>43</v>
      </c>
      <c r="C441" t="s">
        <v>12</v>
      </c>
      <c r="D441">
        <f>_xlfn.T.TEST(per_seed!$M$2:$M$11,per_seed!$M$62:$M$71,2,1)</f>
        <v>0.96404586823001492</v>
      </c>
      <c r="E441">
        <v>0.96404586823001348</v>
      </c>
    </row>
    <row r="442" spans="1:5">
      <c r="A442" t="s">
        <v>36</v>
      </c>
      <c r="B442" t="s">
        <v>44</v>
      </c>
      <c r="C442" t="s">
        <v>3</v>
      </c>
      <c r="D442">
        <f>(AVERAGE(per_seed!$D$72:$D$81)-AVERAGE(per_seed!$D$2:$D$11))/AVERAGE(per_seed!$D$2:$D$11)*100</f>
        <v>0.1476585571649493</v>
      </c>
      <c r="E442">
        <v>0.1476585571649493</v>
      </c>
    </row>
    <row r="443" spans="1:5">
      <c r="A443" t="s">
        <v>38</v>
      </c>
      <c r="B443" t="s">
        <v>44</v>
      </c>
      <c r="C443" t="s">
        <v>3</v>
      </c>
      <c r="D443">
        <f>_xlfn.T.TEST(per_seed!$D$2:$D$11,per_seed!$D$72:$D$81,2,1)</f>
        <v>0.36750622473489969</v>
      </c>
      <c r="E443">
        <v>0.36750622473487982</v>
      </c>
    </row>
    <row r="444" spans="1:5">
      <c r="A444" t="s">
        <v>36</v>
      </c>
      <c r="B444" t="s">
        <v>44</v>
      </c>
      <c r="C444" t="s">
        <v>4</v>
      </c>
      <c r="D444">
        <f>(AVERAGE(per_seed!$E$72:$E$81)-AVERAGE(per_seed!$E$2:$E$11))/AVERAGE(per_seed!$E$2:$E$11)*100</f>
        <v>0.23625429553263871</v>
      </c>
      <c r="E444">
        <v>0.23625429553263869</v>
      </c>
    </row>
    <row r="445" spans="1:5">
      <c r="A445" t="s">
        <v>38</v>
      </c>
      <c r="B445" t="s">
        <v>44</v>
      </c>
      <c r="C445" t="s">
        <v>4</v>
      </c>
      <c r="D445">
        <f>_xlfn.T.TEST(per_seed!$E$2:$E$11,per_seed!$E$72:$E$81,2,1)</f>
        <v>0.28265098262772459</v>
      </c>
      <c r="E445">
        <v>0.28265098262771038</v>
      </c>
    </row>
    <row r="446" spans="1:5">
      <c r="A446" t="s">
        <v>36</v>
      </c>
      <c r="B446" t="s">
        <v>44</v>
      </c>
      <c r="C446" t="s">
        <v>5</v>
      </c>
      <c r="D446">
        <f>(AVERAGE(per_seed!$F$72:$F$81)-AVERAGE(per_seed!$F$2:$F$11))/AVERAGE(per_seed!$F$2:$F$11)*100</f>
        <v>0.80479452054795297</v>
      </c>
      <c r="E446">
        <v>0.80479452054795297</v>
      </c>
    </row>
    <row r="447" spans="1:5">
      <c r="A447" t="s">
        <v>38</v>
      </c>
      <c r="B447" t="s">
        <v>44</v>
      </c>
      <c r="C447" t="s">
        <v>5</v>
      </c>
      <c r="D447">
        <f>_xlfn.T.TEST(per_seed!$F$2:$F$11,per_seed!$F$72:$F$81,2,1)</f>
        <v>5.9062879063752315E-2</v>
      </c>
      <c r="E447">
        <v>5.9062879063754382E-2</v>
      </c>
    </row>
    <row r="448" spans="1:5">
      <c r="A448" t="s">
        <v>36</v>
      </c>
      <c r="B448" t="s">
        <v>44</v>
      </c>
      <c r="C448" t="s">
        <v>6</v>
      </c>
      <c r="D448">
        <f>(AVERAGE(per_seed!$G$72:$G$81)-AVERAGE(per_seed!$G$2:$G$11))/AVERAGE(per_seed!$G$2:$G$11)*100</f>
        <v>11.952604214709325</v>
      </c>
      <c r="E448">
        <v>11.952604214709339</v>
      </c>
    </row>
    <row r="449" spans="1:5">
      <c r="A449" t="s">
        <v>38</v>
      </c>
      <c r="B449" t="s">
        <v>44</v>
      </c>
      <c r="C449" t="s">
        <v>6</v>
      </c>
      <c r="D449">
        <f>_xlfn.T.TEST(per_seed!$G$2:$G$11,per_seed!$G$72:$G$81,2,1)</f>
        <v>4.4633342699677138E-6</v>
      </c>
      <c r="E449">
        <v>4.4633342699676867E-6</v>
      </c>
    </row>
    <row r="450" spans="1:5">
      <c r="A450" t="s">
        <v>36</v>
      </c>
      <c r="B450" t="s">
        <v>44</v>
      </c>
      <c r="C450" t="s">
        <v>7</v>
      </c>
      <c r="D450">
        <f>(AVERAGE(per_seed!$H$72:$H$81)-AVERAGE(per_seed!$H$2:$H$11))/AVERAGE(per_seed!$H$2:$H$11)*100</f>
        <v>-9.9373321396598104</v>
      </c>
      <c r="E450">
        <v>-9.9373321396598104</v>
      </c>
    </row>
    <row r="451" spans="1:5">
      <c r="A451" t="s">
        <v>38</v>
      </c>
      <c r="B451" t="s">
        <v>44</v>
      </c>
      <c r="C451" t="s">
        <v>7</v>
      </c>
      <c r="D451">
        <f>_xlfn.T.TEST(per_seed!$H$2:$H$11,per_seed!$H$72:$H$81,2,1)</f>
        <v>9.6039803194628012E-6</v>
      </c>
      <c r="E451">
        <v>9.6039803194628977E-6</v>
      </c>
    </row>
    <row r="452" spans="1:5">
      <c r="A452" t="s">
        <v>36</v>
      </c>
      <c r="B452" t="s">
        <v>44</v>
      </c>
      <c r="C452" t="s">
        <v>8</v>
      </c>
      <c r="D452">
        <f>(AVERAGE(per_seed!$I$72:$I$81)-AVERAGE(per_seed!$I$2:$I$11))/AVERAGE(per_seed!$I$2:$I$11)*100</f>
        <v>-10.627715420247151</v>
      </c>
      <c r="E452">
        <v>-10.62771542024714</v>
      </c>
    </row>
    <row r="453" spans="1:5">
      <c r="A453" t="s">
        <v>38</v>
      </c>
      <c r="B453" t="s">
        <v>44</v>
      </c>
      <c r="C453" t="s">
        <v>8</v>
      </c>
      <c r="D453">
        <f>_xlfn.T.TEST(per_seed!$I$2:$I$11,per_seed!$I$72:$I$81,2,1)</f>
        <v>2.5994359888925069E-6</v>
      </c>
      <c r="E453">
        <v>2.5994359888925128E-6</v>
      </c>
    </row>
    <row r="454" spans="1:5">
      <c r="A454" t="s">
        <v>36</v>
      </c>
      <c r="B454" t="s">
        <v>44</v>
      </c>
      <c r="C454" t="s">
        <v>9</v>
      </c>
      <c r="D454">
        <f>(AVERAGE(per_seed!$J$72:$J$81)-AVERAGE(per_seed!$J$2:$J$11))/AVERAGE(per_seed!$J$2:$J$11)*100</f>
        <v>-2.4368599995354652</v>
      </c>
      <c r="E454">
        <v>-2.4368599995354461</v>
      </c>
    </row>
    <row r="455" spans="1:5">
      <c r="A455" t="s">
        <v>38</v>
      </c>
      <c r="B455" t="s">
        <v>44</v>
      </c>
      <c r="C455" t="s">
        <v>9</v>
      </c>
      <c r="D455">
        <f>_xlfn.T.TEST(per_seed!$J$2:$J$11,per_seed!$J$72:$J$81,2,1)</f>
        <v>2.7373843320760816E-2</v>
      </c>
      <c r="E455">
        <v>2.7373843320761541E-2</v>
      </c>
    </row>
    <row r="456" spans="1:5">
      <c r="A456" t="s">
        <v>36</v>
      </c>
      <c r="B456" t="s">
        <v>44</v>
      </c>
      <c r="C456" t="s">
        <v>10</v>
      </c>
      <c r="D456">
        <f>(AVERAGE(per_seed!$K$72:$K$81)-AVERAGE(per_seed!$K$2:$K$11))/AVERAGE(per_seed!$K$2:$K$11)*100</f>
        <v>-3.6811608889213727</v>
      </c>
      <c r="E456">
        <v>-3.6811608889213732</v>
      </c>
    </row>
    <row r="457" spans="1:5">
      <c r="A457" t="s">
        <v>38</v>
      </c>
      <c r="B457" t="s">
        <v>44</v>
      </c>
      <c r="C457" t="s">
        <v>10</v>
      </c>
      <c r="D457">
        <f>_xlfn.T.TEST(per_seed!$K$2:$K$11,per_seed!$K$72:$K$81,2,1)</f>
        <v>9.2007895776766201E-4</v>
      </c>
      <c r="E457">
        <v>9.2007895776764726E-4</v>
      </c>
    </row>
    <row r="458" spans="1:5">
      <c r="A458" t="s">
        <v>36</v>
      </c>
      <c r="B458" t="s">
        <v>44</v>
      </c>
      <c r="C458" t="s">
        <v>11</v>
      </c>
      <c r="D458">
        <f>(AVERAGE(per_seed!$L$72:$L$81)-AVERAGE(per_seed!$L$2:$L$11))/AVERAGE(per_seed!$L$2:$L$11)*100</f>
        <v>-0.3349572214435913</v>
      </c>
      <c r="E458">
        <v>-0.3349572214435913</v>
      </c>
    </row>
    <row r="459" spans="1:5">
      <c r="A459" t="s">
        <v>38</v>
      </c>
      <c r="B459" t="s">
        <v>44</v>
      </c>
      <c r="C459" t="s">
        <v>11</v>
      </c>
      <c r="D459">
        <f>_xlfn.T.TEST(per_seed!$L$2:$L$11,per_seed!$L$72:$L$81,2,1)</f>
        <v>0.87562670714192226</v>
      </c>
      <c r="E459">
        <v>0.87562670714192414</v>
      </c>
    </row>
    <row r="460" spans="1:5">
      <c r="A460" t="s">
        <v>36</v>
      </c>
      <c r="B460" t="s">
        <v>44</v>
      </c>
      <c r="C460" t="s">
        <v>12</v>
      </c>
      <c r="D460">
        <f>(AVERAGE(per_seed!$M$72:$M$81)-AVERAGE(per_seed!$M$2:$M$11))/AVERAGE(per_seed!$M$2:$M$11)*100</f>
        <v>-10.924649392123515</v>
      </c>
      <c r="E460">
        <v>-10.92464939212352</v>
      </c>
    </row>
    <row r="461" spans="1:5">
      <c r="A461" t="s">
        <v>38</v>
      </c>
      <c r="B461" t="s">
        <v>44</v>
      </c>
      <c r="C461" t="s">
        <v>12</v>
      </c>
      <c r="D461">
        <f>_xlfn.T.TEST(per_seed!$M$2:$M$11,per_seed!$M$72:$M$81,2,1)</f>
        <v>0.36332866683968257</v>
      </c>
      <c r="E461">
        <v>0.36332866683968301</v>
      </c>
    </row>
    <row r="462" spans="1:5">
      <c r="A462" t="s">
        <v>36</v>
      </c>
      <c r="B462" t="s">
        <v>45</v>
      </c>
      <c r="C462" t="s">
        <v>3</v>
      </c>
      <c r="D462">
        <f>(AVERAGE(per_seed!$D$92:$D$101)-AVERAGE(per_seed!$D$82:$D$91))/AVERAGE(per_seed!$D$82:$D$91)*100</f>
        <v>-34.53820876739146</v>
      </c>
      <c r="E462">
        <v>-34.53820876739146</v>
      </c>
    </row>
    <row r="463" spans="1:5">
      <c r="A463" t="s">
        <v>38</v>
      </c>
      <c r="B463" t="s">
        <v>45</v>
      </c>
      <c r="C463" t="s">
        <v>3</v>
      </c>
      <c r="D463">
        <f>_xlfn.T.TEST(per_seed!$D$82:$D$91,per_seed!$D$92:$D$101,2,1)</f>
        <v>1.465800174469294E-3</v>
      </c>
      <c r="E463">
        <v>1.4658001744692929E-3</v>
      </c>
    </row>
    <row r="464" spans="1:5">
      <c r="A464" t="s">
        <v>36</v>
      </c>
      <c r="B464" t="s">
        <v>45</v>
      </c>
      <c r="C464" t="s">
        <v>4</v>
      </c>
      <c r="D464">
        <f>(AVERAGE(per_seed!$E$92:$E$101)-AVERAGE(per_seed!$E$82:$E$91))/AVERAGE(per_seed!$E$82:$E$91)*100</f>
        <v>-34.007707129094413</v>
      </c>
      <c r="E464">
        <v>-34.007707129094413</v>
      </c>
    </row>
    <row r="465" spans="1:5">
      <c r="A465" t="s">
        <v>38</v>
      </c>
      <c r="B465" t="s">
        <v>45</v>
      </c>
      <c r="C465" t="s">
        <v>4</v>
      </c>
      <c r="D465">
        <f>_xlfn.T.TEST(per_seed!$E$82:$E$91,per_seed!$E$92:$E$101,2,1)</f>
        <v>1.4723201974712009E-3</v>
      </c>
      <c r="E465">
        <v>1.472320197471205E-3</v>
      </c>
    </row>
    <row r="466" spans="1:5">
      <c r="A466" t="s">
        <v>36</v>
      </c>
      <c r="B466" t="s">
        <v>45</v>
      </c>
      <c r="C466" t="s">
        <v>5</v>
      </c>
      <c r="D466">
        <f>(AVERAGE(per_seed!$F$92:$F$101)-AVERAGE(per_seed!$F$82:$F$91))/AVERAGE(per_seed!$F$82:$F$91)*100</f>
        <v>-34.092841353511304</v>
      </c>
      <c r="E466">
        <v>-34.092841353511297</v>
      </c>
    </row>
    <row r="467" spans="1:5">
      <c r="A467" t="s">
        <v>38</v>
      </c>
      <c r="B467" t="s">
        <v>45</v>
      </c>
      <c r="C467" t="s">
        <v>5</v>
      </c>
      <c r="D467">
        <f>_xlfn.T.TEST(per_seed!$F$82:$F$91,per_seed!$F$92:$F$101,2,1)</f>
        <v>1.6380531259323357E-3</v>
      </c>
      <c r="E467">
        <v>1.6380531259323351E-3</v>
      </c>
    </row>
    <row r="468" spans="1:5">
      <c r="A468" t="s">
        <v>36</v>
      </c>
      <c r="B468" t="s">
        <v>45</v>
      </c>
      <c r="C468" t="s">
        <v>6</v>
      </c>
      <c r="D468">
        <f>(AVERAGE(per_seed!$G$92:$G$101)-AVERAGE(per_seed!$G$82:$G$91))/AVERAGE(per_seed!$G$82:$G$91)*100</f>
        <v>7.8899797138464498</v>
      </c>
      <c r="E468">
        <v>7.8899797138464498</v>
      </c>
    </row>
    <row r="469" spans="1:5">
      <c r="A469" t="s">
        <v>38</v>
      </c>
      <c r="B469" t="s">
        <v>45</v>
      </c>
      <c r="C469" t="s">
        <v>6</v>
      </c>
      <c r="D469">
        <f>_xlfn.T.TEST(per_seed!$G$82:$G$91,per_seed!$G$92:$G$101,2,1)</f>
        <v>1.0632917779067209E-3</v>
      </c>
      <c r="E469">
        <v>1.0632917779067131E-3</v>
      </c>
    </row>
    <row r="470" spans="1:5">
      <c r="A470" t="s">
        <v>36</v>
      </c>
      <c r="B470" t="s">
        <v>45</v>
      </c>
      <c r="C470" t="s">
        <v>7</v>
      </c>
      <c r="D470">
        <f>(AVERAGE(per_seed!$H$92:$H$101)-AVERAGE(per_seed!$H$82:$H$91))/AVERAGE(per_seed!$H$82:$H$91)*100</f>
        <v>-38.341968911917093</v>
      </c>
      <c r="E470">
        <v>-38.341968911917093</v>
      </c>
    </row>
    <row r="471" spans="1:5">
      <c r="A471" t="s">
        <v>38</v>
      </c>
      <c r="B471" t="s">
        <v>45</v>
      </c>
      <c r="C471" t="s">
        <v>7</v>
      </c>
      <c r="D471">
        <f>_xlfn.T.TEST(per_seed!$H$82:$H$91,per_seed!$H$92:$H$101,2,1)</f>
        <v>9.3107900987200937E-4</v>
      </c>
      <c r="E471">
        <v>9.3107900987200894E-4</v>
      </c>
    </row>
    <row r="472" spans="1:5">
      <c r="A472" t="s">
        <v>36</v>
      </c>
      <c r="B472" t="s">
        <v>45</v>
      </c>
      <c r="C472" t="s">
        <v>8</v>
      </c>
      <c r="D472">
        <f>(AVERAGE(per_seed!$I$92:$I$101)-AVERAGE(per_seed!$I$82:$I$91))/AVERAGE(per_seed!$I$82:$I$91)*100</f>
        <v>-7.182937539510462</v>
      </c>
      <c r="E472">
        <v>-7.1829375395104478</v>
      </c>
    </row>
    <row r="473" spans="1:5">
      <c r="A473" t="s">
        <v>38</v>
      </c>
      <c r="B473" t="s">
        <v>45</v>
      </c>
      <c r="C473" t="s">
        <v>8</v>
      </c>
      <c r="D473">
        <f>_xlfn.T.TEST(per_seed!$I$82:$I$91,per_seed!$I$92:$I$101,2,1)</f>
        <v>8.9214504200080388E-4</v>
      </c>
      <c r="E473">
        <v>8.9214504200080627E-4</v>
      </c>
    </row>
    <row r="474" spans="1:5">
      <c r="A474" t="s">
        <v>36</v>
      </c>
      <c r="B474" t="s">
        <v>45</v>
      </c>
      <c r="C474" t="s">
        <v>9</v>
      </c>
      <c r="D474">
        <f>(AVERAGE(per_seed!$J$92:$J$101)-AVERAGE(per_seed!$J$82:$J$91))/AVERAGE(per_seed!$J$82:$J$91)*100</f>
        <v>0.34367847111776373</v>
      </c>
      <c r="E474">
        <v>0.34367847111776367</v>
      </c>
    </row>
    <row r="475" spans="1:5">
      <c r="A475" t="s">
        <v>38</v>
      </c>
      <c r="B475" t="s">
        <v>45</v>
      </c>
      <c r="C475" t="s">
        <v>9</v>
      </c>
      <c r="D475">
        <f>_xlfn.T.TEST(per_seed!$J$82:$J$91,per_seed!$J$92:$J$101,2,1)</f>
        <v>0.92570440931208675</v>
      </c>
      <c r="E475">
        <v>0.92570440931209408</v>
      </c>
    </row>
    <row r="476" spans="1:5">
      <c r="A476" t="s">
        <v>36</v>
      </c>
      <c r="B476" t="s">
        <v>45</v>
      </c>
      <c r="C476" t="s">
        <v>10</v>
      </c>
      <c r="D476">
        <f>(AVERAGE(per_seed!$K$92:$K$101)-AVERAGE(per_seed!$K$82:$K$91))/AVERAGE(per_seed!$K$82:$K$91)*100</f>
        <v>-0.50108599055192271</v>
      </c>
      <c r="E476">
        <v>-0.50108599055190572</v>
      </c>
    </row>
    <row r="477" spans="1:5">
      <c r="A477" t="s">
        <v>38</v>
      </c>
      <c r="B477" t="s">
        <v>45</v>
      </c>
      <c r="C477" t="s">
        <v>10</v>
      </c>
      <c r="D477">
        <f>_xlfn.T.TEST(per_seed!$K$82:$K$91,per_seed!$K$92:$K$101,2,1)</f>
        <v>0.88838674732569767</v>
      </c>
      <c r="E477">
        <v>0.88838674732569833</v>
      </c>
    </row>
    <row r="478" spans="1:5">
      <c r="A478" t="s">
        <v>36</v>
      </c>
      <c r="B478" t="s">
        <v>45</v>
      </c>
      <c r="C478" t="s">
        <v>11</v>
      </c>
      <c r="D478">
        <f>(AVERAGE(per_seed!$L$92:$L$101)-AVERAGE(per_seed!$L$82:$L$91))/AVERAGE(per_seed!$L$82:$L$91)*100</f>
        <v>-21.519405527054349</v>
      </c>
      <c r="E478">
        <v>-21.519405527054339</v>
      </c>
    </row>
    <row r="479" spans="1:5">
      <c r="A479" t="s">
        <v>38</v>
      </c>
      <c r="B479" t="s">
        <v>45</v>
      </c>
      <c r="C479" t="s">
        <v>11</v>
      </c>
      <c r="D479">
        <f>_xlfn.T.TEST(per_seed!$L$82:$L$91,per_seed!$L$92:$L$101,2,1)</f>
        <v>3.8101019790406621E-3</v>
      </c>
      <c r="E479">
        <v>3.8101019790406669E-3</v>
      </c>
    </row>
    <row r="480" spans="1:5">
      <c r="A480" t="s">
        <v>36</v>
      </c>
      <c r="B480" t="s">
        <v>45</v>
      </c>
      <c r="C480" t="s">
        <v>12</v>
      </c>
      <c r="D480">
        <f>(AVERAGE(per_seed!$M$92:$M$101)-AVERAGE(per_seed!$M$82:$M$91))/AVERAGE(per_seed!$M$82:$M$91)*100</f>
        <v>4658.8817989161162</v>
      </c>
      <c r="E480">
        <v>4658.8817989161162</v>
      </c>
    </row>
    <row r="481" spans="1:5">
      <c r="A481" t="s">
        <v>38</v>
      </c>
      <c r="B481" t="s">
        <v>45</v>
      </c>
      <c r="C481" t="s">
        <v>12</v>
      </c>
      <c r="D481">
        <f>_xlfn.T.TEST(per_seed!$M$82:$M$91,per_seed!$M$92:$M$101,2,1)</f>
        <v>1.4666346322712758E-3</v>
      </c>
      <c r="E481">
        <v>1.466634632271279E-3</v>
      </c>
    </row>
    <row r="482" spans="1:5">
      <c r="A482" t="s">
        <v>36</v>
      </c>
      <c r="B482" t="s">
        <v>46</v>
      </c>
      <c r="C482" t="s">
        <v>3</v>
      </c>
      <c r="D482">
        <f>(AVERAGE(per_seed!$D$102:$D$111)-AVERAGE(per_seed!$D$82:$D$91))/AVERAGE(per_seed!$D$82:$D$91)*100</f>
        <v>-30.560022372928753</v>
      </c>
      <c r="E482">
        <v>-30.560022372928749</v>
      </c>
    </row>
    <row r="483" spans="1:5">
      <c r="A483" t="s">
        <v>38</v>
      </c>
      <c r="B483" t="s">
        <v>46</v>
      </c>
      <c r="C483" t="s">
        <v>3</v>
      </c>
      <c r="D483">
        <f>_xlfn.T.TEST(per_seed!$D$82:$D$91,per_seed!$D$102:$D$111,2,1)</f>
        <v>3.1117959994155738E-3</v>
      </c>
      <c r="E483">
        <v>3.111795999415563E-3</v>
      </c>
    </row>
    <row r="484" spans="1:5">
      <c r="A484" t="s">
        <v>36</v>
      </c>
      <c r="B484" t="s">
        <v>46</v>
      </c>
      <c r="C484" t="s">
        <v>4</v>
      </c>
      <c r="D484">
        <f>(AVERAGE(per_seed!$E$102:$E$111)-AVERAGE(per_seed!$E$82:$E$91))/AVERAGE(per_seed!$E$82:$E$91)*100</f>
        <v>-30.004281738385792</v>
      </c>
      <c r="E484">
        <v>-30.004281738385789</v>
      </c>
    </row>
    <row r="485" spans="1:5">
      <c r="A485" t="s">
        <v>38</v>
      </c>
      <c r="B485" t="s">
        <v>46</v>
      </c>
      <c r="C485" t="s">
        <v>4</v>
      </c>
      <c r="D485">
        <f>_xlfn.T.TEST(per_seed!$E$82:$E$91,per_seed!$E$102:$E$111,2,1)</f>
        <v>3.0503756789776616E-3</v>
      </c>
      <c r="E485">
        <v>3.0503756789776659E-3</v>
      </c>
    </row>
    <row r="486" spans="1:5">
      <c r="A486" t="s">
        <v>36</v>
      </c>
      <c r="B486" t="s">
        <v>46</v>
      </c>
      <c r="C486" t="s">
        <v>5</v>
      </c>
      <c r="D486">
        <f>(AVERAGE(per_seed!$F$102:$F$111)-AVERAGE(per_seed!$F$82:$F$91))/AVERAGE(per_seed!$F$82:$F$91)*100</f>
        <v>-29.722836252338038</v>
      </c>
      <c r="E486">
        <v>-29.722836252338041</v>
      </c>
    </row>
    <row r="487" spans="1:5">
      <c r="A487" t="s">
        <v>38</v>
      </c>
      <c r="B487" t="s">
        <v>46</v>
      </c>
      <c r="C487" t="s">
        <v>5</v>
      </c>
      <c r="D487">
        <f>_xlfn.T.TEST(per_seed!$F$82:$F$91,per_seed!$F$102:$F$111,2,1)</f>
        <v>4.2794845147349761E-3</v>
      </c>
      <c r="E487">
        <v>4.2794845147349717E-3</v>
      </c>
    </row>
    <row r="488" spans="1:5">
      <c r="A488" t="s">
        <v>36</v>
      </c>
      <c r="B488" t="s">
        <v>46</v>
      </c>
      <c r="C488" t="s">
        <v>6</v>
      </c>
      <c r="D488">
        <f>(AVERAGE(per_seed!$G$102:$G$111)-AVERAGE(per_seed!$G$82:$G$91))/AVERAGE(per_seed!$G$82:$G$91)*100</f>
        <v>8.5690222479007989</v>
      </c>
      <c r="E488">
        <v>8.5690222479008185</v>
      </c>
    </row>
    <row r="489" spans="1:5">
      <c r="A489" t="s">
        <v>38</v>
      </c>
      <c r="B489" t="s">
        <v>46</v>
      </c>
      <c r="C489" t="s">
        <v>6</v>
      </c>
      <c r="D489">
        <f>_xlfn.T.TEST(per_seed!$G$82:$G$91,per_seed!$G$102:$G$111,2,1)</f>
        <v>2.6148091647442244E-3</v>
      </c>
      <c r="E489">
        <v>2.6148091647441771E-3</v>
      </c>
    </row>
    <row r="490" spans="1:5">
      <c r="A490" t="s">
        <v>36</v>
      </c>
      <c r="B490" t="s">
        <v>46</v>
      </c>
      <c r="C490" t="s">
        <v>7</v>
      </c>
      <c r="D490">
        <f>(AVERAGE(per_seed!$H$102:$H$111)-AVERAGE(per_seed!$H$82:$H$91))/AVERAGE(per_seed!$H$82:$H$91)*100</f>
        <v>-34.6286701208981</v>
      </c>
      <c r="E490">
        <v>-34.6286701208981</v>
      </c>
    </row>
    <row r="491" spans="1:5">
      <c r="A491" t="s">
        <v>38</v>
      </c>
      <c r="B491" t="s">
        <v>46</v>
      </c>
      <c r="C491" t="s">
        <v>7</v>
      </c>
      <c r="D491">
        <f>_xlfn.T.TEST(per_seed!$H$82:$H$91,per_seed!$H$102:$H$111,2,1)</f>
        <v>1.7171800356737595E-3</v>
      </c>
      <c r="E491">
        <v>1.717180035673758E-3</v>
      </c>
    </row>
    <row r="492" spans="1:5">
      <c r="A492" t="s">
        <v>36</v>
      </c>
      <c r="B492" t="s">
        <v>46</v>
      </c>
      <c r="C492" t="s">
        <v>8</v>
      </c>
      <c r="D492">
        <f>(AVERAGE(per_seed!$I$102:$I$111)-AVERAGE(per_seed!$I$82:$I$91))/AVERAGE(per_seed!$I$82:$I$91)*100</f>
        <v>-7.7633684429523715</v>
      </c>
      <c r="E492">
        <v>-7.7633684429523706</v>
      </c>
    </row>
    <row r="493" spans="1:5">
      <c r="A493" t="s">
        <v>38</v>
      </c>
      <c r="B493" t="s">
        <v>46</v>
      </c>
      <c r="C493" t="s">
        <v>8</v>
      </c>
      <c r="D493">
        <f>_xlfn.T.TEST(per_seed!$I$82:$I$91,per_seed!$I$102:$I$111,2,1)</f>
        <v>1.6891121145287886E-3</v>
      </c>
      <c r="E493">
        <v>1.689112114528781E-3</v>
      </c>
    </row>
    <row r="494" spans="1:5">
      <c r="A494" t="s">
        <v>36</v>
      </c>
      <c r="B494" t="s">
        <v>46</v>
      </c>
      <c r="C494" t="s">
        <v>9</v>
      </c>
      <c r="D494">
        <f>(AVERAGE(per_seed!$J$102:$J$111)-AVERAGE(per_seed!$J$82:$J$91))/AVERAGE(per_seed!$J$82:$J$91)*100</f>
        <v>-4.8420037056516421</v>
      </c>
      <c r="E494">
        <v>-4.8420037056516421</v>
      </c>
    </row>
    <row r="495" spans="1:5">
      <c r="A495" t="s">
        <v>38</v>
      </c>
      <c r="B495" t="s">
        <v>46</v>
      </c>
      <c r="C495" t="s">
        <v>9</v>
      </c>
      <c r="D495">
        <f>_xlfn.T.TEST(per_seed!$J$82:$J$91,per_seed!$J$102:$J$111,2,1)</f>
        <v>0.1773195454803265</v>
      </c>
      <c r="E495">
        <v>0.17731954548032691</v>
      </c>
    </row>
    <row r="496" spans="1:5">
      <c r="A496" t="s">
        <v>36</v>
      </c>
      <c r="B496" t="s">
        <v>46</v>
      </c>
      <c r="C496" t="s">
        <v>10</v>
      </c>
      <c r="D496">
        <f>(AVERAGE(per_seed!$K$102:$K$111)-AVERAGE(per_seed!$K$82:$K$91))/AVERAGE(per_seed!$K$82:$K$91)*100</f>
        <v>-6.4017939330266422</v>
      </c>
      <c r="E496">
        <v>-6.4017939330266422</v>
      </c>
    </row>
    <row r="497" spans="1:5">
      <c r="A497" t="s">
        <v>38</v>
      </c>
      <c r="B497" t="s">
        <v>46</v>
      </c>
      <c r="C497" t="s">
        <v>10</v>
      </c>
      <c r="D497">
        <f>_xlfn.T.TEST(per_seed!$K$82:$K$91,per_seed!$K$102:$K$111,2,1)</f>
        <v>5.4832613202723694E-2</v>
      </c>
      <c r="E497">
        <v>5.4832613202723389E-2</v>
      </c>
    </row>
    <row r="498" spans="1:5">
      <c r="A498" t="s">
        <v>36</v>
      </c>
      <c r="B498" t="s">
        <v>46</v>
      </c>
      <c r="C498" t="s">
        <v>11</v>
      </c>
      <c r="D498">
        <f>(AVERAGE(per_seed!$L$102:$L$111)-AVERAGE(per_seed!$L$82:$L$91))/AVERAGE(per_seed!$L$82:$L$91)*100</f>
        <v>-22.969294551823978</v>
      </c>
      <c r="E498">
        <v>-22.969294551823989</v>
      </c>
    </row>
    <row r="499" spans="1:5">
      <c r="A499" t="s">
        <v>38</v>
      </c>
      <c r="B499" t="s">
        <v>46</v>
      </c>
      <c r="C499" t="s">
        <v>11</v>
      </c>
      <c r="D499">
        <f>_xlfn.T.TEST(per_seed!$L$82:$L$91,per_seed!$L$102:$L$111,2,1)</f>
        <v>6.0593754262783293E-4</v>
      </c>
      <c r="E499">
        <v>6.0593754262783012E-4</v>
      </c>
    </row>
    <row r="500" spans="1:5">
      <c r="A500" t="s">
        <v>36</v>
      </c>
      <c r="B500" t="s">
        <v>46</v>
      </c>
      <c r="C500" t="s">
        <v>12</v>
      </c>
      <c r="D500">
        <f>(AVERAGE(per_seed!$M$102:$M$111)-AVERAGE(per_seed!$M$82:$M$91))/AVERAGE(per_seed!$M$82:$M$91)*100</f>
        <v>4122.6326385160464</v>
      </c>
      <c r="E500">
        <v>4122.6326385160464</v>
      </c>
    </row>
    <row r="501" spans="1:5">
      <c r="A501" t="s">
        <v>38</v>
      </c>
      <c r="B501" t="s">
        <v>46</v>
      </c>
      <c r="C501" t="s">
        <v>12</v>
      </c>
      <c r="D501">
        <f>_xlfn.T.TEST(per_seed!$M$82:$M$91,per_seed!$M$102:$M$111,2,1)</f>
        <v>3.108196253523687E-3</v>
      </c>
      <c r="E501">
        <v>3.108196253523687E-3</v>
      </c>
    </row>
    <row r="502" spans="1:5">
      <c r="A502" t="s">
        <v>36</v>
      </c>
      <c r="B502" t="s">
        <v>47</v>
      </c>
      <c r="C502" t="s">
        <v>3</v>
      </c>
      <c r="D502">
        <f>(AVERAGE(per_seed!$D$112:$D$121)-AVERAGE(per_seed!$D$82:$D$91))/AVERAGE(per_seed!$D$82:$D$91)*100</f>
        <v>-16.311263371320699</v>
      </c>
      <c r="E502">
        <v>-16.311263371320699</v>
      </c>
    </row>
    <row r="503" spans="1:5">
      <c r="A503" t="s">
        <v>38</v>
      </c>
      <c r="B503" t="s">
        <v>47</v>
      </c>
      <c r="C503" t="s">
        <v>3</v>
      </c>
      <c r="D503">
        <f>_xlfn.T.TEST(per_seed!$D$82:$D$91,per_seed!$D$112:$D$121,2,1)</f>
        <v>4.8060244167192727E-2</v>
      </c>
      <c r="E503">
        <v>4.8060244167192692E-2</v>
      </c>
    </row>
    <row r="504" spans="1:5">
      <c r="A504" t="s">
        <v>36</v>
      </c>
      <c r="B504" t="s">
        <v>47</v>
      </c>
      <c r="C504" t="s">
        <v>4</v>
      </c>
      <c r="D504">
        <f>(AVERAGE(per_seed!$E$112:$E$121)-AVERAGE(per_seed!$E$82:$E$91))/AVERAGE(per_seed!$E$82:$E$91)*100</f>
        <v>-16.152858060372523</v>
      </c>
      <c r="E504">
        <v>-16.15285806037252</v>
      </c>
    </row>
    <row r="505" spans="1:5">
      <c r="A505" t="s">
        <v>38</v>
      </c>
      <c r="B505" t="s">
        <v>47</v>
      </c>
      <c r="C505" t="s">
        <v>4</v>
      </c>
      <c r="D505">
        <f>_xlfn.T.TEST(per_seed!$E$82:$E$91,per_seed!$E$112:$E$121,2,1)</f>
        <v>4.9656257082978376E-2</v>
      </c>
      <c r="E505">
        <v>4.9656257082978501E-2</v>
      </c>
    </row>
    <row r="506" spans="1:5">
      <c r="A506" t="s">
        <v>36</v>
      </c>
      <c r="B506" t="s">
        <v>47</v>
      </c>
      <c r="C506" t="s">
        <v>5</v>
      </c>
      <c r="D506">
        <f>(AVERAGE(per_seed!$F$112:$F$121)-AVERAGE(per_seed!$F$82:$F$91))/AVERAGE(per_seed!$F$82:$F$91)*100</f>
        <v>-15.626594116646833</v>
      </c>
      <c r="E506">
        <v>-15.62659411664683</v>
      </c>
    </row>
    <row r="507" spans="1:5">
      <c r="A507" t="s">
        <v>38</v>
      </c>
      <c r="B507" t="s">
        <v>47</v>
      </c>
      <c r="C507" t="s">
        <v>5</v>
      </c>
      <c r="D507">
        <f>_xlfn.T.TEST(per_seed!$F$82:$F$91,per_seed!$F$112:$F$121,2,1)</f>
        <v>5.8201360373820302E-2</v>
      </c>
      <c r="E507">
        <v>5.8201360373820461E-2</v>
      </c>
    </row>
    <row r="508" spans="1:5">
      <c r="A508" t="s">
        <v>36</v>
      </c>
      <c r="B508" t="s">
        <v>47</v>
      </c>
      <c r="C508" t="s">
        <v>6</v>
      </c>
      <c r="D508">
        <f>(AVERAGE(per_seed!$G$112:$G$121)-AVERAGE(per_seed!$G$82:$G$91))/AVERAGE(per_seed!$G$82:$G$91)*100</f>
        <v>9.3137152449044596</v>
      </c>
      <c r="E508">
        <v>9.3137152449044596</v>
      </c>
    </row>
    <row r="509" spans="1:5">
      <c r="A509" t="s">
        <v>38</v>
      </c>
      <c r="B509" t="s">
        <v>47</v>
      </c>
      <c r="C509" t="s">
        <v>6</v>
      </c>
      <c r="D509">
        <f>_xlfn.T.TEST(per_seed!$G$82:$G$91,per_seed!$G$112:$G$121,2,1)</f>
        <v>1.1747922565550738E-5</v>
      </c>
      <c r="E509">
        <v>1.174792256555056E-5</v>
      </c>
    </row>
    <row r="510" spans="1:5">
      <c r="A510" t="s">
        <v>36</v>
      </c>
      <c r="B510" t="s">
        <v>47</v>
      </c>
      <c r="C510" t="s">
        <v>7</v>
      </c>
      <c r="D510">
        <f>(AVERAGE(per_seed!$H$112:$H$121)-AVERAGE(per_seed!$H$82:$H$91))/AVERAGE(per_seed!$H$82:$H$91)*100</f>
        <v>-22.797927461139889</v>
      </c>
      <c r="E510">
        <v>-22.797927461139889</v>
      </c>
    </row>
    <row r="511" spans="1:5">
      <c r="A511" t="s">
        <v>38</v>
      </c>
      <c r="B511" t="s">
        <v>47</v>
      </c>
      <c r="C511" t="s">
        <v>7</v>
      </c>
      <c r="D511">
        <f>_xlfn.T.TEST(per_seed!$H$82:$H$91,per_seed!$H$112:$H$121,2,1)</f>
        <v>5.9110003960460029E-3</v>
      </c>
      <c r="E511">
        <v>5.9110003960459907E-3</v>
      </c>
    </row>
    <row r="512" spans="1:5">
      <c r="A512" t="s">
        <v>36</v>
      </c>
      <c r="B512" t="s">
        <v>47</v>
      </c>
      <c r="C512" t="s">
        <v>8</v>
      </c>
      <c r="D512">
        <f>(AVERAGE(per_seed!$I$112:$I$121)-AVERAGE(per_seed!$I$82:$I$91))/AVERAGE(per_seed!$I$82:$I$91)*100</f>
        <v>-8.5418756810197767</v>
      </c>
      <c r="E512">
        <v>-8.5418756810197767</v>
      </c>
    </row>
    <row r="513" spans="1:5">
      <c r="A513" t="s">
        <v>38</v>
      </c>
      <c r="B513" t="s">
        <v>47</v>
      </c>
      <c r="C513" t="s">
        <v>8</v>
      </c>
      <c r="D513">
        <f>_xlfn.T.TEST(per_seed!$I$82:$I$91,per_seed!$I$112:$I$121,2,1)</f>
        <v>1.4027958367633216E-5</v>
      </c>
      <c r="E513">
        <v>1.402795836763359E-5</v>
      </c>
    </row>
    <row r="514" spans="1:5">
      <c r="A514" t="s">
        <v>36</v>
      </c>
      <c r="B514" t="s">
        <v>47</v>
      </c>
      <c r="C514" t="s">
        <v>9</v>
      </c>
      <c r="D514">
        <f>(AVERAGE(per_seed!$J$112:$J$121)-AVERAGE(per_seed!$J$82:$J$91))/AVERAGE(per_seed!$J$82:$J$91)*100</f>
        <v>-4.2590408854449056</v>
      </c>
      <c r="E514">
        <v>-4.2590408854449064</v>
      </c>
    </row>
    <row r="515" spans="1:5">
      <c r="A515" t="s">
        <v>38</v>
      </c>
      <c r="B515" t="s">
        <v>47</v>
      </c>
      <c r="C515" t="s">
        <v>9</v>
      </c>
      <c r="D515">
        <f>_xlfn.T.TEST(per_seed!$J$82:$J$91,per_seed!$J$112:$J$121,2,1)</f>
        <v>8.989961669309128E-2</v>
      </c>
      <c r="E515">
        <v>8.9899616693092335E-2</v>
      </c>
    </row>
    <row r="516" spans="1:5">
      <c r="A516" t="s">
        <v>36</v>
      </c>
      <c r="B516" t="s">
        <v>47</v>
      </c>
      <c r="C516" t="s">
        <v>10</v>
      </c>
      <c r="D516">
        <f>(AVERAGE(per_seed!$K$112:$K$121)-AVERAGE(per_seed!$K$82:$K$91))/AVERAGE(per_seed!$K$82:$K$91)*100</f>
        <v>-5.4224488828719002</v>
      </c>
      <c r="E516">
        <v>-5.4224488828719002</v>
      </c>
    </row>
    <row r="517" spans="1:5">
      <c r="A517" t="s">
        <v>38</v>
      </c>
      <c r="B517" t="s">
        <v>47</v>
      </c>
      <c r="C517" t="s">
        <v>10</v>
      </c>
      <c r="D517">
        <f>_xlfn.T.TEST(per_seed!$K$82:$K$91,per_seed!$K$112:$K$121,2,1)</f>
        <v>2.7093476146496983E-2</v>
      </c>
      <c r="E517">
        <v>2.709347614649716E-2</v>
      </c>
    </row>
    <row r="518" spans="1:5">
      <c r="A518" t="s">
        <v>36</v>
      </c>
      <c r="B518" t="s">
        <v>47</v>
      </c>
      <c r="C518" t="s">
        <v>11</v>
      </c>
      <c r="D518">
        <f>(AVERAGE(per_seed!$L$112:$L$121)-AVERAGE(per_seed!$L$82:$L$91))/AVERAGE(per_seed!$L$82:$L$91)*100</f>
        <v>-15.885963157313061</v>
      </c>
      <c r="E518">
        <v>-15.885963157313061</v>
      </c>
    </row>
    <row r="519" spans="1:5">
      <c r="A519" t="s">
        <v>38</v>
      </c>
      <c r="B519" t="s">
        <v>47</v>
      </c>
      <c r="C519" t="s">
        <v>11</v>
      </c>
      <c r="D519">
        <f>_xlfn.T.TEST(per_seed!$L$82:$L$91,per_seed!$L$112:$L$121,2,1)</f>
        <v>2.5157613144575115E-2</v>
      </c>
      <c r="E519">
        <v>2.5157613144575128E-2</v>
      </c>
    </row>
    <row r="520" spans="1:5">
      <c r="A520" t="s">
        <v>36</v>
      </c>
      <c r="B520" t="s">
        <v>47</v>
      </c>
      <c r="C520" t="s">
        <v>12</v>
      </c>
      <c r="D520">
        <f>(AVERAGE(per_seed!$M$112:$M$121)-AVERAGE(per_seed!$M$82:$M$91))/AVERAGE(per_seed!$M$82:$M$91)*100</f>
        <v>2198.2286765163749</v>
      </c>
      <c r="E520">
        <v>2198.2286765163758</v>
      </c>
    </row>
    <row r="521" spans="1:5">
      <c r="A521" t="s">
        <v>38</v>
      </c>
      <c r="B521" t="s">
        <v>47</v>
      </c>
      <c r="C521" t="s">
        <v>12</v>
      </c>
      <c r="D521">
        <f>_xlfn.T.TEST(per_seed!$M$82:$M$91,per_seed!$M$112:$M$121,2,1)</f>
        <v>4.8325927759835255E-2</v>
      </c>
      <c r="E521">
        <v>4.8325927759835137E-2</v>
      </c>
    </row>
    <row r="522" spans="1:5">
      <c r="A522" t="s">
        <v>36</v>
      </c>
      <c r="B522" t="s">
        <v>48</v>
      </c>
      <c r="C522" t="s">
        <v>3</v>
      </c>
      <c r="D522">
        <f>(AVERAGE(per_seed!$D$122:$D$131)-AVERAGE(per_seed!$D$82:$D$91))/AVERAGE(per_seed!$D$82:$D$91)*100</f>
        <v>-1.3493672656086104</v>
      </c>
      <c r="E522">
        <v>-1.34936726560861</v>
      </c>
    </row>
    <row r="523" spans="1:5">
      <c r="A523" t="s">
        <v>38</v>
      </c>
      <c r="B523" t="s">
        <v>48</v>
      </c>
      <c r="C523" t="s">
        <v>3</v>
      </c>
      <c r="D523">
        <f>_xlfn.T.TEST(per_seed!$D$82:$D$91,per_seed!$D$122:$D$131,2,1)</f>
        <v>0.24873967397804631</v>
      </c>
      <c r="E523">
        <v>0.24873967397804531</v>
      </c>
    </row>
    <row r="524" spans="1:5">
      <c r="A524" t="s">
        <v>36</v>
      </c>
      <c r="B524" t="s">
        <v>48</v>
      </c>
      <c r="C524" t="s">
        <v>4</v>
      </c>
      <c r="D524">
        <f>(AVERAGE(per_seed!$E$122:$E$131)-AVERAGE(per_seed!$E$82:$E$91))/AVERAGE(per_seed!$E$82:$E$91)*100</f>
        <v>-0.93127809890816149</v>
      </c>
      <c r="E524">
        <v>-0.93127809890816149</v>
      </c>
    </row>
    <row r="525" spans="1:5">
      <c r="A525" t="s">
        <v>38</v>
      </c>
      <c r="B525" t="s">
        <v>48</v>
      </c>
      <c r="C525" t="s">
        <v>4</v>
      </c>
      <c r="D525">
        <f>_xlfn.T.TEST(per_seed!$E$82:$E$91,per_seed!$E$122:$E$131,2,1)</f>
        <v>0.45138109333506349</v>
      </c>
      <c r="E525">
        <v>0.45138109333506549</v>
      </c>
    </row>
    <row r="526" spans="1:5">
      <c r="A526" t="s">
        <v>36</v>
      </c>
      <c r="B526" t="s">
        <v>48</v>
      </c>
      <c r="C526" t="s">
        <v>5</v>
      </c>
      <c r="D526">
        <f>(AVERAGE(per_seed!$F$122:$F$131)-AVERAGE(per_seed!$F$82:$F$91))/AVERAGE(per_seed!$F$82:$F$91)*100</f>
        <v>-0.42509777248767217</v>
      </c>
      <c r="E526">
        <v>-0.42509777248767222</v>
      </c>
    </row>
    <row r="527" spans="1:5">
      <c r="A527" t="s">
        <v>38</v>
      </c>
      <c r="B527" t="s">
        <v>48</v>
      </c>
      <c r="C527" t="s">
        <v>5</v>
      </c>
      <c r="D527">
        <f>_xlfn.T.TEST(per_seed!$F$82:$F$91,per_seed!$F$122:$F$131,2,1)</f>
        <v>0.74388131585877204</v>
      </c>
      <c r="E527">
        <v>0.74388131585877082</v>
      </c>
    </row>
    <row r="528" spans="1:5">
      <c r="A528" t="s">
        <v>36</v>
      </c>
      <c r="B528" t="s">
        <v>48</v>
      </c>
      <c r="C528" t="s">
        <v>6</v>
      </c>
      <c r="D528">
        <f>(AVERAGE(per_seed!$G$122:$G$131)-AVERAGE(per_seed!$G$82:$G$91))/AVERAGE(per_seed!$G$82:$G$91)*100</f>
        <v>11.309327717733252</v>
      </c>
      <c r="E528">
        <v>11.309327717733231</v>
      </c>
    </row>
    <row r="529" spans="1:5">
      <c r="A529" t="s">
        <v>38</v>
      </c>
      <c r="B529" t="s">
        <v>48</v>
      </c>
      <c r="C529" t="s">
        <v>6</v>
      </c>
      <c r="D529">
        <f>_xlfn.T.TEST(per_seed!$G$82:$G$91,per_seed!$G$122:$G$131,2,1)</f>
        <v>2.5904866503109963E-6</v>
      </c>
      <c r="E529">
        <v>2.5904866503110348E-6</v>
      </c>
    </row>
    <row r="530" spans="1:5">
      <c r="A530" t="s">
        <v>36</v>
      </c>
      <c r="B530" t="s">
        <v>48</v>
      </c>
      <c r="C530" t="s">
        <v>7</v>
      </c>
      <c r="D530">
        <f>(AVERAGE(per_seed!$H$122:$H$131)-AVERAGE(per_seed!$H$82:$H$91))/AVERAGE(per_seed!$H$82:$H$91)*100</f>
        <v>-10.53540587219344</v>
      </c>
      <c r="E530">
        <v>-10.53540587219344</v>
      </c>
    </row>
    <row r="531" spans="1:5">
      <c r="A531" t="s">
        <v>38</v>
      </c>
      <c r="B531" t="s">
        <v>48</v>
      </c>
      <c r="C531" t="s">
        <v>7</v>
      </c>
      <c r="D531">
        <f>_xlfn.T.TEST(per_seed!$H$82:$H$91,per_seed!$H$122:$H$131,2,1)</f>
        <v>2.0758482413759374E-6</v>
      </c>
      <c r="E531">
        <v>2.0758482413759362E-6</v>
      </c>
    </row>
    <row r="532" spans="1:5">
      <c r="A532" t="s">
        <v>36</v>
      </c>
      <c r="B532" t="s">
        <v>48</v>
      </c>
      <c r="C532" t="s">
        <v>8</v>
      </c>
      <c r="D532">
        <f>(AVERAGE(per_seed!$I$122:$I$131)-AVERAGE(per_seed!$I$82:$I$91))/AVERAGE(per_seed!$I$82:$I$91)*100</f>
        <v>-10.132848239731995</v>
      </c>
      <c r="E532">
        <v>-10.132848239731979</v>
      </c>
    </row>
    <row r="533" spans="1:5">
      <c r="A533" t="s">
        <v>38</v>
      </c>
      <c r="B533" t="s">
        <v>48</v>
      </c>
      <c r="C533" t="s">
        <v>8</v>
      </c>
      <c r="D533">
        <f>_xlfn.T.TEST(per_seed!$I$82:$I$91,per_seed!$I$122:$I$131,2,1)</f>
        <v>2.4719793764378364E-6</v>
      </c>
      <c r="E533">
        <v>2.4719793764378469E-6</v>
      </c>
    </row>
    <row r="534" spans="1:5">
      <c r="A534" t="s">
        <v>36</v>
      </c>
      <c r="B534" t="s">
        <v>48</v>
      </c>
      <c r="C534" t="s">
        <v>9</v>
      </c>
      <c r="D534">
        <f>(AVERAGE(per_seed!$J$122:$J$131)-AVERAGE(per_seed!$J$82:$J$91))/AVERAGE(per_seed!$J$82:$J$91)*100</f>
        <v>-3.5459693311055385</v>
      </c>
      <c r="E534">
        <v>-3.5459693311055211</v>
      </c>
    </row>
    <row r="535" spans="1:5">
      <c r="A535" t="s">
        <v>38</v>
      </c>
      <c r="B535" t="s">
        <v>48</v>
      </c>
      <c r="C535" t="s">
        <v>9</v>
      </c>
      <c r="D535">
        <f>_xlfn.T.TEST(per_seed!$J$82:$J$91,per_seed!$J$122:$J$131,2,1)</f>
        <v>3.2157807948117382E-3</v>
      </c>
      <c r="E535">
        <v>3.2157807948119382E-3</v>
      </c>
    </row>
    <row r="536" spans="1:5">
      <c r="A536" t="s">
        <v>36</v>
      </c>
      <c r="B536" t="s">
        <v>48</v>
      </c>
      <c r="C536" t="s">
        <v>10</v>
      </c>
      <c r="D536">
        <f>(AVERAGE(per_seed!$K$122:$K$131)-AVERAGE(per_seed!$K$82:$K$91))/AVERAGE(per_seed!$K$82:$K$91)*100</f>
        <v>-5.6210707070898289</v>
      </c>
      <c r="E536">
        <v>-5.6210707070898458</v>
      </c>
    </row>
    <row r="537" spans="1:5">
      <c r="A537" t="s">
        <v>38</v>
      </c>
      <c r="B537" t="s">
        <v>48</v>
      </c>
      <c r="C537" t="s">
        <v>10</v>
      </c>
      <c r="D537">
        <f>_xlfn.T.TEST(per_seed!$K$82:$K$91,per_seed!$K$122:$K$131,2,1)</f>
        <v>1.3380039397393312E-4</v>
      </c>
      <c r="E537">
        <v>1.338003939739313E-4</v>
      </c>
    </row>
    <row r="538" spans="1:5">
      <c r="A538" t="s">
        <v>36</v>
      </c>
      <c r="B538" t="s">
        <v>48</v>
      </c>
      <c r="C538" t="s">
        <v>11</v>
      </c>
      <c r="D538">
        <f>(AVERAGE(per_seed!$L$122:$L$131)-AVERAGE(per_seed!$L$82:$L$91))/AVERAGE(per_seed!$L$82:$L$91)*100</f>
        <v>-10.291141066441684</v>
      </c>
      <c r="E538">
        <v>-10.29114106644168</v>
      </c>
    </row>
    <row r="539" spans="1:5">
      <c r="A539" t="s">
        <v>38</v>
      </c>
      <c r="B539" t="s">
        <v>48</v>
      </c>
      <c r="C539" t="s">
        <v>11</v>
      </c>
      <c r="D539">
        <f>_xlfn.T.TEST(per_seed!$L$82:$L$91,per_seed!$L$122:$L$131,2,1)</f>
        <v>8.4578028055693161E-4</v>
      </c>
      <c r="E539">
        <v>8.4578028055693442E-4</v>
      </c>
    </row>
    <row r="540" spans="1:5">
      <c r="A540" t="s">
        <v>36</v>
      </c>
      <c r="B540" t="s">
        <v>48</v>
      </c>
      <c r="C540" t="s">
        <v>12</v>
      </c>
      <c r="D540">
        <f>(AVERAGE(per_seed!$M$122:$M$131)-AVERAGE(per_seed!$M$82:$M$91))/AVERAGE(per_seed!$M$82:$M$91)*100</f>
        <v>182.79046336067017</v>
      </c>
      <c r="E540">
        <v>182.79046336067009</v>
      </c>
    </row>
    <row r="541" spans="1:5">
      <c r="A541" t="s">
        <v>38</v>
      </c>
      <c r="B541" t="s">
        <v>48</v>
      </c>
      <c r="C541" t="s">
        <v>12</v>
      </c>
      <c r="D541">
        <f>_xlfn.T.TEST(per_seed!$M$82:$M$91,per_seed!$M$122:$M$131,2,1)</f>
        <v>0.24362889762481199</v>
      </c>
      <c r="E541">
        <v>0.24362889762481199</v>
      </c>
    </row>
    <row r="542" spans="1:5">
      <c r="A542" t="s">
        <v>36</v>
      </c>
      <c r="B542" t="s">
        <v>49</v>
      </c>
      <c r="C542" t="s">
        <v>3</v>
      </c>
      <c r="D542">
        <f>(AVERAGE(per_seed!$D$132:$D$141)-AVERAGE(per_seed!$D$82:$D$91))/AVERAGE(per_seed!$D$82:$D$91)*100</f>
        <v>-0.1188561840173422</v>
      </c>
      <c r="E542">
        <v>-0.1188561840173422</v>
      </c>
    </row>
    <row r="543" spans="1:5">
      <c r="A543" t="s">
        <v>38</v>
      </c>
      <c r="B543" t="s">
        <v>49</v>
      </c>
      <c r="C543" t="s">
        <v>3</v>
      </c>
      <c r="D543">
        <f>_xlfn.T.TEST(per_seed!$D$82:$D$91,per_seed!$D$132:$D$141,2,1)</f>
        <v>1.0765027603852948E-4</v>
      </c>
      <c r="E543">
        <v>1.076502760385513E-4</v>
      </c>
    </row>
    <row r="544" spans="1:5">
      <c r="A544" t="s">
        <v>36</v>
      </c>
      <c r="B544" t="s">
        <v>49</v>
      </c>
      <c r="C544" t="s">
        <v>4</v>
      </c>
      <c r="D544">
        <f>(AVERAGE(per_seed!$E$132:$E$141)-AVERAGE(per_seed!$E$82:$E$91))/AVERAGE(per_seed!$E$82:$E$91)*100</f>
        <v>-2.1408691928928008E-2</v>
      </c>
      <c r="E544">
        <v>-2.1408691928928011E-2</v>
      </c>
    </row>
    <row r="545" spans="1:5">
      <c r="A545" t="s">
        <v>38</v>
      </c>
      <c r="B545" t="s">
        <v>49</v>
      </c>
      <c r="C545" t="s">
        <v>4</v>
      </c>
      <c r="D545">
        <f>_xlfn.T.TEST(per_seed!$E$82:$E$91,per_seed!$E$132:$E$141,2,1)</f>
        <v>0.93585335968524452</v>
      </c>
      <c r="E545">
        <v>0.93585335968526073</v>
      </c>
    </row>
    <row r="546" spans="1:5">
      <c r="A546" t="s">
        <v>36</v>
      </c>
      <c r="B546" t="s">
        <v>49</v>
      </c>
      <c r="C546" t="s">
        <v>5</v>
      </c>
      <c r="D546">
        <f>(AVERAGE(per_seed!$F$132:$F$141)-AVERAGE(per_seed!$F$82:$F$91))/AVERAGE(per_seed!$F$82:$F$91)*100</f>
        <v>0.49311341608569581</v>
      </c>
      <c r="E546">
        <v>0.49311341608569581</v>
      </c>
    </row>
    <row r="547" spans="1:5">
      <c r="A547" t="s">
        <v>38</v>
      </c>
      <c r="B547" t="s">
        <v>49</v>
      </c>
      <c r="C547" t="s">
        <v>5</v>
      </c>
      <c r="D547">
        <f>_xlfn.T.TEST(per_seed!$F$82:$F$91,per_seed!$F$132:$F$141,2,1)</f>
        <v>0.37183724661395623</v>
      </c>
      <c r="E547">
        <v>0.37183724661395251</v>
      </c>
    </row>
    <row r="548" spans="1:5">
      <c r="A548" t="s">
        <v>36</v>
      </c>
      <c r="B548" t="s">
        <v>49</v>
      </c>
      <c r="C548" t="s">
        <v>6</v>
      </c>
      <c r="D548">
        <f>(AVERAGE(per_seed!$G$132:$G$141)-AVERAGE(per_seed!$G$82:$G$91))/AVERAGE(per_seed!$G$82:$G$91)*100</f>
        <v>9.4570584157711188</v>
      </c>
      <c r="E548">
        <v>9.4570584157711366</v>
      </c>
    </row>
    <row r="549" spans="1:5">
      <c r="A549" t="s">
        <v>38</v>
      </c>
      <c r="B549" t="s">
        <v>49</v>
      </c>
      <c r="C549" t="s">
        <v>6</v>
      </c>
      <c r="D549">
        <f>_xlfn.T.TEST(per_seed!$G$82:$G$91,per_seed!$G$132:$G$141,2,1)</f>
        <v>1.8985716386287285E-7</v>
      </c>
      <c r="E549">
        <v>1.8985716386286959E-7</v>
      </c>
    </row>
    <row r="550" spans="1:5">
      <c r="A550" t="s">
        <v>36</v>
      </c>
      <c r="B550" t="s">
        <v>49</v>
      </c>
      <c r="C550" t="s">
        <v>7</v>
      </c>
      <c r="D550">
        <f>(AVERAGE(per_seed!$H$132:$H$141)-AVERAGE(per_seed!$H$82:$H$91))/AVERAGE(per_seed!$H$82:$H$91)*100</f>
        <v>-8.2037996545768568</v>
      </c>
      <c r="E550">
        <v>-8.2037996545768568</v>
      </c>
    </row>
    <row r="551" spans="1:5">
      <c r="A551" t="s">
        <v>38</v>
      </c>
      <c r="B551" t="s">
        <v>49</v>
      </c>
      <c r="C551" t="s">
        <v>7</v>
      </c>
      <c r="D551">
        <f>_xlfn.T.TEST(per_seed!$H$82:$H$91,per_seed!$H$132:$H$141,2,1)</f>
        <v>4.0254971674075867E-8</v>
      </c>
      <c r="E551">
        <v>4.0254971674075542E-8</v>
      </c>
    </row>
    <row r="552" spans="1:5">
      <c r="A552" t="s">
        <v>36</v>
      </c>
      <c r="B552" t="s">
        <v>49</v>
      </c>
      <c r="C552" t="s">
        <v>8</v>
      </c>
      <c r="D552">
        <f>(AVERAGE(per_seed!$I$132:$I$141)-AVERAGE(per_seed!$I$82:$I$91))/AVERAGE(per_seed!$I$82:$I$91)*100</f>
        <v>-8.6723114876801475</v>
      </c>
      <c r="E552">
        <v>-8.6723114876801599</v>
      </c>
    </row>
    <row r="553" spans="1:5">
      <c r="A553" t="s">
        <v>38</v>
      </c>
      <c r="B553" t="s">
        <v>49</v>
      </c>
      <c r="C553" t="s">
        <v>8</v>
      </c>
      <c r="D553">
        <f>_xlfn.T.TEST(per_seed!$I$82:$I$91,per_seed!$I$132:$I$141,2,1)</f>
        <v>3.755758270555231E-7</v>
      </c>
      <c r="E553">
        <v>3.7557582705552612E-7</v>
      </c>
    </row>
    <row r="554" spans="1:5">
      <c r="A554" t="s">
        <v>36</v>
      </c>
      <c r="B554" t="s">
        <v>49</v>
      </c>
      <c r="C554" t="s">
        <v>9</v>
      </c>
      <c r="D554">
        <f>(AVERAGE(per_seed!$J$132:$J$141)-AVERAGE(per_seed!$J$82:$J$91))/AVERAGE(per_seed!$J$82:$J$91)*100</f>
        <v>-1.941918704574356</v>
      </c>
      <c r="E554">
        <v>-1.9419187045743731</v>
      </c>
    </row>
    <row r="555" spans="1:5">
      <c r="A555" t="s">
        <v>38</v>
      </c>
      <c r="B555" t="s">
        <v>49</v>
      </c>
      <c r="C555" t="s">
        <v>9</v>
      </c>
      <c r="D555">
        <f>_xlfn.T.TEST(per_seed!$J$82:$J$91,per_seed!$J$132:$J$141,2,1)</f>
        <v>6.5566036793319044E-2</v>
      </c>
      <c r="E555">
        <v>6.5566036793316795E-2</v>
      </c>
    </row>
    <row r="556" spans="1:5">
      <c r="A556" t="s">
        <v>36</v>
      </c>
      <c r="B556" t="s">
        <v>49</v>
      </c>
      <c r="C556" t="s">
        <v>10</v>
      </c>
      <c r="D556">
        <f>(AVERAGE(per_seed!$K$132:$K$141)-AVERAGE(per_seed!$K$82:$K$91))/AVERAGE(per_seed!$K$82:$K$91)*100</f>
        <v>-4.0741942079516136</v>
      </c>
      <c r="E556">
        <v>-4.0741942079516136</v>
      </c>
    </row>
    <row r="557" spans="1:5">
      <c r="A557" t="s">
        <v>38</v>
      </c>
      <c r="B557" t="s">
        <v>49</v>
      </c>
      <c r="C557" t="s">
        <v>10</v>
      </c>
      <c r="D557">
        <f>_xlfn.T.TEST(per_seed!$K$82:$K$91,per_seed!$K$132:$K$141,2,1)</f>
        <v>4.7494039971156292E-4</v>
      </c>
      <c r="E557">
        <v>4.7494039971155788E-4</v>
      </c>
    </row>
    <row r="558" spans="1:5">
      <c r="A558" t="s">
        <v>36</v>
      </c>
      <c r="B558" t="s">
        <v>49</v>
      </c>
      <c r="C558" t="s">
        <v>11</v>
      </c>
      <c r="D558">
        <f>(AVERAGE(per_seed!$L$132:$L$141)-AVERAGE(per_seed!$L$82:$L$91))/AVERAGE(per_seed!$L$82:$L$91)*100</f>
        <v>-4.1593575074653373</v>
      </c>
      <c r="E558">
        <v>-4.1593575074653373</v>
      </c>
    </row>
    <row r="559" spans="1:5">
      <c r="A559" t="s">
        <v>38</v>
      </c>
      <c r="B559" t="s">
        <v>49</v>
      </c>
      <c r="C559" t="s">
        <v>11</v>
      </c>
      <c r="D559">
        <f>_xlfn.T.TEST(per_seed!$L$82:$L$91,per_seed!$L$132:$L$141,2,1)</f>
        <v>0.2166768612963216</v>
      </c>
      <c r="E559">
        <v>0.2166768612963213</v>
      </c>
    </row>
    <row r="560" spans="1:5">
      <c r="A560" t="s">
        <v>36</v>
      </c>
      <c r="B560" t="s">
        <v>49</v>
      </c>
      <c r="C560" t="s">
        <v>12</v>
      </c>
      <c r="D560">
        <f>(AVERAGE(per_seed!$M$132:$M$141)-AVERAGE(per_seed!$M$82:$M$91))/AVERAGE(per_seed!$M$82:$M$91)*100</f>
        <v>14.712055067564242</v>
      </c>
      <c r="E560">
        <v>14.712055067564229</v>
      </c>
    </row>
    <row r="561" spans="1:5">
      <c r="A561" t="s">
        <v>38</v>
      </c>
      <c r="B561" t="s">
        <v>49</v>
      </c>
      <c r="C561" t="s">
        <v>12</v>
      </c>
      <c r="D561">
        <f>_xlfn.T.TEST(per_seed!$M$82:$M$91,per_seed!$M$132:$M$141,2,1)</f>
        <v>5.1856488089993948E-4</v>
      </c>
      <c r="E561">
        <v>5.1856488089993796E-4</v>
      </c>
    </row>
    <row r="562" spans="1:5">
      <c r="A562" t="s">
        <v>36</v>
      </c>
      <c r="B562" t="s">
        <v>50</v>
      </c>
      <c r="C562" t="s">
        <v>3</v>
      </c>
      <c r="D562">
        <f>(AVERAGE(per_seed!$D$142:$D$151)-AVERAGE(per_seed!$D$82:$D$91))/AVERAGE(per_seed!$D$82:$D$91)*100</f>
        <v>-0.13283926448995761</v>
      </c>
      <c r="E562">
        <v>-0.13283926448995759</v>
      </c>
    </row>
    <row r="563" spans="1:5">
      <c r="A563" t="s">
        <v>38</v>
      </c>
      <c r="B563" t="s">
        <v>50</v>
      </c>
      <c r="C563" t="s">
        <v>3</v>
      </c>
      <c r="D563">
        <f>_xlfn.T.TEST(per_seed!$D$82:$D$91,per_seed!$D$142:$D$151,2,1)</f>
        <v>3.391670226796057E-3</v>
      </c>
      <c r="E563">
        <v>3.3916702267946051E-3</v>
      </c>
    </row>
    <row r="564" spans="1:5">
      <c r="A564" t="s">
        <v>36</v>
      </c>
      <c r="B564" t="s">
        <v>50</v>
      </c>
      <c r="C564" t="s">
        <v>4</v>
      </c>
      <c r="D564">
        <f>(AVERAGE(per_seed!$E$142:$E$151)-AVERAGE(per_seed!$E$82:$E$91))/AVERAGE(per_seed!$E$82:$E$91)*100</f>
        <v>-4.2817383857856016E-2</v>
      </c>
      <c r="E564">
        <v>-4.2817383857856023E-2</v>
      </c>
    </row>
    <row r="565" spans="1:5">
      <c r="A565" t="s">
        <v>38</v>
      </c>
      <c r="B565" t="s">
        <v>50</v>
      </c>
      <c r="C565" t="s">
        <v>4</v>
      </c>
      <c r="D565">
        <f>_xlfn.T.TEST(per_seed!$E$82:$E$91,per_seed!$E$142:$E$151,2,1)</f>
        <v>0.73741381030200581</v>
      </c>
      <c r="E565">
        <v>0.73741381030206443</v>
      </c>
    </row>
    <row r="566" spans="1:5">
      <c r="A566" t="s">
        <v>36</v>
      </c>
      <c r="B566" t="s">
        <v>50</v>
      </c>
      <c r="C566" t="s">
        <v>5</v>
      </c>
      <c r="D566">
        <f>(AVERAGE(per_seed!$F$142:$F$151)-AVERAGE(per_seed!$F$82:$F$91))/AVERAGE(per_seed!$F$82:$F$91)*100</f>
        <v>0.56112905968371951</v>
      </c>
      <c r="E566">
        <v>0.56112905968371951</v>
      </c>
    </row>
    <row r="567" spans="1:5">
      <c r="A567" t="s">
        <v>38</v>
      </c>
      <c r="B567" t="s">
        <v>50</v>
      </c>
      <c r="C567" t="s">
        <v>5</v>
      </c>
      <c r="D567">
        <f>_xlfn.T.TEST(per_seed!$F$82:$F$91,per_seed!$F$142:$F$151,2,1)</f>
        <v>0.14649074424366476</v>
      </c>
      <c r="E567">
        <v>0.14649074424365949</v>
      </c>
    </row>
    <row r="568" spans="1:5">
      <c r="A568" t="s">
        <v>36</v>
      </c>
      <c r="B568" t="s">
        <v>50</v>
      </c>
      <c r="C568" t="s">
        <v>6</v>
      </c>
      <c r="D568">
        <f>(AVERAGE(per_seed!$G$142:$G$151)-AVERAGE(per_seed!$G$82:$G$91))/AVERAGE(per_seed!$G$82:$G$91)*100</f>
        <v>10.997060714145782</v>
      </c>
      <c r="E568">
        <v>10.99706071414578</v>
      </c>
    </row>
    <row r="569" spans="1:5">
      <c r="A569" t="s">
        <v>38</v>
      </c>
      <c r="B569" t="s">
        <v>50</v>
      </c>
      <c r="C569" t="s">
        <v>6</v>
      </c>
      <c r="D569">
        <f>_xlfn.T.TEST(per_seed!$G$82:$G$91,per_seed!$G$142:$G$151,2,1)</f>
        <v>5.7652686845663271E-6</v>
      </c>
      <c r="E569">
        <v>5.765268684566372E-6</v>
      </c>
    </row>
    <row r="570" spans="1:5">
      <c r="A570" t="s">
        <v>36</v>
      </c>
      <c r="B570" t="s">
        <v>50</v>
      </c>
      <c r="C570" t="s">
        <v>7</v>
      </c>
      <c r="D570">
        <f>(AVERAGE(per_seed!$H$142:$H$151)-AVERAGE(per_seed!$H$82:$H$91))/AVERAGE(per_seed!$H$82:$H$91)*100</f>
        <v>-9.3264248704663189</v>
      </c>
      <c r="E570">
        <v>-9.3264248704663189</v>
      </c>
    </row>
    <row r="571" spans="1:5">
      <c r="A571" t="s">
        <v>38</v>
      </c>
      <c r="B571" t="s">
        <v>50</v>
      </c>
      <c r="C571" t="s">
        <v>7</v>
      </c>
      <c r="D571">
        <f>_xlfn.T.TEST(per_seed!$H$82:$H$91,per_seed!$H$142:$H$151,2,1)</f>
        <v>3.3869533035869981E-6</v>
      </c>
      <c r="E571">
        <v>3.386953303586982E-6</v>
      </c>
    </row>
    <row r="572" spans="1:5">
      <c r="A572" t="s">
        <v>36</v>
      </c>
      <c r="B572" t="s">
        <v>50</v>
      </c>
      <c r="C572" t="s">
        <v>8</v>
      </c>
      <c r="D572">
        <f>(AVERAGE(per_seed!$I$142:$I$151)-AVERAGE(per_seed!$I$82:$I$91))/AVERAGE(per_seed!$I$82:$I$91)*100</f>
        <v>-9.8190333602544158</v>
      </c>
      <c r="E572">
        <v>-9.8190333602544158</v>
      </c>
    </row>
    <row r="573" spans="1:5">
      <c r="A573" t="s">
        <v>38</v>
      </c>
      <c r="B573" t="s">
        <v>50</v>
      </c>
      <c r="C573" t="s">
        <v>8</v>
      </c>
      <c r="D573">
        <f>_xlfn.T.TEST(per_seed!$I$82:$I$91,per_seed!$I$142:$I$151,2,1)</f>
        <v>2.1260232542973627E-6</v>
      </c>
      <c r="E573">
        <v>2.1260232542973301E-6</v>
      </c>
    </row>
    <row r="574" spans="1:5">
      <c r="A574" t="s">
        <v>36</v>
      </c>
      <c r="B574" t="s">
        <v>50</v>
      </c>
      <c r="C574" t="s">
        <v>9</v>
      </c>
      <c r="D574">
        <f>(AVERAGE(per_seed!$J$142:$J$151)-AVERAGE(per_seed!$J$82:$J$91))/AVERAGE(per_seed!$J$82:$J$91)*100</f>
        <v>-1.9727791223450655</v>
      </c>
      <c r="E574">
        <v>-1.972779122345065</v>
      </c>
    </row>
    <row r="575" spans="1:5">
      <c r="A575" t="s">
        <v>38</v>
      </c>
      <c r="B575" t="s">
        <v>50</v>
      </c>
      <c r="C575" t="s">
        <v>9</v>
      </c>
      <c r="D575">
        <f>_xlfn.T.TEST(per_seed!$J$82:$J$91,per_seed!$J$142:$J$151,2,1)</f>
        <v>4.8101483232562844E-2</v>
      </c>
      <c r="E575">
        <v>4.8101483232565002E-2</v>
      </c>
    </row>
    <row r="576" spans="1:5">
      <c r="A576" t="s">
        <v>36</v>
      </c>
      <c r="B576" t="s">
        <v>50</v>
      </c>
      <c r="C576" t="s">
        <v>10</v>
      </c>
      <c r="D576">
        <f>(AVERAGE(per_seed!$K$142:$K$151)-AVERAGE(per_seed!$K$82:$K$91))/AVERAGE(per_seed!$K$82:$K$91)*100</f>
        <v>-3.991303898285306</v>
      </c>
      <c r="E576">
        <v>-3.991303898285306</v>
      </c>
    </row>
    <row r="577" spans="1:5">
      <c r="A577" t="s">
        <v>38</v>
      </c>
      <c r="B577" t="s">
        <v>50</v>
      </c>
      <c r="C577" t="s">
        <v>10</v>
      </c>
      <c r="D577">
        <f>_xlfn.T.TEST(per_seed!$K$82:$K$91,per_seed!$K$142:$K$151,2,1)</f>
        <v>2.061534151047313E-3</v>
      </c>
      <c r="E577">
        <v>2.0615341510473E-3</v>
      </c>
    </row>
    <row r="578" spans="1:5">
      <c r="A578" t="s">
        <v>36</v>
      </c>
      <c r="B578" t="s">
        <v>50</v>
      </c>
      <c r="C578" t="s">
        <v>11</v>
      </c>
      <c r="D578">
        <f>(AVERAGE(per_seed!$L$142:$L$151)-AVERAGE(per_seed!$L$82:$L$91))/AVERAGE(per_seed!$L$82:$L$91)*100</f>
        <v>-8.1139810061340949</v>
      </c>
      <c r="E578">
        <v>-8.1139810061340949</v>
      </c>
    </row>
    <row r="579" spans="1:5">
      <c r="A579" t="s">
        <v>38</v>
      </c>
      <c r="B579" t="s">
        <v>50</v>
      </c>
      <c r="C579" t="s">
        <v>11</v>
      </c>
      <c r="D579">
        <f>_xlfn.T.TEST(per_seed!$L$82:$L$91,per_seed!$L$142:$L$151,2,1)</f>
        <v>4.6918606844895717E-3</v>
      </c>
      <c r="E579">
        <v>4.6918606844895397E-3</v>
      </c>
    </row>
    <row r="580" spans="1:5">
      <c r="A580" t="s">
        <v>36</v>
      </c>
      <c r="B580" t="s">
        <v>50</v>
      </c>
      <c r="C580" t="s">
        <v>12</v>
      </c>
      <c r="D580">
        <f>(AVERAGE(per_seed!$M$142:$M$151)-AVERAGE(per_seed!$M$82:$M$91))/AVERAGE(per_seed!$M$82:$M$91)*100</f>
        <v>19.396406980679409</v>
      </c>
      <c r="E580">
        <v>19.396406980679409</v>
      </c>
    </row>
    <row r="581" spans="1:5">
      <c r="A581" t="s">
        <v>38</v>
      </c>
      <c r="B581" t="s">
        <v>50</v>
      </c>
      <c r="C581" t="s">
        <v>12</v>
      </c>
      <c r="D581">
        <f>_xlfn.T.TEST(per_seed!$M$82:$M$91,per_seed!$M$142:$M$151,2,1)</f>
        <v>2.5802258786336357E-4</v>
      </c>
      <c r="E581">
        <v>2.5802258786336281E-4</v>
      </c>
    </row>
    <row r="582" spans="1:5">
      <c r="A582" t="s">
        <v>36</v>
      </c>
      <c r="B582" t="s">
        <v>51</v>
      </c>
      <c r="C582" t="s">
        <v>3</v>
      </c>
      <c r="D582">
        <f>(AVERAGE(per_seed!$D$152:$D$161)-AVERAGE(per_seed!$D$82:$D$91))/AVERAGE(per_seed!$D$82:$D$91)*100</f>
        <v>-0.13283926448995761</v>
      </c>
      <c r="E582">
        <v>-0.13283926448995759</v>
      </c>
    </row>
    <row r="583" spans="1:5">
      <c r="A583" t="s">
        <v>38</v>
      </c>
      <c r="B583" t="s">
        <v>51</v>
      </c>
      <c r="C583" t="s">
        <v>3</v>
      </c>
      <c r="D583">
        <f>_xlfn.T.TEST(per_seed!$D$82:$D$91,per_seed!$D$152:$D$161,2,1)</f>
        <v>4.0062949033574754E-4</v>
      </c>
      <c r="E583">
        <v>4.0062949033554382E-4</v>
      </c>
    </row>
    <row r="584" spans="1:5">
      <c r="A584" t="s">
        <v>36</v>
      </c>
      <c r="B584" t="s">
        <v>51</v>
      </c>
      <c r="C584" t="s">
        <v>4</v>
      </c>
      <c r="D584">
        <f>(AVERAGE(per_seed!$E$152:$E$161)-AVERAGE(per_seed!$E$82:$E$91))/AVERAGE(per_seed!$E$82:$E$91)*100</f>
        <v>-5.3521729822307858E-2</v>
      </c>
      <c r="E584">
        <v>-5.3521729822307858E-2</v>
      </c>
    </row>
    <row r="585" spans="1:5">
      <c r="A585" t="s">
        <v>38</v>
      </c>
      <c r="B585" t="s">
        <v>51</v>
      </c>
      <c r="C585" t="s">
        <v>4</v>
      </c>
      <c r="D585">
        <f>_xlfn.T.TEST(per_seed!$E$82:$E$91,per_seed!$E$152:$E$161,2,1)</f>
        <v>0.54369604466407084</v>
      </c>
      <c r="E585">
        <v>0.54369604466407617</v>
      </c>
    </row>
    <row r="586" spans="1:5">
      <c r="A586" t="s">
        <v>36</v>
      </c>
      <c r="B586" t="s">
        <v>51</v>
      </c>
      <c r="C586" t="s">
        <v>5</v>
      </c>
      <c r="D586">
        <f>(AVERAGE(per_seed!$F$152:$F$161)-AVERAGE(per_seed!$F$82:$F$91))/AVERAGE(per_seed!$F$82:$F$91)*100</f>
        <v>0.64614861418125391</v>
      </c>
      <c r="E586">
        <v>0.64614861418125391</v>
      </c>
    </row>
    <row r="587" spans="1:5">
      <c r="A587" t="s">
        <v>38</v>
      </c>
      <c r="B587" t="s">
        <v>51</v>
      </c>
      <c r="C587" t="s">
        <v>5</v>
      </c>
      <c r="D587">
        <f>_xlfn.T.TEST(per_seed!$F$82:$F$91,per_seed!$F$152:$F$161,2,1)</f>
        <v>0.20245173173675443</v>
      </c>
      <c r="E587">
        <v>0.20245173173674991</v>
      </c>
    </row>
    <row r="588" spans="1:5">
      <c r="A588" t="s">
        <v>36</v>
      </c>
      <c r="B588" t="s">
        <v>51</v>
      </c>
      <c r="C588" t="s">
        <v>6</v>
      </c>
      <c r="D588">
        <f>(AVERAGE(per_seed!$G$152:$G$161)-AVERAGE(per_seed!$G$82:$G$91))/AVERAGE(per_seed!$G$82:$G$91)*100</f>
        <v>9.0143573804064303</v>
      </c>
      <c r="E588">
        <v>9.0143573804064303</v>
      </c>
    </row>
    <row r="589" spans="1:5">
      <c r="A589" t="s">
        <v>38</v>
      </c>
      <c r="B589" t="s">
        <v>51</v>
      </c>
      <c r="C589" t="s">
        <v>6</v>
      </c>
      <c r="D589">
        <f>_xlfn.T.TEST(per_seed!$G$82:$G$91,per_seed!$G$152:$G$161,2,1)</f>
        <v>2.0681556615591467E-6</v>
      </c>
      <c r="E589">
        <v>2.0681556615591442E-6</v>
      </c>
    </row>
    <row r="590" spans="1:5">
      <c r="A590" t="s">
        <v>36</v>
      </c>
      <c r="B590" t="s">
        <v>51</v>
      </c>
      <c r="C590" t="s">
        <v>7</v>
      </c>
      <c r="D590">
        <f>(AVERAGE(per_seed!$H$152:$H$161)-AVERAGE(per_seed!$H$82:$H$91))/AVERAGE(per_seed!$H$82:$H$91)*100</f>
        <v>-7.5993091537132962</v>
      </c>
      <c r="E590">
        <v>-7.5993091537132962</v>
      </c>
    </row>
    <row r="591" spans="1:5">
      <c r="A591" t="s">
        <v>38</v>
      </c>
      <c r="B591" t="s">
        <v>51</v>
      </c>
      <c r="C591" t="s">
        <v>7</v>
      </c>
      <c r="D591">
        <f>_xlfn.T.TEST(per_seed!$H$82:$H$91,per_seed!$H$152:$H$161,2,1)</f>
        <v>2.1354507870675975E-6</v>
      </c>
      <c r="E591">
        <v>2.135450787067592E-6</v>
      </c>
    </row>
    <row r="592" spans="1:5">
      <c r="A592" t="s">
        <v>36</v>
      </c>
      <c r="B592" t="s">
        <v>51</v>
      </c>
      <c r="C592" t="s">
        <v>8</v>
      </c>
      <c r="D592">
        <f>(AVERAGE(per_seed!$I$152:$I$161)-AVERAGE(per_seed!$I$82:$I$91))/AVERAGE(per_seed!$I$82:$I$91)*100</f>
        <v>-8.2473522113627915</v>
      </c>
      <c r="E592">
        <v>-8.2473522113627915</v>
      </c>
    </row>
    <row r="593" spans="1:5">
      <c r="A593" t="s">
        <v>38</v>
      </c>
      <c r="B593" t="s">
        <v>51</v>
      </c>
      <c r="C593" t="s">
        <v>8</v>
      </c>
      <c r="D593">
        <f>_xlfn.T.TEST(per_seed!$I$82:$I$91,per_seed!$I$152:$I$161,2,1)</f>
        <v>1.470214550635579E-6</v>
      </c>
      <c r="E593">
        <v>1.470214550635536E-6</v>
      </c>
    </row>
    <row r="594" spans="1:5">
      <c r="A594" t="s">
        <v>36</v>
      </c>
      <c r="B594" t="s">
        <v>51</v>
      </c>
      <c r="C594" t="s">
        <v>9</v>
      </c>
      <c r="D594">
        <f>(AVERAGE(per_seed!$J$152:$J$161)-AVERAGE(per_seed!$J$82:$J$91))/AVERAGE(per_seed!$J$82:$J$91)*100</f>
        <v>-0.43813564642241648</v>
      </c>
      <c r="E594">
        <v>-0.43813564642243402</v>
      </c>
    </row>
    <row r="595" spans="1:5">
      <c r="A595" t="s">
        <v>38</v>
      </c>
      <c r="B595" t="s">
        <v>51</v>
      </c>
      <c r="C595" t="s">
        <v>9</v>
      </c>
      <c r="D595">
        <f>_xlfn.T.TEST(per_seed!$J$82:$J$91,per_seed!$J$152:$J$161,2,1)</f>
        <v>0.67403021949521424</v>
      </c>
      <c r="E595">
        <v>0.67403021949521835</v>
      </c>
    </row>
    <row r="596" spans="1:5">
      <c r="A596" t="s">
        <v>36</v>
      </c>
      <c r="B596" t="s">
        <v>51</v>
      </c>
      <c r="C596" t="s">
        <v>10</v>
      </c>
      <c r="D596">
        <f>(AVERAGE(per_seed!$K$152:$K$161)-AVERAGE(per_seed!$K$82:$K$91))/AVERAGE(per_seed!$K$82:$K$91)*100</f>
        <v>-2.8401239568926209</v>
      </c>
      <c r="E596">
        <v>-2.8401239568926382</v>
      </c>
    </row>
    <row r="597" spans="1:5">
      <c r="A597" t="s">
        <v>38</v>
      </c>
      <c r="B597" t="s">
        <v>51</v>
      </c>
      <c r="C597" t="s">
        <v>10</v>
      </c>
      <c r="D597">
        <f>_xlfn.T.TEST(per_seed!$K$82:$K$91,per_seed!$K$152:$K$161,2,1)</f>
        <v>1.9971629992638726E-2</v>
      </c>
      <c r="E597">
        <v>1.9971629992638559E-2</v>
      </c>
    </row>
    <row r="598" spans="1:5">
      <c r="A598" t="s">
        <v>36</v>
      </c>
      <c r="B598" t="s">
        <v>51</v>
      </c>
      <c r="C598" t="s">
        <v>11</v>
      </c>
      <c r="D598">
        <f>(AVERAGE(per_seed!$L$152:$L$161)-AVERAGE(per_seed!$L$82:$L$91))/AVERAGE(per_seed!$L$82:$L$91)*100</f>
        <v>-5.5096713553416956</v>
      </c>
      <c r="E598">
        <v>-5.5096713553416956</v>
      </c>
    </row>
    <row r="599" spans="1:5">
      <c r="A599" t="s">
        <v>38</v>
      </c>
      <c r="B599" t="s">
        <v>51</v>
      </c>
      <c r="C599" t="s">
        <v>11</v>
      </c>
      <c r="D599">
        <f>_xlfn.T.TEST(per_seed!$L$82:$L$91,per_seed!$L$152:$L$161,2,1)</f>
        <v>3.8506155654794115E-2</v>
      </c>
      <c r="E599">
        <v>3.8506155654794108E-2</v>
      </c>
    </row>
    <row r="600" spans="1:5">
      <c r="A600" t="s">
        <v>36</v>
      </c>
      <c r="B600" t="s">
        <v>51</v>
      </c>
      <c r="C600" t="s">
        <v>12</v>
      </c>
      <c r="D600">
        <f>(AVERAGE(per_seed!$M$152:$M$161)-AVERAGE(per_seed!$M$82:$M$91))/AVERAGE(per_seed!$M$82:$M$91)*100</f>
        <v>19.455171251991175</v>
      </c>
      <c r="E600">
        <v>19.455171251991171</v>
      </c>
    </row>
    <row r="601" spans="1:5">
      <c r="A601" t="s">
        <v>38</v>
      </c>
      <c r="B601" t="s">
        <v>51</v>
      </c>
      <c r="C601" t="s">
        <v>12</v>
      </c>
      <c r="D601">
        <f>_xlfn.T.TEST(per_seed!$M$82:$M$91,per_seed!$M$152:$M$161,2,1)</f>
        <v>1.0048850204101767E-5</v>
      </c>
      <c r="E601">
        <v>1.004885020410178E-5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per_seed</vt:lpstr>
      <vt:lpstr>excel_check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M11301111</cp:lastModifiedBy>
  <dcterms:created xsi:type="dcterms:W3CDTF">2026-09-17T17:04:56Z</dcterms:created>
  <dcterms:modified xsi:type="dcterms:W3CDTF">2026-09-17T17:05:02Z</dcterms:modified>
</cp:coreProperties>
</file>