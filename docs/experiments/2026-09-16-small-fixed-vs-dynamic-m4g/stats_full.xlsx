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small_fixed_vs_dynamic_pricing_m4g\"/>
    </mc:Choice>
  </mc:AlternateContent>
  <xr:revisionPtr revIDLastSave="0" documentId="13_ncr:1_{51B8B263-2FF4-415F-9642-6A4542897442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1" i="2" l="1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<sst xmlns="http://schemas.openxmlformats.org/spreadsheetml/2006/main" count="1978" uniqueCount="52">
  <si>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</si>
  <si>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</si>
  <si>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</si>
  <si>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</si>
  <si>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</si>
  <si>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</si>
  <si>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</si>
  <si>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</si>
  <si>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</si>
  <si>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</si>
  <si>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</si>
  <si>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</si>
  <si>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</si>
  <si>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m4g_dyn_6b</t>
  </si>
  <si>
    <t>m4g_fix4p5_6b</t>
  </si>
  <si>
    <t>m4g_fix6_6b</t>
  </si>
  <si>
    <t>m4g_fix8_6b</t>
  </si>
  <si>
    <t>m4g_fix11_6b</t>
  </si>
  <si>
    <t>m4g_fix15_6b</t>
  </si>
  <si>
    <t>m4g_fix20_6b</t>
  </si>
  <si>
    <t>m4g_fix28_6b</t>
  </si>
  <si>
    <t>m4g_dyn_10b</t>
  </si>
  <si>
    <t>m4g_fix4p5_10b</t>
  </si>
  <si>
    <t>m4g_fix6_10b</t>
  </si>
  <si>
    <t>m4g_fix8_10b</t>
  </si>
  <si>
    <t>m4g_fix11_10b</t>
  </si>
  <si>
    <t>m4g_fix15_10b</t>
  </si>
  <si>
    <t>m4g_fix20_10b</t>
  </si>
  <si>
    <t>m4g_fix28_10b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</si>
  <si>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</si>
  <si>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</si>
  <si>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</si>
  <si>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</si>
  <si>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</si>
  <si>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</si>
  <si>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</si>
  <si>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</si>
  <si>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m4g_fix4p5_6b vs m4g_dyn_6b</t>
  </si>
  <si>
    <t>p</t>
  </si>
  <si>
    <t>m4g_fix6_6b vs m4g_dyn_6b</t>
  </si>
  <si>
    <t>m4g_fix8_6b vs m4g_dyn_6b</t>
  </si>
  <si>
    <t>m4g_fix11_6b vs m4g_dyn_6b</t>
  </si>
  <si>
    <t>m4g_fix15_6b vs m4g_dyn_6b</t>
  </si>
  <si>
    <t>m4g_fix20_6b vs m4g_dyn_6b</t>
  </si>
  <si>
    <t>m4g_fix28_6b vs m4g_dyn_6b</t>
  </si>
  <si>
    <t>m4g_fix4p5_10b vs m4g_dyn_10b</t>
  </si>
  <si>
    <t>m4g_fix6_10b vs m4g_dyn_10b</t>
  </si>
  <si>
    <t>m4g_fix8_10b vs m4g_dyn_10b</t>
  </si>
  <si>
    <t>m4g_fix11_10b vs m4g_dyn_10b</t>
  </si>
  <si>
    <t>m4g_fix15_10b vs m4g_dyn_10b</t>
  </si>
  <si>
    <t>m4g_fix20_10b vs m4g_dyn_10b</t>
  </si>
  <si>
    <t>m4g_fix28_10b vs m4g_dyn_10b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</si>
</sst>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1334</v>
      </c>
      <c r="E12">
        <v>887</v>
      </c>
      <c r="F12">
        <v>581</v>
      </c>
      <c r="G12">
        <v>4.685483870967742</v>
      </c>
      <c r="H12">
        <v>124</v>
      </c>
      <c r="I12">
        <v>0.21342512908777969</v>
      </c>
      <c r="J12">
        <v>10.146459416302861</v>
      </c>
      <c r="K12">
        <v>1.24617568897859</v>
      </c>
      <c r="L12">
        <v>666.444444444071</v>
      </c>
      <c r="M12">
        <v>7.3935185185921179</v>
      </c>
    </row>
    <row r="13" spans="1:13">
      <c r="A13" t="s">
        <v>14</v>
      </c>
      <c r="B13">
        <v>6</v>
      </c>
      <c r="C13">
        <v>1</v>
      </c>
      <c r="D13">
        <v>1309</v>
      </c>
      <c r="E13">
        <v>854</v>
      </c>
      <c r="F13">
        <v>544</v>
      </c>
      <c r="G13">
        <v>4.1846153846153848</v>
      </c>
      <c r="H13">
        <v>130</v>
      </c>
      <c r="I13">
        <v>0.2389705882352941</v>
      </c>
      <c r="J13">
        <v>10.65251302418822</v>
      </c>
      <c r="K13">
        <v>1.35652525991409</v>
      </c>
      <c r="L13">
        <v>674.17777777696494</v>
      </c>
      <c r="M13">
        <v>9.1456790124927849</v>
      </c>
    </row>
    <row r="14" spans="1:13">
      <c r="A14" t="s">
        <v>14</v>
      </c>
      <c r="B14">
        <v>6</v>
      </c>
      <c r="C14">
        <v>2</v>
      </c>
      <c r="D14">
        <v>957</v>
      </c>
      <c r="E14">
        <v>652</v>
      </c>
      <c r="F14">
        <v>425</v>
      </c>
      <c r="G14">
        <v>4.2929292929292933</v>
      </c>
      <c r="H14">
        <v>99</v>
      </c>
      <c r="I14">
        <v>0.23294117647058821</v>
      </c>
      <c r="J14">
        <v>11.99693251533745</v>
      </c>
      <c r="K14">
        <v>1.46838104325216</v>
      </c>
      <c r="L14">
        <v>628.66666666844196</v>
      </c>
      <c r="M14">
        <v>33.541666666666671</v>
      </c>
    </row>
    <row r="15" spans="1:13">
      <c r="A15" t="s">
        <v>14</v>
      </c>
      <c r="B15">
        <v>6</v>
      </c>
      <c r="C15">
        <v>3</v>
      </c>
      <c r="D15">
        <v>1132</v>
      </c>
      <c r="E15">
        <v>744</v>
      </c>
      <c r="F15">
        <v>489</v>
      </c>
      <c r="G15">
        <v>4.4454545454545453</v>
      </c>
      <c r="H15">
        <v>110</v>
      </c>
      <c r="I15">
        <v>0.22494887525562371</v>
      </c>
      <c r="J15">
        <v>11.05241935483874</v>
      </c>
      <c r="K15">
        <v>1.3643482535103399</v>
      </c>
      <c r="L15">
        <v>642.71111111126504</v>
      </c>
      <c r="M15">
        <v>21.388888888888889</v>
      </c>
    </row>
    <row r="16" spans="1:13">
      <c r="A16" t="s">
        <v>14</v>
      </c>
      <c r="B16">
        <v>6</v>
      </c>
      <c r="C16">
        <v>4</v>
      </c>
      <c r="D16">
        <v>440</v>
      </c>
      <c r="E16">
        <v>310</v>
      </c>
      <c r="F16">
        <v>200</v>
      </c>
      <c r="G16">
        <v>5.1282051282051286</v>
      </c>
      <c r="H16">
        <v>39</v>
      </c>
      <c r="I16">
        <v>0.19500000000000001</v>
      </c>
      <c r="J16">
        <v>12.82903225806445</v>
      </c>
      <c r="K16">
        <v>1.6156692449238299</v>
      </c>
      <c r="L16">
        <v>496.17777777769197</v>
      </c>
      <c r="M16">
        <v>69.444444444444443</v>
      </c>
    </row>
    <row r="17" spans="1:13">
      <c r="A17" t="s">
        <v>14</v>
      </c>
      <c r="B17">
        <v>6</v>
      </c>
      <c r="C17">
        <v>5</v>
      </c>
      <c r="D17">
        <v>1324</v>
      </c>
      <c r="E17">
        <v>884</v>
      </c>
      <c r="F17">
        <v>565</v>
      </c>
      <c r="G17">
        <v>4.556451612903226</v>
      </c>
      <c r="H17">
        <v>124</v>
      </c>
      <c r="I17">
        <v>0.21946902654867259</v>
      </c>
      <c r="J17">
        <v>10.365887686071471</v>
      </c>
      <c r="K17">
        <v>1.30231666253308</v>
      </c>
      <c r="L17">
        <v>630.48888889261605</v>
      </c>
      <c r="M17">
        <v>8.111111111258257</v>
      </c>
    </row>
    <row r="18" spans="1:13">
      <c r="A18" t="s">
        <v>14</v>
      </c>
      <c r="B18">
        <v>6</v>
      </c>
      <c r="C18">
        <v>6</v>
      </c>
      <c r="D18">
        <v>398</v>
      </c>
      <c r="E18">
        <v>271</v>
      </c>
      <c r="F18">
        <v>166</v>
      </c>
      <c r="G18">
        <v>5.0303030303030303</v>
      </c>
      <c r="H18">
        <v>33</v>
      </c>
      <c r="I18">
        <v>0.1987951807228916</v>
      </c>
      <c r="J18">
        <v>8.1328413284132477</v>
      </c>
      <c r="K18">
        <v>1.0572200113160699</v>
      </c>
      <c r="L18">
        <v>440.977777778129</v>
      </c>
      <c r="M18">
        <v>72.361111111111114</v>
      </c>
    </row>
    <row r="19" spans="1:13">
      <c r="A19" t="s">
        <v>14</v>
      </c>
      <c r="B19">
        <v>6</v>
      </c>
      <c r="C19">
        <v>7</v>
      </c>
      <c r="D19">
        <v>1065</v>
      </c>
      <c r="E19">
        <v>720</v>
      </c>
      <c r="F19">
        <v>463</v>
      </c>
      <c r="G19">
        <v>4.7244897959183669</v>
      </c>
      <c r="H19">
        <v>98</v>
      </c>
      <c r="I19">
        <v>0.2116630669546436</v>
      </c>
      <c r="J19">
        <v>10.39583333333333</v>
      </c>
      <c r="K19">
        <v>1.3036426095442599</v>
      </c>
      <c r="L19">
        <v>593.95555555298995</v>
      </c>
      <c r="M19">
        <v>26.041666666666671</v>
      </c>
    </row>
    <row r="20" spans="1:13">
      <c r="A20" t="s">
        <v>14</v>
      </c>
      <c r="B20">
        <v>6</v>
      </c>
      <c r="C20">
        <v>8</v>
      </c>
      <c r="D20">
        <v>443</v>
      </c>
      <c r="E20">
        <v>313</v>
      </c>
      <c r="F20">
        <v>191</v>
      </c>
      <c r="G20">
        <v>4.7750000000000004</v>
      </c>
      <c r="H20">
        <v>40</v>
      </c>
      <c r="I20">
        <v>0.20942408376963351</v>
      </c>
      <c r="J20">
        <v>12.27476038338655</v>
      </c>
      <c r="K20">
        <v>1.6523287749554001</v>
      </c>
      <c r="L20">
        <v>535.68888888881395</v>
      </c>
      <c r="M20">
        <v>69.236111111111114</v>
      </c>
    </row>
    <row r="21" spans="1:13">
      <c r="A21" t="s">
        <v>14</v>
      </c>
      <c r="B21">
        <v>6</v>
      </c>
      <c r="C21">
        <v>9</v>
      </c>
      <c r="D21">
        <v>1061</v>
      </c>
      <c r="E21">
        <v>708</v>
      </c>
      <c r="F21">
        <v>461</v>
      </c>
      <c r="G21">
        <v>4.5196078431372548</v>
      </c>
      <c r="H21">
        <v>102</v>
      </c>
      <c r="I21">
        <v>0.22125813449023859</v>
      </c>
      <c r="J21">
        <v>11.185028248587569</v>
      </c>
      <c r="K21">
        <v>1.3757986497194299</v>
      </c>
      <c r="L21">
        <v>566.93333333088401</v>
      </c>
      <c r="M21">
        <v>26.319444444444439</v>
      </c>
    </row>
    <row r="22" spans="1:13">
      <c r="A22" t="s">
        <v>15</v>
      </c>
      <c r="B22">
        <v>6</v>
      </c>
      <c r="C22">
        <v>0</v>
      </c>
      <c r="D22">
        <v>1066</v>
      </c>
      <c r="E22">
        <v>721</v>
      </c>
      <c r="F22">
        <v>485</v>
      </c>
      <c r="G22">
        <v>4.6634615384615383</v>
      </c>
      <c r="H22">
        <v>104</v>
      </c>
      <c r="I22">
        <v>0.21443298969072161</v>
      </c>
      <c r="J22">
        <v>10.872399445214979</v>
      </c>
      <c r="K22">
        <v>1.2865906272000101</v>
      </c>
      <c r="L22">
        <v>577.60000000038701</v>
      </c>
      <c r="M22">
        <v>25.972222222222221</v>
      </c>
    </row>
    <row r="23" spans="1:13">
      <c r="A23" t="s">
        <v>15</v>
      </c>
      <c r="B23">
        <v>6</v>
      </c>
      <c r="C23">
        <v>1</v>
      </c>
      <c r="D23">
        <v>1348</v>
      </c>
      <c r="E23">
        <v>879</v>
      </c>
      <c r="F23">
        <v>559</v>
      </c>
      <c r="G23">
        <v>4.1716417910447774</v>
      </c>
      <c r="H23">
        <v>134</v>
      </c>
      <c r="I23">
        <v>0.23971377459749549</v>
      </c>
      <c r="J23">
        <v>10.810310713571869</v>
      </c>
      <c r="K23">
        <v>1.38762178511872</v>
      </c>
      <c r="L23">
        <v>645.46666667048203</v>
      </c>
      <c r="M23">
        <v>6.4250000001470351</v>
      </c>
    </row>
    <row r="24" spans="1:13">
      <c r="A24" t="s">
        <v>15</v>
      </c>
      <c r="B24">
        <v>6</v>
      </c>
      <c r="C24">
        <v>2</v>
      </c>
      <c r="D24">
        <v>1373</v>
      </c>
      <c r="E24">
        <v>933</v>
      </c>
      <c r="F24">
        <v>603</v>
      </c>
      <c r="G24">
        <v>4.4014598540145986</v>
      </c>
      <c r="H24">
        <v>137</v>
      </c>
      <c r="I24">
        <v>0.2271973466003317</v>
      </c>
      <c r="J24">
        <v>10.59957574131916</v>
      </c>
      <c r="K24">
        <v>1.3379619401589999</v>
      </c>
      <c r="L24">
        <v>588.53333333681303</v>
      </c>
      <c r="M24">
        <v>4.6620370371839099</v>
      </c>
    </row>
    <row r="25" spans="1:13">
      <c r="A25" t="s">
        <v>15</v>
      </c>
      <c r="B25">
        <v>6</v>
      </c>
      <c r="C25">
        <v>3</v>
      </c>
      <c r="D25">
        <v>1071</v>
      </c>
      <c r="E25">
        <v>701</v>
      </c>
      <c r="F25">
        <v>447</v>
      </c>
      <c r="G25">
        <v>4.382352941176471</v>
      </c>
      <c r="H25">
        <v>102</v>
      </c>
      <c r="I25">
        <v>0.22818791946308731</v>
      </c>
      <c r="J25">
        <v>11.186875891583471</v>
      </c>
      <c r="K25">
        <v>1.4380967049373801</v>
      </c>
      <c r="L25">
        <v>525.022222225326</v>
      </c>
      <c r="M25">
        <v>25.625</v>
      </c>
    </row>
    <row r="26" spans="1:13">
      <c r="A26" t="s">
        <v>15</v>
      </c>
      <c r="B26">
        <v>6</v>
      </c>
      <c r="C26">
        <v>4</v>
      </c>
      <c r="D26">
        <v>1313</v>
      </c>
      <c r="E26">
        <v>870</v>
      </c>
      <c r="F26">
        <v>563</v>
      </c>
      <c r="G26">
        <v>4.1094890510948909</v>
      </c>
      <c r="H26">
        <v>137</v>
      </c>
      <c r="I26">
        <v>0.2433392539964476</v>
      </c>
      <c r="J26">
        <v>11.40131120068178</v>
      </c>
      <c r="K26">
        <v>1.4202306250291099</v>
      </c>
      <c r="L26">
        <v>593.28888888632605</v>
      </c>
      <c r="M26">
        <v>8.8759259260730836</v>
      </c>
    </row>
    <row r="27" spans="1:13">
      <c r="A27" t="s">
        <v>15</v>
      </c>
      <c r="B27">
        <v>6</v>
      </c>
      <c r="C27">
        <v>5</v>
      </c>
      <c r="D27">
        <v>1112</v>
      </c>
      <c r="E27">
        <v>736</v>
      </c>
      <c r="F27">
        <v>471</v>
      </c>
      <c r="G27">
        <v>4.2053571428571432</v>
      </c>
      <c r="H27">
        <v>112</v>
      </c>
      <c r="I27">
        <v>0.23779193205944801</v>
      </c>
      <c r="J27">
        <v>11.55298913043481</v>
      </c>
      <c r="K27">
        <v>1.4702181193159201</v>
      </c>
      <c r="L27">
        <v>575.955555555513</v>
      </c>
      <c r="M27">
        <v>22.777777777777779</v>
      </c>
    </row>
    <row r="28" spans="1:13">
      <c r="A28" t="s">
        <v>15</v>
      </c>
      <c r="B28">
        <v>6</v>
      </c>
      <c r="C28">
        <v>6</v>
      </c>
      <c r="D28">
        <v>1359</v>
      </c>
      <c r="E28">
        <v>891</v>
      </c>
      <c r="F28">
        <v>567</v>
      </c>
      <c r="G28">
        <v>4.0791366906474824</v>
      </c>
      <c r="H28">
        <v>139</v>
      </c>
      <c r="I28">
        <v>0.2451499118165785</v>
      </c>
      <c r="J28">
        <v>11.228396239463301</v>
      </c>
      <c r="K28">
        <v>1.4220357495879301</v>
      </c>
      <c r="L28">
        <v>643.28888889269194</v>
      </c>
      <c r="M28">
        <v>5.6993827161966388</v>
      </c>
    </row>
    <row r="29" spans="1:13">
      <c r="A29" t="s">
        <v>15</v>
      </c>
      <c r="B29">
        <v>6</v>
      </c>
      <c r="C29">
        <v>7</v>
      </c>
      <c r="D29">
        <v>1400</v>
      </c>
      <c r="E29">
        <v>936</v>
      </c>
      <c r="F29">
        <v>603</v>
      </c>
      <c r="G29">
        <v>4.5</v>
      </c>
      <c r="H29">
        <v>134</v>
      </c>
      <c r="I29">
        <v>0.22222222222222221</v>
      </c>
      <c r="J29">
        <v>10.19764957264962</v>
      </c>
      <c r="K29">
        <v>1.27909012065643</v>
      </c>
      <c r="L29">
        <v>670.62222222442404</v>
      </c>
      <c r="M29">
        <v>2.877160493974563</v>
      </c>
    </row>
    <row r="30" spans="1:13">
      <c r="A30" t="s">
        <v>15</v>
      </c>
      <c r="B30">
        <v>6</v>
      </c>
      <c r="C30">
        <v>8</v>
      </c>
      <c r="D30">
        <v>1323</v>
      </c>
      <c r="E30">
        <v>874</v>
      </c>
      <c r="F30">
        <v>561</v>
      </c>
      <c r="G30">
        <v>4.125</v>
      </c>
      <c r="H30">
        <v>136</v>
      </c>
      <c r="I30">
        <v>0.2424242424242424</v>
      </c>
      <c r="J30">
        <v>10.410140376453979</v>
      </c>
      <c r="K30">
        <v>1.33024565328781</v>
      </c>
      <c r="L30">
        <v>676.17777777781498</v>
      </c>
      <c r="M30">
        <v>8.1808641976780212</v>
      </c>
    </row>
    <row r="31" spans="1:13">
      <c r="A31" t="s">
        <v>15</v>
      </c>
      <c r="B31">
        <v>6</v>
      </c>
      <c r="C31">
        <v>9</v>
      </c>
      <c r="D31">
        <v>1278</v>
      </c>
      <c r="E31">
        <v>831</v>
      </c>
      <c r="F31">
        <v>541</v>
      </c>
      <c r="G31">
        <v>3.9779411764705879</v>
      </c>
      <c r="H31">
        <v>136</v>
      </c>
      <c r="I31">
        <v>0.25138632162661739</v>
      </c>
      <c r="J31">
        <v>11.38507821901325</v>
      </c>
      <c r="K31">
        <v>1.4047802029361001</v>
      </c>
      <c r="L31">
        <v>606.17777777515903</v>
      </c>
      <c r="M31">
        <v>11.37993827175254</v>
      </c>
    </row>
    <row r="32" spans="1:13">
      <c r="A32" t="s">
        <v>16</v>
      </c>
      <c r="B32">
        <v>6</v>
      </c>
      <c r="C32">
        <v>0</v>
      </c>
      <c r="D32">
        <v>1299</v>
      </c>
      <c r="E32">
        <v>859</v>
      </c>
      <c r="F32">
        <v>568</v>
      </c>
      <c r="G32">
        <v>4</v>
      </c>
      <c r="H32">
        <v>142</v>
      </c>
      <c r="I32">
        <v>0.25</v>
      </c>
      <c r="J32">
        <v>11.23399301513391</v>
      </c>
      <c r="K32">
        <v>1.39438634766426</v>
      </c>
      <c r="L32">
        <v>575.06666666662295</v>
      </c>
      <c r="M32">
        <v>9.858333333480557</v>
      </c>
    </row>
    <row r="33" spans="1:13">
      <c r="A33" t="s">
        <v>16</v>
      </c>
      <c r="B33">
        <v>6</v>
      </c>
      <c r="C33">
        <v>1</v>
      </c>
      <c r="D33">
        <v>1375</v>
      </c>
      <c r="E33">
        <v>902</v>
      </c>
      <c r="F33">
        <v>571</v>
      </c>
      <c r="G33">
        <v>4.1678832116788316</v>
      </c>
      <c r="H33">
        <v>137</v>
      </c>
      <c r="I33">
        <v>0.23992994746059551</v>
      </c>
      <c r="J33">
        <v>11.161341561778711</v>
      </c>
      <c r="K33">
        <v>1.42652325816368</v>
      </c>
      <c r="L33">
        <v>625.02222222221803</v>
      </c>
      <c r="M33">
        <v>4.6009259260732636</v>
      </c>
    </row>
    <row r="34" spans="1:13">
      <c r="A34" t="s">
        <v>16</v>
      </c>
      <c r="B34">
        <v>6</v>
      </c>
      <c r="C34">
        <v>2</v>
      </c>
      <c r="D34">
        <v>1361</v>
      </c>
      <c r="E34">
        <v>933</v>
      </c>
      <c r="F34">
        <v>594</v>
      </c>
      <c r="G34">
        <v>4.4000000000000004</v>
      </c>
      <c r="H34">
        <v>135</v>
      </c>
      <c r="I34">
        <v>0.22727272727272729</v>
      </c>
      <c r="J34">
        <v>10.691541621956761</v>
      </c>
      <c r="K34">
        <v>1.3605809169915599</v>
      </c>
      <c r="L34">
        <v>610.22222222583002</v>
      </c>
      <c r="M34">
        <v>5.5589506174312087</v>
      </c>
    </row>
    <row r="35" spans="1:13">
      <c r="A35" t="s">
        <v>16</v>
      </c>
      <c r="B35">
        <v>6</v>
      </c>
      <c r="C35">
        <v>3</v>
      </c>
      <c r="D35">
        <v>1388</v>
      </c>
      <c r="E35">
        <v>923</v>
      </c>
      <c r="F35">
        <v>591</v>
      </c>
      <c r="G35">
        <v>4.1328671328671316</v>
      </c>
      <c r="H35">
        <v>143</v>
      </c>
      <c r="I35">
        <v>0.2419627749576988</v>
      </c>
      <c r="J35">
        <v>10.98864969969242</v>
      </c>
      <c r="K35">
        <v>1.3942579028948701</v>
      </c>
      <c r="L35">
        <v>590.08888888818205</v>
      </c>
      <c r="M35">
        <v>3.721296296443763</v>
      </c>
    </row>
    <row r="36" spans="1:13">
      <c r="A36" t="s">
        <v>16</v>
      </c>
      <c r="B36">
        <v>6</v>
      </c>
      <c r="C36">
        <v>4</v>
      </c>
      <c r="D36">
        <v>1316</v>
      </c>
      <c r="E36">
        <v>886</v>
      </c>
      <c r="F36">
        <v>573</v>
      </c>
      <c r="G36">
        <v>3.8979591836734691</v>
      </c>
      <c r="H36">
        <v>147</v>
      </c>
      <c r="I36">
        <v>0.25654450261780098</v>
      </c>
      <c r="J36">
        <v>11.26522402232388</v>
      </c>
      <c r="K36">
        <v>1.4063907480645701</v>
      </c>
      <c r="L36">
        <v>604.53333333690705</v>
      </c>
      <c r="M36">
        <v>8.693518518665833</v>
      </c>
    </row>
    <row r="37" spans="1:13">
      <c r="A37" t="s">
        <v>16</v>
      </c>
      <c r="B37">
        <v>6</v>
      </c>
      <c r="C37">
        <v>5</v>
      </c>
      <c r="D37">
        <v>1395</v>
      </c>
      <c r="E37">
        <v>917</v>
      </c>
      <c r="F37">
        <v>593</v>
      </c>
      <c r="G37">
        <v>4.2661870503597124</v>
      </c>
      <c r="H37">
        <v>139</v>
      </c>
      <c r="I37">
        <v>0.23440134907251259</v>
      </c>
      <c r="J37">
        <v>11.266709681282549</v>
      </c>
      <c r="K37">
        <v>1.41407181948467</v>
      </c>
      <c r="L37">
        <v>634.04444444170497</v>
      </c>
      <c r="M37">
        <v>3.202777777925069</v>
      </c>
    </row>
    <row r="38" spans="1:13">
      <c r="A38" t="s">
        <v>16</v>
      </c>
      <c r="B38">
        <v>6</v>
      </c>
      <c r="C38">
        <v>6</v>
      </c>
      <c r="D38">
        <v>382</v>
      </c>
      <c r="E38">
        <v>259</v>
      </c>
      <c r="F38">
        <v>163</v>
      </c>
      <c r="G38">
        <v>4.9393939393939386</v>
      </c>
      <c r="H38">
        <v>33</v>
      </c>
      <c r="I38">
        <v>0.20245398773006129</v>
      </c>
      <c r="J38">
        <v>8.8262548262547877</v>
      </c>
      <c r="K38">
        <v>1.1460114516453099</v>
      </c>
      <c r="L38">
        <v>444.22222222216101</v>
      </c>
      <c r="M38">
        <v>73.472222222222229</v>
      </c>
    </row>
    <row r="39" spans="1:13">
      <c r="A39" t="s">
        <v>16</v>
      </c>
      <c r="B39">
        <v>6</v>
      </c>
      <c r="C39">
        <v>7</v>
      </c>
      <c r="D39">
        <v>1390</v>
      </c>
      <c r="E39">
        <v>928</v>
      </c>
      <c r="F39">
        <v>601</v>
      </c>
      <c r="G39">
        <v>4.3868613138686134</v>
      </c>
      <c r="H39">
        <v>137</v>
      </c>
      <c r="I39">
        <v>0.22795341098169719</v>
      </c>
      <c r="J39">
        <v>10.77397245999936</v>
      </c>
      <c r="K39">
        <v>1.3425402092576799</v>
      </c>
      <c r="L39">
        <v>604.97777777775798</v>
      </c>
      <c r="M39">
        <v>3.569753086567145</v>
      </c>
    </row>
    <row r="40" spans="1:13">
      <c r="A40" t="s">
        <v>16</v>
      </c>
      <c r="B40">
        <v>6</v>
      </c>
      <c r="C40">
        <v>8</v>
      </c>
      <c r="D40">
        <v>1357</v>
      </c>
      <c r="E40">
        <v>903</v>
      </c>
      <c r="F40">
        <v>574</v>
      </c>
      <c r="G40">
        <v>4.042253521126761</v>
      </c>
      <c r="H40">
        <v>142</v>
      </c>
      <c r="I40">
        <v>0.2473867595818815</v>
      </c>
      <c r="J40">
        <v>11.189441744226359</v>
      </c>
      <c r="K40">
        <v>1.4109933948842299</v>
      </c>
      <c r="L40">
        <v>621.95555555595104</v>
      </c>
      <c r="M40">
        <v>5.8666666668140897</v>
      </c>
    </row>
    <row r="41" spans="1:13">
      <c r="A41" t="s">
        <v>16</v>
      </c>
      <c r="B41">
        <v>6</v>
      </c>
      <c r="C41">
        <v>9</v>
      </c>
      <c r="D41">
        <v>1378</v>
      </c>
      <c r="E41">
        <v>909</v>
      </c>
      <c r="F41">
        <v>584</v>
      </c>
      <c r="G41">
        <v>4.2318840579710146</v>
      </c>
      <c r="H41">
        <v>138</v>
      </c>
      <c r="I41">
        <v>0.2363013698630137</v>
      </c>
      <c r="J41">
        <v>11.083759625945101</v>
      </c>
      <c r="K41">
        <v>1.39715780891286</v>
      </c>
      <c r="L41">
        <v>651.91111111151099</v>
      </c>
      <c r="M41">
        <v>4.3966049384189718</v>
      </c>
    </row>
    <row r="42" spans="1:13">
      <c r="A42" t="s">
        <v>17</v>
      </c>
      <c r="B42">
        <v>6</v>
      </c>
      <c r="C42">
        <v>0</v>
      </c>
      <c r="D42">
        <v>1398</v>
      </c>
      <c r="E42">
        <v>930</v>
      </c>
      <c r="F42">
        <v>618</v>
      </c>
      <c r="G42">
        <v>4.7175572519083966</v>
      </c>
      <c r="H42">
        <v>131</v>
      </c>
      <c r="I42">
        <v>0.21197411003236249</v>
      </c>
      <c r="J42">
        <v>10.68060928165778</v>
      </c>
      <c r="K42">
        <v>1.3037667924262299</v>
      </c>
      <c r="L42">
        <v>621.60000000049502</v>
      </c>
      <c r="M42">
        <v>2.9293209878012219</v>
      </c>
    </row>
    <row r="43" spans="1:13">
      <c r="A43" t="s">
        <v>17</v>
      </c>
      <c r="B43">
        <v>6</v>
      </c>
      <c r="C43">
        <v>1</v>
      </c>
      <c r="D43">
        <v>1387</v>
      </c>
      <c r="E43">
        <v>909</v>
      </c>
      <c r="F43">
        <v>569</v>
      </c>
      <c r="G43">
        <v>4.2148148148148152</v>
      </c>
      <c r="H43">
        <v>135</v>
      </c>
      <c r="I43">
        <v>0.23725834797891041</v>
      </c>
      <c r="J43">
        <v>11.23288639239505</v>
      </c>
      <c r="K43">
        <v>1.44595276944676</v>
      </c>
      <c r="L43">
        <v>666.79999999711902</v>
      </c>
      <c r="M43">
        <v>3.780864197678278</v>
      </c>
    </row>
    <row r="44" spans="1:13">
      <c r="A44" t="s">
        <v>17</v>
      </c>
      <c r="B44">
        <v>6</v>
      </c>
      <c r="C44">
        <v>2</v>
      </c>
      <c r="D44">
        <v>1399</v>
      </c>
      <c r="E44">
        <v>961</v>
      </c>
      <c r="F44">
        <v>607</v>
      </c>
      <c r="G44">
        <v>4.3669064748201443</v>
      </c>
      <c r="H44">
        <v>139</v>
      </c>
      <c r="I44">
        <v>0.228995057660626</v>
      </c>
      <c r="J44">
        <v>10.70232560601332</v>
      </c>
      <c r="K44">
        <v>1.37169133470409</v>
      </c>
      <c r="L44">
        <v>614.57777778141099</v>
      </c>
      <c r="M44">
        <v>2.9759259260735069</v>
      </c>
    </row>
    <row r="45" spans="1:13">
      <c r="A45" t="s">
        <v>17</v>
      </c>
      <c r="B45">
        <v>6</v>
      </c>
      <c r="C45">
        <v>3</v>
      </c>
      <c r="D45">
        <v>1390</v>
      </c>
      <c r="E45">
        <v>908</v>
      </c>
      <c r="F45">
        <v>580</v>
      </c>
      <c r="G45">
        <v>4.4615384615384617</v>
      </c>
      <c r="H45">
        <v>130</v>
      </c>
      <c r="I45">
        <v>0.22413793103448279</v>
      </c>
      <c r="J45">
        <v>10.836184944685121</v>
      </c>
      <c r="K45">
        <v>1.3878956452340501</v>
      </c>
      <c r="L45">
        <v>739.866666668471</v>
      </c>
      <c r="M45">
        <v>3.5583333334806659</v>
      </c>
    </row>
    <row r="46" spans="1:13">
      <c r="A46" t="s">
        <v>17</v>
      </c>
      <c r="B46">
        <v>6</v>
      </c>
      <c r="C46">
        <v>4</v>
      </c>
      <c r="D46">
        <v>1403</v>
      </c>
      <c r="E46">
        <v>933</v>
      </c>
      <c r="F46">
        <v>586</v>
      </c>
      <c r="G46">
        <v>4.3731343283582094</v>
      </c>
      <c r="H46">
        <v>134</v>
      </c>
      <c r="I46">
        <v>0.2286689419795222</v>
      </c>
      <c r="J46">
        <v>11.05109414074759</v>
      </c>
      <c r="K46">
        <v>1.42424887776104</v>
      </c>
      <c r="L46">
        <v>640.93333333056398</v>
      </c>
      <c r="M46">
        <v>2.6518518519991598</v>
      </c>
    </row>
    <row r="47" spans="1:13">
      <c r="A47" t="s">
        <v>17</v>
      </c>
      <c r="B47">
        <v>6</v>
      </c>
      <c r="C47">
        <v>5</v>
      </c>
      <c r="D47">
        <v>1382</v>
      </c>
      <c r="E47">
        <v>907</v>
      </c>
      <c r="F47">
        <v>583</v>
      </c>
      <c r="G47">
        <v>4.3507462686567164</v>
      </c>
      <c r="H47">
        <v>134</v>
      </c>
      <c r="I47">
        <v>0.2298456260720412</v>
      </c>
      <c r="J47">
        <v>10.97373709516468</v>
      </c>
      <c r="K47">
        <v>1.40010180063766</v>
      </c>
      <c r="L47">
        <v>704.44444444140095</v>
      </c>
      <c r="M47">
        <v>4.0947530865669721</v>
      </c>
    </row>
    <row r="48" spans="1:13">
      <c r="A48" t="s">
        <v>17</v>
      </c>
      <c r="B48">
        <v>6</v>
      </c>
      <c r="C48">
        <v>6</v>
      </c>
      <c r="D48">
        <v>1394</v>
      </c>
      <c r="E48">
        <v>919</v>
      </c>
      <c r="F48">
        <v>585</v>
      </c>
      <c r="G48">
        <v>4.3984962406015038</v>
      </c>
      <c r="H48">
        <v>133</v>
      </c>
      <c r="I48">
        <v>0.22735042735042729</v>
      </c>
      <c r="J48">
        <v>10.98926767215332</v>
      </c>
      <c r="K48">
        <v>1.3868495219320101</v>
      </c>
      <c r="L48">
        <v>615.02222222220996</v>
      </c>
      <c r="M48">
        <v>3.2212962964432781</v>
      </c>
    </row>
    <row r="49" spans="1:13">
      <c r="A49" t="s">
        <v>17</v>
      </c>
      <c r="B49">
        <v>6</v>
      </c>
      <c r="C49">
        <v>7</v>
      </c>
      <c r="D49">
        <v>1399</v>
      </c>
      <c r="E49">
        <v>931</v>
      </c>
      <c r="F49">
        <v>613</v>
      </c>
      <c r="G49">
        <v>4.5407407407407403</v>
      </c>
      <c r="H49">
        <v>135</v>
      </c>
      <c r="I49">
        <v>0.22022838499184341</v>
      </c>
      <c r="J49">
        <v>10.42628446113582</v>
      </c>
      <c r="K49">
        <v>1.29485300101898</v>
      </c>
      <c r="L49">
        <v>581.19999999785102</v>
      </c>
      <c r="M49">
        <v>2.9675925927401252</v>
      </c>
    </row>
    <row r="50" spans="1:13">
      <c r="A50" t="s">
        <v>17</v>
      </c>
      <c r="B50">
        <v>6</v>
      </c>
      <c r="C50">
        <v>8</v>
      </c>
      <c r="D50">
        <v>1402</v>
      </c>
      <c r="E50">
        <v>940</v>
      </c>
      <c r="F50">
        <v>596</v>
      </c>
      <c r="G50">
        <v>4.2877697841726619</v>
      </c>
      <c r="H50">
        <v>139</v>
      </c>
      <c r="I50">
        <v>0.23322147651006711</v>
      </c>
      <c r="J50">
        <v>10.744202460061491</v>
      </c>
      <c r="K50">
        <v>1.37854503372277</v>
      </c>
      <c r="L50">
        <v>617.73333333332403</v>
      </c>
      <c r="M50">
        <v>2.6638888890358539</v>
      </c>
    </row>
    <row r="51" spans="1:13">
      <c r="A51" t="s">
        <v>17</v>
      </c>
      <c r="B51">
        <v>6</v>
      </c>
      <c r="C51">
        <v>9</v>
      </c>
      <c r="D51">
        <v>1364</v>
      </c>
      <c r="E51">
        <v>892</v>
      </c>
      <c r="F51">
        <v>571</v>
      </c>
      <c r="G51">
        <v>4.3257575757575761</v>
      </c>
      <c r="H51">
        <v>132</v>
      </c>
      <c r="I51">
        <v>0.2311733800350263</v>
      </c>
      <c r="J51">
        <v>10.840336426649669</v>
      </c>
      <c r="K51">
        <v>1.38342162512305</v>
      </c>
      <c r="L51">
        <v>642.22222222253095</v>
      </c>
      <c r="M51">
        <v>5.38364197545609</v>
      </c>
    </row>
    <row r="52" spans="1:13">
      <c r="A52" t="s">
        <v>18</v>
      </c>
      <c r="B52">
        <v>6</v>
      </c>
      <c r="C52">
        <v>0</v>
      </c>
      <c r="D52">
        <v>1389</v>
      </c>
      <c r="E52">
        <v>922</v>
      </c>
      <c r="F52">
        <v>602</v>
      </c>
      <c r="G52">
        <v>4.5606060606060614</v>
      </c>
      <c r="H52">
        <v>132</v>
      </c>
      <c r="I52">
        <v>0.21926910299003319</v>
      </c>
      <c r="J52">
        <v>11.0292834576936</v>
      </c>
      <c r="K52">
        <v>1.37924645746953</v>
      </c>
      <c r="L52">
        <v>698.13333333388903</v>
      </c>
      <c r="M52">
        <v>3.635185185332563</v>
      </c>
    </row>
    <row r="53" spans="1:13">
      <c r="A53" t="s">
        <v>18</v>
      </c>
      <c r="B53">
        <v>6</v>
      </c>
      <c r="C53">
        <v>1</v>
      </c>
      <c r="D53">
        <v>1381</v>
      </c>
      <c r="E53">
        <v>901</v>
      </c>
      <c r="F53">
        <v>559</v>
      </c>
      <c r="G53">
        <v>4.333333333333333</v>
      </c>
      <c r="H53">
        <v>129</v>
      </c>
      <c r="I53">
        <v>0.23076923076923081</v>
      </c>
      <c r="J53">
        <v>11.033229432142679</v>
      </c>
      <c r="K53">
        <v>1.4387023127618299</v>
      </c>
      <c r="L53">
        <v>784.00000000463501</v>
      </c>
      <c r="M53">
        <v>4.1061728395796244</v>
      </c>
    </row>
    <row r="54" spans="1:13">
      <c r="A54" t="s">
        <v>18</v>
      </c>
      <c r="B54">
        <v>6</v>
      </c>
      <c r="C54">
        <v>2</v>
      </c>
      <c r="D54">
        <v>1399</v>
      </c>
      <c r="E54">
        <v>964</v>
      </c>
      <c r="F54">
        <v>609</v>
      </c>
      <c r="G54">
        <v>4.4779411764705879</v>
      </c>
      <c r="H54">
        <v>136</v>
      </c>
      <c r="I54">
        <v>0.22331691297208539</v>
      </c>
      <c r="J54">
        <v>10.60173322958236</v>
      </c>
      <c r="K54">
        <v>1.37427460607077</v>
      </c>
      <c r="L54">
        <v>595.64444444441699</v>
      </c>
      <c r="M54">
        <v>2.9064814816286528</v>
      </c>
    </row>
    <row r="55" spans="1:13">
      <c r="A55" t="s">
        <v>18</v>
      </c>
      <c r="B55">
        <v>6</v>
      </c>
      <c r="C55">
        <v>3</v>
      </c>
      <c r="D55">
        <v>1382</v>
      </c>
      <c r="E55">
        <v>918</v>
      </c>
      <c r="F55">
        <v>586</v>
      </c>
      <c r="G55">
        <v>4.6507936507936511</v>
      </c>
      <c r="H55">
        <v>126</v>
      </c>
      <c r="I55">
        <v>0.21501706484641639</v>
      </c>
      <c r="J55">
        <v>10.67365196073249</v>
      </c>
      <c r="K55">
        <v>1.36187705786019</v>
      </c>
      <c r="L55">
        <v>692.80000000409598</v>
      </c>
      <c r="M55">
        <v>4.0768518519989652</v>
      </c>
    </row>
    <row r="56" spans="1:13">
      <c r="A56" t="s">
        <v>18</v>
      </c>
      <c r="B56">
        <v>6</v>
      </c>
      <c r="C56">
        <v>4</v>
      </c>
      <c r="D56">
        <v>1374</v>
      </c>
      <c r="E56">
        <v>922</v>
      </c>
      <c r="F56">
        <v>590</v>
      </c>
      <c r="G56">
        <v>4.4360902255639099</v>
      </c>
      <c r="H56">
        <v>133</v>
      </c>
      <c r="I56">
        <v>0.22542372881355929</v>
      </c>
      <c r="J56">
        <v>10.674157101092421</v>
      </c>
      <c r="K56">
        <v>1.3713586875791799</v>
      </c>
      <c r="L56">
        <v>676.35555555534404</v>
      </c>
      <c r="M56">
        <v>4.6361111112582432</v>
      </c>
    </row>
    <row r="57" spans="1:13">
      <c r="A57" t="s">
        <v>18</v>
      </c>
      <c r="B57">
        <v>6</v>
      </c>
      <c r="C57">
        <v>5</v>
      </c>
      <c r="D57">
        <v>1400</v>
      </c>
      <c r="E57">
        <v>928</v>
      </c>
      <c r="F57">
        <v>592</v>
      </c>
      <c r="G57">
        <v>4.4848484848484844</v>
      </c>
      <c r="H57">
        <v>132</v>
      </c>
      <c r="I57">
        <v>0.222972972972973</v>
      </c>
      <c r="J57">
        <v>11.27909482758621</v>
      </c>
      <c r="K57">
        <v>1.4180167687377001</v>
      </c>
      <c r="L57">
        <v>613.91111110845895</v>
      </c>
      <c r="M57">
        <v>2.8089506174309511</v>
      </c>
    </row>
    <row r="58" spans="1:13">
      <c r="A58" t="s">
        <v>18</v>
      </c>
      <c r="B58">
        <v>6</v>
      </c>
      <c r="C58">
        <v>6</v>
      </c>
      <c r="D58">
        <v>1388</v>
      </c>
      <c r="E58">
        <v>917</v>
      </c>
      <c r="F58">
        <v>570</v>
      </c>
      <c r="G58">
        <v>4.4881889763779528</v>
      </c>
      <c r="H58">
        <v>127</v>
      </c>
      <c r="I58">
        <v>0.22280701754385959</v>
      </c>
      <c r="J58">
        <v>11.012368528434351</v>
      </c>
      <c r="K58">
        <v>1.42538066858737</v>
      </c>
      <c r="L58">
        <v>745.64444444453602</v>
      </c>
      <c r="M58">
        <v>3.666049382863187</v>
      </c>
    </row>
    <row r="59" spans="1:13">
      <c r="A59" t="s">
        <v>18</v>
      </c>
      <c r="B59">
        <v>6</v>
      </c>
      <c r="C59">
        <v>7</v>
      </c>
      <c r="D59">
        <v>1389</v>
      </c>
      <c r="E59">
        <v>927</v>
      </c>
      <c r="F59">
        <v>602</v>
      </c>
      <c r="G59">
        <v>4.666666666666667</v>
      </c>
      <c r="H59">
        <v>129</v>
      </c>
      <c r="I59">
        <v>0.2142857142857143</v>
      </c>
      <c r="J59">
        <v>10.653474507057609</v>
      </c>
      <c r="K59">
        <v>1.3167128461551501</v>
      </c>
      <c r="L59">
        <v>659.422222219373</v>
      </c>
      <c r="M59">
        <v>3.6163580248386249</v>
      </c>
    </row>
    <row r="60" spans="1:13">
      <c r="A60" t="s">
        <v>18</v>
      </c>
      <c r="B60">
        <v>6</v>
      </c>
      <c r="C60">
        <v>8</v>
      </c>
      <c r="D60">
        <v>1390</v>
      </c>
      <c r="E60">
        <v>922</v>
      </c>
      <c r="F60">
        <v>586</v>
      </c>
      <c r="G60">
        <v>4.4732824427480917</v>
      </c>
      <c r="H60">
        <v>131</v>
      </c>
      <c r="I60">
        <v>0.2235494880546075</v>
      </c>
      <c r="J60">
        <v>10.720042480064009</v>
      </c>
      <c r="K60">
        <v>1.3576940479617401</v>
      </c>
      <c r="L60">
        <v>755.288888886157</v>
      </c>
      <c r="M60">
        <v>3.5586419754559651</v>
      </c>
    </row>
    <row r="61" spans="1:13">
      <c r="A61" t="s">
        <v>18</v>
      </c>
      <c r="B61">
        <v>6</v>
      </c>
      <c r="C61">
        <v>9</v>
      </c>
      <c r="D61">
        <v>1412</v>
      </c>
      <c r="E61">
        <v>927</v>
      </c>
      <c r="F61">
        <v>592</v>
      </c>
      <c r="G61">
        <v>4.5538461538461537</v>
      </c>
      <c r="H61">
        <v>130</v>
      </c>
      <c r="I61">
        <v>0.2195945945945946</v>
      </c>
      <c r="J61">
        <v>10.59284800045682</v>
      </c>
      <c r="K61">
        <v>1.3351084768422301</v>
      </c>
      <c r="L61">
        <v>581.77777777526398</v>
      </c>
      <c r="M61">
        <v>2.037345679159718</v>
      </c>
    </row>
    <row r="62" spans="1:13">
      <c r="A62" t="s">
        <v>19</v>
      </c>
      <c r="B62">
        <v>6</v>
      </c>
      <c r="C62">
        <v>0</v>
      </c>
      <c r="D62">
        <v>1403</v>
      </c>
      <c r="E62">
        <v>927</v>
      </c>
      <c r="F62">
        <v>614</v>
      </c>
      <c r="G62">
        <v>4.6870229007633588</v>
      </c>
      <c r="H62">
        <v>131</v>
      </c>
      <c r="I62">
        <v>0.21335504885993489</v>
      </c>
      <c r="J62">
        <v>11.107270728442931</v>
      </c>
      <c r="K62">
        <v>1.3496166624203301</v>
      </c>
      <c r="L62">
        <v>671.377777781747</v>
      </c>
      <c r="M62">
        <v>2.642901234715159</v>
      </c>
    </row>
    <row r="63" spans="1:13">
      <c r="A63" t="s">
        <v>19</v>
      </c>
      <c r="B63">
        <v>6</v>
      </c>
      <c r="C63">
        <v>1</v>
      </c>
      <c r="D63">
        <v>1382</v>
      </c>
      <c r="E63">
        <v>911</v>
      </c>
      <c r="F63">
        <v>568</v>
      </c>
      <c r="G63">
        <v>4.4375</v>
      </c>
      <c r="H63">
        <v>128</v>
      </c>
      <c r="I63">
        <v>0.22535211267605629</v>
      </c>
      <c r="J63">
        <v>10.807929833073331</v>
      </c>
      <c r="K63">
        <v>1.3884871097809399</v>
      </c>
      <c r="L63">
        <v>707.37777778196005</v>
      </c>
      <c r="M63">
        <v>4.0820987655792358</v>
      </c>
    </row>
    <row r="64" spans="1:13">
      <c r="A64" t="s">
        <v>19</v>
      </c>
      <c r="B64">
        <v>6</v>
      </c>
      <c r="C64">
        <v>2</v>
      </c>
      <c r="D64">
        <v>1413</v>
      </c>
      <c r="E64">
        <v>959</v>
      </c>
      <c r="F64">
        <v>606</v>
      </c>
      <c r="G64">
        <v>4.5909090909090908</v>
      </c>
      <c r="H64">
        <v>132</v>
      </c>
      <c r="I64">
        <v>0.21782178217821779</v>
      </c>
      <c r="J64">
        <v>10.45804259354682</v>
      </c>
      <c r="K64">
        <v>1.35286790444254</v>
      </c>
      <c r="L64">
        <v>609.51111110847796</v>
      </c>
      <c r="M64">
        <v>1.9395061729867149</v>
      </c>
    </row>
    <row r="65" spans="1:13">
      <c r="A65" t="s">
        <v>19</v>
      </c>
      <c r="B65">
        <v>6</v>
      </c>
      <c r="C65">
        <v>3</v>
      </c>
      <c r="D65">
        <v>1392</v>
      </c>
      <c r="E65">
        <v>930</v>
      </c>
      <c r="F65">
        <v>588</v>
      </c>
      <c r="G65">
        <v>4.59375</v>
      </c>
      <c r="H65">
        <v>128</v>
      </c>
      <c r="I65">
        <v>0.21768707482993199</v>
      </c>
      <c r="J65">
        <v>10.37101650600469</v>
      </c>
      <c r="K65">
        <v>1.34105985458871</v>
      </c>
      <c r="L65">
        <v>699.33333333746805</v>
      </c>
      <c r="M65">
        <v>3.4012345680484661</v>
      </c>
    </row>
    <row r="66" spans="1:13">
      <c r="A66" t="s">
        <v>19</v>
      </c>
      <c r="B66">
        <v>6</v>
      </c>
      <c r="C66">
        <v>4</v>
      </c>
      <c r="D66">
        <v>1389</v>
      </c>
      <c r="E66">
        <v>934</v>
      </c>
      <c r="F66">
        <v>596</v>
      </c>
      <c r="G66">
        <v>4.4148148148148154</v>
      </c>
      <c r="H66">
        <v>135</v>
      </c>
      <c r="I66">
        <v>0.22651006711409399</v>
      </c>
      <c r="J66">
        <v>10.932284772572061</v>
      </c>
      <c r="K66">
        <v>1.37812922875724</v>
      </c>
      <c r="L66">
        <v>685.28888889294001</v>
      </c>
      <c r="M66">
        <v>3.5864197532334998</v>
      </c>
    </row>
    <row r="67" spans="1:13">
      <c r="A67" t="s">
        <v>19</v>
      </c>
      <c r="B67">
        <v>6</v>
      </c>
      <c r="C67">
        <v>5</v>
      </c>
      <c r="D67">
        <v>1391</v>
      </c>
      <c r="E67">
        <v>913</v>
      </c>
      <c r="F67">
        <v>597</v>
      </c>
      <c r="G67">
        <v>4.5227272727272716</v>
      </c>
      <c r="H67">
        <v>132</v>
      </c>
      <c r="I67">
        <v>0.221105527638191</v>
      </c>
      <c r="J67">
        <v>11.268421706119391</v>
      </c>
      <c r="K67">
        <v>1.39660592860267</v>
      </c>
      <c r="L67">
        <v>724.80000000428504</v>
      </c>
      <c r="M67">
        <v>3.4604938273076531</v>
      </c>
    </row>
    <row r="68" spans="1:13">
      <c r="A68" t="s">
        <v>19</v>
      </c>
      <c r="B68">
        <v>6</v>
      </c>
      <c r="C68">
        <v>6</v>
      </c>
      <c r="D68">
        <v>1395</v>
      </c>
      <c r="E68">
        <v>925</v>
      </c>
      <c r="F68">
        <v>584</v>
      </c>
      <c r="G68">
        <v>4.4580152671755728</v>
      </c>
      <c r="H68">
        <v>131</v>
      </c>
      <c r="I68">
        <v>0.22431506849315069</v>
      </c>
      <c r="J68">
        <v>10.771891365542411</v>
      </c>
      <c r="K68">
        <v>1.38671129567426</v>
      </c>
      <c r="L68">
        <v>702.13333333035405</v>
      </c>
      <c r="M68">
        <v>3.1842592594064238</v>
      </c>
    </row>
    <row r="69" spans="1:13">
      <c r="A69" t="s">
        <v>19</v>
      </c>
      <c r="B69">
        <v>6</v>
      </c>
      <c r="C69">
        <v>7</v>
      </c>
      <c r="D69">
        <v>1391</v>
      </c>
      <c r="E69">
        <v>930</v>
      </c>
      <c r="F69">
        <v>596</v>
      </c>
      <c r="G69">
        <v>4.6929133858267713</v>
      </c>
      <c r="H69">
        <v>127</v>
      </c>
      <c r="I69">
        <v>0.21308724832214759</v>
      </c>
      <c r="J69">
        <v>10.675114993999699</v>
      </c>
      <c r="K69">
        <v>1.35334852197791</v>
      </c>
      <c r="L69">
        <v>635.600000000004</v>
      </c>
      <c r="M69">
        <v>3.4617283952088962</v>
      </c>
    </row>
    <row r="70" spans="1:13">
      <c r="A70" t="s">
        <v>19</v>
      </c>
      <c r="B70">
        <v>6</v>
      </c>
      <c r="C70">
        <v>8</v>
      </c>
      <c r="D70">
        <v>1382</v>
      </c>
      <c r="E70">
        <v>924</v>
      </c>
      <c r="F70">
        <v>574</v>
      </c>
      <c r="G70">
        <v>4.5196850393700787</v>
      </c>
      <c r="H70">
        <v>127</v>
      </c>
      <c r="I70">
        <v>0.22125435540069691</v>
      </c>
      <c r="J70">
        <v>10.727149508458499</v>
      </c>
      <c r="K70">
        <v>1.4051190047281901</v>
      </c>
      <c r="L70">
        <v>667.244444441562</v>
      </c>
      <c r="M70">
        <v>4.0981481482953814</v>
      </c>
    </row>
    <row r="71" spans="1:13">
      <c r="A71" t="s">
        <v>19</v>
      </c>
      <c r="B71">
        <v>6</v>
      </c>
      <c r="C71">
        <v>9</v>
      </c>
      <c r="D71">
        <v>1403</v>
      </c>
      <c r="E71">
        <v>915</v>
      </c>
      <c r="F71">
        <v>581</v>
      </c>
      <c r="G71">
        <v>4.6111111111111107</v>
      </c>
      <c r="H71">
        <v>126</v>
      </c>
      <c r="I71">
        <v>0.2168674698795181</v>
      </c>
      <c r="J71">
        <v>10.744974937570859</v>
      </c>
      <c r="K71">
        <v>1.3680847298985701</v>
      </c>
      <c r="L71">
        <v>667.95555555558599</v>
      </c>
      <c r="M71">
        <v>2.621913580394041</v>
      </c>
    </row>
    <row r="72" spans="1:13">
      <c r="A72" t="s">
        <v>20</v>
      </c>
      <c r="B72">
        <v>6</v>
      </c>
      <c r="C72">
        <v>0</v>
      </c>
      <c r="D72">
        <v>1403</v>
      </c>
      <c r="E72">
        <v>926</v>
      </c>
      <c r="F72">
        <v>607</v>
      </c>
      <c r="G72">
        <v>4.6335877862595423</v>
      </c>
      <c r="H72">
        <v>131</v>
      </c>
      <c r="I72">
        <v>0.21581548599670511</v>
      </c>
      <c r="J72">
        <v>11.335878029752161</v>
      </c>
      <c r="K72">
        <v>1.3951517834240399</v>
      </c>
      <c r="L72">
        <v>631.111111111112</v>
      </c>
      <c r="M72">
        <v>2.595061728542035</v>
      </c>
    </row>
    <row r="73" spans="1:13">
      <c r="A73" t="s">
        <v>20</v>
      </c>
      <c r="B73">
        <v>6</v>
      </c>
      <c r="C73">
        <v>1</v>
      </c>
      <c r="D73">
        <v>1399</v>
      </c>
      <c r="E73">
        <v>915</v>
      </c>
      <c r="F73">
        <v>575</v>
      </c>
      <c r="G73">
        <v>4.6747967479674797</v>
      </c>
      <c r="H73">
        <v>123</v>
      </c>
      <c r="I73">
        <v>0.2139130434782609</v>
      </c>
      <c r="J73">
        <v>10.79793863838813</v>
      </c>
      <c r="K73">
        <v>1.38604472983233</v>
      </c>
      <c r="L73">
        <v>728.48888889319596</v>
      </c>
      <c r="M73">
        <v>2.917283950764515</v>
      </c>
    </row>
    <row r="74" spans="1:13">
      <c r="A74" t="s">
        <v>20</v>
      </c>
      <c r="B74">
        <v>6</v>
      </c>
      <c r="C74">
        <v>2</v>
      </c>
      <c r="D74">
        <v>1403</v>
      </c>
      <c r="E74">
        <v>952</v>
      </c>
      <c r="F74">
        <v>611</v>
      </c>
      <c r="G74">
        <v>4.7364341085271322</v>
      </c>
      <c r="H74">
        <v>129</v>
      </c>
      <c r="I74">
        <v>0.21112929623567919</v>
      </c>
      <c r="J74">
        <v>10.625153514503261</v>
      </c>
      <c r="K74">
        <v>1.37321240932282</v>
      </c>
      <c r="L74">
        <v>631.644444444947</v>
      </c>
      <c r="M74">
        <v>2.5848765432833751</v>
      </c>
    </row>
    <row r="75" spans="1:13">
      <c r="A75" t="s">
        <v>20</v>
      </c>
      <c r="B75">
        <v>6</v>
      </c>
      <c r="C75">
        <v>3</v>
      </c>
      <c r="D75">
        <v>1378</v>
      </c>
      <c r="E75">
        <v>912</v>
      </c>
      <c r="F75">
        <v>580</v>
      </c>
      <c r="G75">
        <v>4.5669291338582676</v>
      </c>
      <c r="H75">
        <v>127</v>
      </c>
      <c r="I75">
        <v>0.2189655172413793</v>
      </c>
      <c r="J75">
        <v>10.71561524917117</v>
      </c>
      <c r="K75">
        <v>1.3668730201330599</v>
      </c>
      <c r="L75">
        <v>753.066666663413</v>
      </c>
      <c r="M75">
        <v>4.3817901236040564</v>
      </c>
    </row>
    <row r="76" spans="1:13">
      <c r="A76" t="s">
        <v>20</v>
      </c>
      <c r="B76">
        <v>6</v>
      </c>
      <c r="C76">
        <v>4</v>
      </c>
      <c r="D76">
        <v>1410</v>
      </c>
      <c r="E76">
        <v>933</v>
      </c>
      <c r="F76">
        <v>593</v>
      </c>
      <c r="G76">
        <v>4.4924242424242422</v>
      </c>
      <c r="H76">
        <v>132</v>
      </c>
      <c r="I76">
        <v>0.22259696458684661</v>
      </c>
      <c r="J76">
        <v>11.01493837082969</v>
      </c>
      <c r="K76">
        <v>1.39593538701938</v>
      </c>
      <c r="L76">
        <v>653.82222221939799</v>
      </c>
      <c r="M76">
        <v>2.1074074075543678</v>
      </c>
    </row>
    <row r="77" spans="1:13">
      <c r="A77" t="s">
        <v>20</v>
      </c>
      <c r="B77">
        <v>6</v>
      </c>
      <c r="C77">
        <v>5</v>
      </c>
      <c r="D77">
        <v>1392</v>
      </c>
      <c r="E77">
        <v>916</v>
      </c>
      <c r="F77">
        <v>591</v>
      </c>
      <c r="G77">
        <v>4.4436090225563909</v>
      </c>
      <c r="H77">
        <v>133</v>
      </c>
      <c r="I77">
        <v>0.22504230118443319</v>
      </c>
      <c r="J77">
        <v>11.40331873937402</v>
      </c>
      <c r="K77">
        <v>1.4167237969980899</v>
      </c>
      <c r="L77">
        <v>626.66666666395895</v>
      </c>
      <c r="M77">
        <v>3.3796296297767219</v>
      </c>
    </row>
    <row r="78" spans="1:13">
      <c r="A78" t="s">
        <v>20</v>
      </c>
      <c r="B78">
        <v>6</v>
      </c>
      <c r="C78">
        <v>6</v>
      </c>
      <c r="D78">
        <v>1404</v>
      </c>
      <c r="E78">
        <v>931</v>
      </c>
      <c r="F78">
        <v>585</v>
      </c>
      <c r="G78">
        <v>4.4656488549618318</v>
      </c>
      <c r="H78">
        <v>131</v>
      </c>
      <c r="I78">
        <v>0.22393162393162391</v>
      </c>
      <c r="J78">
        <v>10.63050532662726</v>
      </c>
      <c r="K78">
        <v>1.3759618398454101</v>
      </c>
      <c r="L78">
        <v>695.11111110810805</v>
      </c>
      <c r="M78">
        <v>2.5987654322461742</v>
      </c>
    </row>
    <row r="79" spans="1:13">
      <c r="A79" t="s">
        <v>20</v>
      </c>
      <c r="B79">
        <v>6</v>
      </c>
      <c r="C79">
        <v>7</v>
      </c>
      <c r="D79">
        <v>1400</v>
      </c>
      <c r="E79">
        <v>935</v>
      </c>
      <c r="F79">
        <v>603</v>
      </c>
      <c r="G79">
        <v>4.7480314960629917</v>
      </c>
      <c r="H79">
        <v>127</v>
      </c>
      <c r="I79">
        <v>0.21061359867330021</v>
      </c>
      <c r="J79">
        <v>10.683268402923551</v>
      </c>
      <c r="K79">
        <v>1.34207873776538</v>
      </c>
      <c r="L79">
        <v>605.37777778135705</v>
      </c>
      <c r="M79">
        <v>2.8154320989124719</v>
      </c>
    </row>
    <row r="80" spans="1:13">
      <c r="A80" t="s">
        <v>20</v>
      </c>
      <c r="B80">
        <v>6</v>
      </c>
      <c r="C80">
        <v>8</v>
      </c>
      <c r="D80">
        <v>1385</v>
      </c>
      <c r="E80">
        <v>932</v>
      </c>
      <c r="F80">
        <v>591</v>
      </c>
      <c r="G80">
        <v>4.4436090225563909</v>
      </c>
      <c r="H80">
        <v>133</v>
      </c>
      <c r="I80">
        <v>0.22504230118443319</v>
      </c>
      <c r="J80">
        <v>11.02411242660064</v>
      </c>
      <c r="K80">
        <v>1.3980466761607599</v>
      </c>
      <c r="L80">
        <v>657.86666666668896</v>
      </c>
      <c r="M80">
        <v>3.883333333480528</v>
      </c>
    </row>
    <row r="81" spans="1:13">
      <c r="A81" t="s">
        <v>20</v>
      </c>
      <c r="B81">
        <v>6</v>
      </c>
      <c r="C81">
        <v>9</v>
      </c>
      <c r="D81">
        <v>1388</v>
      </c>
      <c r="E81">
        <v>937</v>
      </c>
      <c r="F81">
        <v>595</v>
      </c>
      <c r="G81">
        <v>4.612403100775194</v>
      </c>
      <c r="H81">
        <v>129</v>
      </c>
      <c r="I81">
        <v>0.21680672268907561</v>
      </c>
      <c r="J81">
        <v>11.052663642780789</v>
      </c>
      <c r="K81">
        <v>1.40492727837475</v>
      </c>
      <c r="L81">
        <v>668.08888888942101</v>
      </c>
      <c r="M81">
        <v>3.6280864198265901</v>
      </c>
    </row>
    <row r="82" spans="1:13">
      <c r="A82" t="s">
        <v>21</v>
      </c>
      <c r="B82">
        <v>10</v>
      </c>
      <c r="C82">
        <v>0</v>
      </c>
      <c r="D82">
        <v>1424</v>
      </c>
      <c r="E82">
        <v>944</v>
      </c>
      <c r="F82">
        <v>620</v>
      </c>
      <c r="G82">
        <v>5.081967213114754</v>
      </c>
      <c r="H82">
        <v>122</v>
      </c>
      <c r="I82">
        <v>0.1967741935483871</v>
      </c>
      <c r="J82">
        <v>10.591101694915301</v>
      </c>
      <c r="K82">
        <v>1.29946112931366</v>
      </c>
      <c r="L82">
        <v>795.73333332989603</v>
      </c>
      <c r="M82">
        <v>1.188888889036176</v>
      </c>
    </row>
    <row r="83" spans="1:13">
      <c r="A83" t="s">
        <v>21</v>
      </c>
      <c r="B83">
        <v>10</v>
      </c>
      <c r="C83">
        <v>1</v>
      </c>
      <c r="D83">
        <v>1430</v>
      </c>
      <c r="E83">
        <v>935</v>
      </c>
      <c r="F83">
        <v>584</v>
      </c>
      <c r="G83">
        <v>4.9075630252100844</v>
      </c>
      <c r="H83">
        <v>119</v>
      </c>
      <c r="I83">
        <v>0.20376712328767119</v>
      </c>
      <c r="J83">
        <v>10.34438502673801</v>
      </c>
      <c r="K83">
        <v>1.3347944831168801</v>
      </c>
      <c r="L83">
        <v>833.77777777938104</v>
      </c>
      <c r="M83">
        <v>0.71820987669017078</v>
      </c>
    </row>
    <row r="84" spans="1:13">
      <c r="A84" t="s">
        <v>21</v>
      </c>
      <c r="B84">
        <v>10</v>
      </c>
      <c r="C84">
        <v>2</v>
      </c>
      <c r="D84">
        <v>1430</v>
      </c>
      <c r="E84">
        <v>987</v>
      </c>
      <c r="F84">
        <v>617</v>
      </c>
      <c r="G84">
        <v>5.0991735537190079</v>
      </c>
      <c r="H84">
        <v>121</v>
      </c>
      <c r="I84">
        <v>0.19611021069692061</v>
      </c>
      <c r="J84">
        <v>10.13779128672746</v>
      </c>
      <c r="K84">
        <v>1.3103632125460101</v>
      </c>
      <c r="L84">
        <v>762.40000000450698</v>
      </c>
      <c r="M84">
        <v>0.73271604952975911</v>
      </c>
    </row>
    <row r="85" spans="1:13">
      <c r="A85" t="s">
        <v>21</v>
      </c>
      <c r="B85">
        <v>10</v>
      </c>
      <c r="C85">
        <v>3</v>
      </c>
      <c r="D85">
        <v>1428</v>
      </c>
      <c r="E85">
        <v>940</v>
      </c>
      <c r="F85">
        <v>607</v>
      </c>
      <c r="G85">
        <v>5.1880341880341883</v>
      </c>
      <c r="H85">
        <v>117</v>
      </c>
      <c r="I85">
        <v>0.1927512355848435</v>
      </c>
      <c r="J85">
        <v>10.42021276595751</v>
      </c>
      <c r="K85">
        <v>1.31301350242091</v>
      </c>
      <c r="L85">
        <v>766.48888889342004</v>
      </c>
      <c r="M85">
        <v>0.88580246928293405</v>
      </c>
    </row>
    <row r="86" spans="1:13">
      <c r="A86" t="s">
        <v>21</v>
      </c>
      <c r="B86">
        <v>10</v>
      </c>
      <c r="C86">
        <v>4</v>
      </c>
      <c r="D86">
        <v>1431</v>
      </c>
      <c r="E86">
        <v>950</v>
      </c>
      <c r="F86">
        <v>597</v>
      </c>
      <c r="G86">
        <v>5.0168067226890756</v>
      </c>
      <c r="H86">
        <v>119</v>
      </c>
      <c r="I86">
        <v>0.19932998324958121</v>
      </c>
      <c r="J86">
        <v>10.676155323210949</v>
      </c>
      <c r="K86">
        <v>1.3667976693759201</v>
      </c>
      <c r="L86">
        <v>772.00000000456396</v>
      </c>
      <c r="M86">
        <v>0.70154321002381459</v>
      </c>
    </row>
    <row r="87" spans="1:13">
      <c r="A87" t="s">
        <v>21</v>
      </c>
      <c r="B87">
        <v>10</v>
      </c>
      <c r="C87">
        <v>5</v>
      </c>
      <c r="D87">
        <v>1430</v>
      </c>
      <c r="E87">
        <v>953</v>
      </c>
      <c r="F87">
        <v>600</v>
      </c>
      <c r="G87">
        <v>4.8780487804878048</v>
      </c>
      <c r="H87">
        <v>123</v>
      </c>
      <c r="I87">
        <v>0.20499999999999999</v>
      </c>
      <c r="J87">
        <v>10.73377750814816</v>
      </c>
      <c r="K87">
        <v>1.3544387784605201</v>
      </c>
      <c r="L87">
        <v>781.99999999687202</v>
      </c>
      <c r="M87">
        <v>0.81388888903642154</v>
      </c>
    </row>
    <row r="88" spans="1:13">
      <c r="A88" t="s">
        <v>21</v>
      </c>
      <c r="B88">
        <v>10</v>
      </c>
      <c r="C88">
        <v>6</v>
      </c>
      <c r="D88">
        <v>1428</v>
      </c>
      <c r="E88">
        <v>966</v>
      </c>
      <c r="F88">
        <v>606</v>
      </c>
      <c r="G88">
        <v>5.1794871794871797</v>
      </c>
      <c r="H88">
        <v>117</v>
      </c>
      <c r="I88">
        <v>0.1930693069306931</v>
      </c>
      <c r="J88">
        <v>10.004140786749529</v>
      </c>
      <c r="K88">
        <v>1.2918463715397599</v>
      </c>
      <c r="L88">
        <v>772.04444444455703</v>
      </c>
      <c r="M88">
        <v>0.9370370371844674</v>
      </c>
    </row>
    <row r="89" spans="1:13">
      <c r="A89" t="s">
        <v>21</v>
      </c>
      <c r="B89">
        <v>10</v>
      </c>
      <c r="C89">
        <v>7</v>
      </c>
      <c r="D89">
        <v>1431</v>
      </c>
      <c r="E89">
        <v>958</v>
      </c>
      <c r="F89">
        <v>611</v>
      </c>
      <c r="G89">
        <v>5.3596491228070171</v>
      </c>
      <c r="H89">
        <v>114</v>
      </c>
      <c r="I89">
        <v>0.18657937806873981</v>
      </c>
      <c r="J89">
        <v>9.9624204070976212</v>
      </c>
      <c r="K89">
        <v>1.2660103568502099</v>
      </c>
      <c r="L89">
        <v>879.73333333853395</v>
      </c>
      <c r="M89">
        <v>0.70493827175223189</v>
      </c>
    </row>
    <row r="90" spans="1:13">
      <c r="A90" t="s">
        <v>21</v>
      </c>
      <c r="B90">
        <v>10</v>
      </c>
      <c r="C90">
        <v>8</v>
      </c>
      <c r="D90">
        <v>1429</v>
      </c>
      <c r="E90">
        <v>958</v>
      </c>
      <c r="F90">
        <v>601</v>
      </c>
      <c r="G90">
        <v>5.2260869565217387</v>
      </c>
      <c r="H90">
        <v>115</v>
      </c>
      <c r="I90">
        <v>0.1913477537437604</v>
      </c>
      <c r="J90">
        <v>10.174321503131569</v>
      </c>
      <c r="K90">
        <v>1.3178763564051901</v>
      </c>
      <c r="L90">
        <v>741.77777778216296</v>
      </c>
      <c r="M90">
        <v>0.87839506187589045</v>
      </c>
    </row>
    <row r="91" spans="1:13">
      <c r="A91" t="s">
        <v>21</v>
      </c>
      <c r="B91">
        <v>10</v>
      </c>
      <c r="C91">
        <v>9</v>
      </c>
      <c r="D91">
        <v>1426</v>
      </c>
      <c r="E91">
        <v>931</v>
      </c>
      <c r="F91">
        <v>592</v>
      </c>
      <c r="G91">
        <v>5.2389380530973453</v>
      </c>
      <c r="H91">
        <v>113</v>
      </c>
      <c r="I91">
        <v>0.1908783783783784</v>
      </c>
      <c r="J91">
        <v>10.459717656914499</v>
      </c>
      <c r="K91">
        <v>1.31724954228765</v>
      </c>
      <c r="L91">
        <v>771.82222222678502</v>
      </c>
      <c r="M91">
        <v>0.99598765446795334</v>
      </c>
    </row>
    <row r="92" spans="1:13">
      <c r="A92" t="s">
        <v>22</v>
      </c>
      <c r="B92">
        <v>10</v>
      </c>
      <c r="C92">
        <v>0</v>
      </c>
      <c r="D92">
        <v>1094</v>
      </c>
      <c r="E92">
        <v>736</v>
      </c>
      <c r="F92">
        <v>492</v>
      </c>
      <c r="G92">
        <v>4.2413793103448274</v>
      </c>
      <c r="H92">
        <v>116</v>
      </c>
      <c r="I92">
        <v>0.23577235772357719</v>
      </c>
      <c r="J92">
        <v>12.29891304347831</v>
      </c>
      <c r="K92">
        <v>1.48007960199497</v>
      </c>
      <c r="L92">
        <v>555.733333333274</v>
      </c>
      <c r="M92">
        <v>24.027777777777779</v>
      </c>
    </row>
    <row r="93" spans="1:13">
      <c r="A93" t="s">
        <v>22</v>
      </c>
      <c r="B93">
        <v>10</v>
      </c>
      <c r="C93">
        <v>1</v>
      </c>
      <c r="D93">
        <v>1003</v>
      </c>
      <c r="E93">
        <v>665</v>
      </c>
      <c r="F93">
        <v>429</v>
      </c>
      <c r="G93">
        <v>4.2475247524752477</v>
      </c>
      <c r="H93">
        <v>101</v>
      </c>
      <c r="I93">
        <v>0.2354312354312354</v>
      </c>
      <c r="J93">
        <v>12.033082706766979</v>
      </c>
      <c r="K93">
        <v>1.50861872200561</v>
      </c>
      <c r="L93">
        <v>577.64444444194896</v>
      </c>
      <c r="M93">
        <v>30.347222222222221</v>
      </c>
    </row>
    <row r="94" spans="1:13">
      <c r="A94" t="s">
        <v>22</v>
      </c>
      <c r="B94">
        <v>10</v>
      </c>
      <c r="C94">
        <v>2</v>
      </c>
      <c r="D94">
        <v>1321</v>
      </c>
      <c r="E94">
        <v>905</v>
      </c>
      <c r="F94">
        <v>586</v>
      </c>
      <c r="G94">
        <v>3.8051948051948048</v>
      </c>
      <c r="H94">
        <v>154</v>
      </c>
      <c r="I94">
        <v>0.26279863481228671</v>
      </c>
      <c r="J94">
        <v>11.455676450221</v>
      </c>
      <c r="K94">
        <v>1.45014607499513</v>
      </c>
      <c r="L94">
        <v>621.33333333700602</v>
      </c>
      <c r="M94">
        <v>8.3351851853324241</v>
      </c>
    </row>
    <row r="95" spans="1:13">
      <c r="A95" t="s">
        <v>22</v>
      </c>
      <c r="B95">
        <v>10</v>
      </c>
      <c r="C95">
        <v>3</v>
      </c>
      <c r="D95">
        <v>1073</v>
      </c>
      <c r="E95">
        <v>720</v>
      </c>
      <c r="F95">
        <v>459</v>
      </c>
      <c r="G95">
        <v>4.6363636363636367</v>
      </c>
      <c r="H95">
        <v>99</v>
      </c>
      <c r="I95">
        <v>0.2156862745098039</v>
      </c>
      <c r="J95">
        <v>10.900000000000061</v>
      </c>
      <c r="K95">
        <v>1.39856241043541</v>
      </c>
      <c r="L95">
        <v>581.55555555601802</v>
      </c>
      <c r="M95">
        <v>25.486111111111111</v>
      </c>
    </row>
    <row r="96" spans="1:13">
      <c r="A96" t="s">
        <v>22</v>
      </c>
      <c r="B96">
        <v>10</v>
      </c>
      <c r="C96">
        <v>4</v>
      </c>
      <c r="D96">
        <v>385</v>
      </c>
      <c r="E96">
        <v>275</v>
      </c>
      <c r="F96">
        <v>169</v>
      </c>
      <c r="G96">
        <v>5.28125</v>
      </c>
      <c r="H96">
        <v>32</v>
      </c>
      <c r="I96">
        <v>0.1893491124260355</v>
      </c>
      <c r="J96">
        <v>8.4</v>
      </c>
      <c r="K96">
        <v>1.0891249440149799</v>
      </c>
      <c r="L96">
        <v>374.666666666639</v>
      </c>
      <c r="M96">
        <v>73.263888888888886</v>
      </c>
    </row>
    <row r="97" spans="1:13">
      <c r="A97" t="s">
        <v>22</v>
      </c>
      <c r="B97">
        <v>10</v>
      </c>
      <c r="C97">
        <v>5</v>
      </c>
      <c r="D97">
        <v>371</v>
      </c>
      <c r="E97">
        <v>262</v>
      </c>
      <c r="F97">
        <v>158</v>
      </c>
      <c r="G97">
        <v>5.2666666666666666</v>
      </c>
      <c r="H97">
        <v>30</v>
      </c>
      <c r="I97">
        <v>0.189873417721519</v>
      </c>
      <c r="J97">
        <v>8.1870229007633579</v>
      </c>
      <c r="K97">
        <v>1.1079469780237601</v>
      </c>
      <c r="L97">
        <v>382.088888888876</v>
      </c>
      <c r="M97">
        <v>74.236111111111114</v>
      </c>
    </row>
    <row r="98" spans="1:13">
      <c r="A98" t="s">
        <v>22</v>
      </c>
      <c r="B98">
        <v>10</v>
      </c>
      <c r="C98">
        <v>6</v>
      </c>
      <c r="D98">
        <v>373</v>
      </c>
      <c r="E98">
        <v>257</v>
      </c>
      <c r="F98">
        <v>153</v>
      </c>
      <c r="G98">
        <v>5.2758620689655169</v>
      </c>
      <c r="H98">
        <v>29</v>
      </c>
      <c r="I98">
        <v>0.18954248366013071</v>
      </c>
      <c r="J98">
        <v>8.6381322957198439</v>
      </c>
      <c r="K98">
        <v>1.1444746373522301</v>
      </c>
      <c r="L98">
        <v>421.73333333366901</v>
      </c>
      <c r="M98">
        <v>74.097222222222229</v>
      </c>
    </row>
    <row r="99" spans="1:13">
      <c r="A99" t="s">
        <v>22</v>
      </c>
      <c r="B99">
        <v>10</v>
      </c>
      <c r="C99">
        <v>7</v>
      </c>
      <c r="D99">
        <v>1401</v>
      </c>
      <c r="E99">
        <v>938</v>
      </c>
      <c r="F99">
        <v>610</v>
      </c>
      <c r="G99">
        <v>4.4525547445255471</v>
      </c>
      <c r="H99">
        <v>137</v>
      </c>
      <c r="I99">
        <v>0.22459016393442621</v>
      </c>
      <c r="J99">
        <v>10.70025605682121</v>
      </c>
      <c r="K99">
        <v>1.3423623023220399</v>
      </c>
      <c r="L99">
        <v>611.46666667028103</v>
      </c>
      <c r="M99">
        <v>2.8120370371844721</v>
      </c>
    </row>
    <row r="100" spans="1:13">
      <c r="A100" t="s">
        <v>22</v>
      </c>
      <c r="B100">
        <v>10</v>
      </c>
      <c r="C100">
        <v>8</v>
      </c>
      <c r="D100">
        <v>1357</v>
      </c>
      <c r="E100">
        <v>909</v>
      </c>
      <c r="F100">
        <v>571</v>
      </c>
      <c r="G100">
        <v>4.1079136690647484</v>
      </c>
      <c r="H100">
        <v>139</v>
      </c>
      <c r="I100">
        <v>0.24343257443082311</v>
      </c>
      <c r="J100">
        <v>11.630852754996591</v>
      </c>
      <c r="K100">
        <v>1.5032054526554699</v>
      </c>
      <c r="L100">
        <v>626.355555555553</v>
      </c>
      <c r="M100">
        <v>5.845987654468292</v>
      </c>
    </row>
    <row r="101" spans="1:13">
      <c r="A101" t="s">
        <v>22</v>
      </c>
      <c r="B101">
        <v>10</v>
      </c>
      <c r="C101">
        <v>9</v>
      </c>
      <c r="D101">
        <v>993</v>
      </c>
      <c r="E101">
        <v>668</v>
      </c>
      <c r="F101">
        <v>428</v>
      </c>
      <c r="G101">
        <v>4.0761904761904759</v>
      </c>
      <c r="H101">
        <v>105</v>
      </c>
      <c r="I101">
        <v>0.24532710280373829</v>
      </c>
      <c r="J101">
        <v>12.588323353293459</v>
      </c>
      <c r="K101">
        <v>1.5954487640933199</v>
      </c>
      <c r="L101">
        <v>597.68888889242203</v>
      </c>
      <c r="M101">
        <v>31.041666666666661</v>
      </c>
    </row>
    <row r="102" spans="1:13">
      <c r="A102" t="s">
        <v>23</v>
      </c>
      <c r="B102">
        <v>10</v>
      </c>
      <c r="C102">
        <v>0</v>
      </c>
      <c r="D102">
        <v>1367</v>
      </c>
      <c r="E102">
        <v>891</v>
      </c>
      <c r="F102">
        <v>602</v>
      </c>
      <c r="G102">
        <v>3.7861635220125791</v>
      </c>
      <c r="H102">
        <v>159</v>
      </c>
      <c r="I102">
        <v>0.26411960132890372</v>
      </c>
      <c r="J102">
        <v>13.117977723906961</v>
      </c>
      <c r="K102">
        <v>1.5970007027391</v>
      </c>
      <c r="L102">
        <v>601.60000000047899</v>
      </c>
      <c r="M102">
        <v>5.1191358026162499</v>
      </c>
    </row>
    <row r="103" spans="1:13">
      <c r="A103" t="s">
        <v>23</v>
      </c>
      <c r="B103">
        <v>10</v>
      </c>
      <c r="C103">
        <v>1</v>
      </c>
      <c r="D103">
        <v>1412</v>
      </c>
      <c r="E103">
        <v>912</v>
      </c>
      <c r="F103">
        <v>580</v>
      </c>
      <c r="G103">
        <v>3.5151515151515151</v>
      </c>
      <c r="H103">
        <v>165</v>
      </c>
      <c r="I103">
        <v>0.28448275862068972</v>
      </c>
      <c r="J103">
        <v>13.18575475142719</v>
      </c>
      <c r="K103">
        <v>1.7039154419476601</v>
      </c>
      <c r="L103">
        <v>541.02222222542105</v>
      </c>
      <c r="M103">
        <v>2.0077160495299089</v>
      </c>
    </row>
    <row r="104" spans="1:13">
      <c r="A104" t="s">
        <v>23</v>
      </c>
      <c r="B104">
        <v>10</v>
      </c>
      <c r="C104">
        <v>2</v>
      </c>
      <c r="D104">
        <v>1294</v>
      </c>
      <c r="E104">
        <v>871</v>
      </c>
      <c r="F104">
        <v>563</v>
      </c>
      <c r="G104">
        <v>3.2923976608187129</v>
      </c>
      <c r="H104">
        <v>171</v>
      </c>
      <c r="I104">
        <v>0.30373001776198932</v>
      </c>
      <c r="J104">
        <v>13.26574187462721</v>
      </c>
      <c r="K104">
        <v>1.6892646912423399</v>
      </c>
      <c r="L104">
        <v>623.20000000049595</v>
      </c>
      <c r="M104">
        <v>10.16944444459144</v>
      </c>
    </row>
    <row r="105" spans="1:13">
      <c r="A105" t="s">
        <v>23</v>
      </c>
      <c r="B105">
        <v>10</v>
      </c>
      <c r="C105">
        <v>3</v>
      </c>
      <c r="D105">
        <v>1067</v>
      </c>
      <c r="E105">
        <v>692</v>
      </c>
      <c r="F105">
        <v>447</v>
      </c>
      <c r="G105">
        <v>3.547619047619047</v>
      </c>
      <c r="H105">
        <v>126</v>
      </c>
      <c r="I105">
        <v>0.28187919463087252</v>
      </c>
      <c r="J105">
        <v>13.822254335260171</v>
      </c>
      <c r="K105">
        <v>1.7569003536835099</v>
      </c>
      <c r="L105">
        <v>556.62222222126104</v>
      </c>
      <c r="M105">
        <v>25.902777777777779</v>
      </c>
    </row>
    <row r="106" spans="1:13">
      <c r="A106" t="s">
        <v>23</v>
      </c>
      <c r="B106">
        <v>10</v>
      </c>
      <c r="C106">
        <v>4</v>
      </c>
      <c r="D106">
        <v>1390</v>
      </c>
      <c r="E106">
        <v>913</v>
      </c>
      <c r="F106">
        <v>595</v>
      </c>
      <c r="G106">
        <v>3.4795321637426899</v>
      </c>
      <c r="H106">
        <v>171</v>
      </c>
      <c r="I106">
        <v>0.28739495798319331</v>
      </c>
      <c r="J106">
        <v>13.783523792104489</v>
      </c>
      <c r="K106">
        <v>1.7451774074258199</v>
      </c>
      <c r="L106">
        <v>578.62222221972297</v>
      </c>
      <c r="M106">
        <v>3.5552469137275562</v>
      </c>
    </row>
    <row r="107" spans="1:13">
      <c r="A107" t="s">
        <v>23</v>
      </c>
      <c r="B107">
        <v>10</v>
      </c>
      <c r="C107">
        <v>5</v>
      </c>
      <c r="D107">
        <v>1413</v>
      </c>
      <c r="E107">
        <v>919</v>
      </c>
      <c r="F107">
        <v>597</v>
      </c>
      <c r="G107">
        <v>3.6402439024390238</v>
      </c>
      <c r="H107">
        <v>164</v>
      </c>
      <c r="I107">
        <v>0.27470686767169178</v>
      </c>
      <c r="J107">
        <v>12.69675636257432</v>
      </c>
      <c r="K107">
        <v>1.6221109984944999</v>
      </c>
      <c r="L107">
        <v>533.33333333109294</v>
      </c>
      <c r="M107">
        <v>1.9885802470610761</v>
      </c>
    </row>
    <row r="108" spans="1:13">
      <c r="A108" t="s">
        <v>23</v>
      </c>
      <c r="B108">
        <v>10</v>
      </c>
      <c r="C108">
        <v>6</v>
      </c>
      <c r="D108">
        <v>1380</v>
      </c>
      <c r="E108">
        <v>903</v>
      </c>
      <c r="F108">
        <v>573</v>
      </c>
      <c r="G108">
        <v>3.3508771929824559</v>
      </c>
      <c r="H108">
        <v>171</v>
      </c>
      <c r="I108">
        <v>0.29842931937172767</v>
      </c>
      <c r="J108">
        <v>13.434486857027469</v>
      </c>
      <c r="K108">
        <v>1.74732724392226</v>
      </c>
      <c r="L108">
        <v>562.88888888820702</v>
      </c>
      <c r="M108">
        <v>4.2120370371841247</v>
      </c>
    </row>
    <row r="109" spans="1:13">
      <c r="A109" t="s">
        <v>23</v>
      </c>
      <c r="B109">
        <v>10</v>
      </c>
      <c r="C109">
        <v>7</v>
      </c>
      <c r="D109">
        <v>1371</v>
      </c>
      <c r="E109">
        <v>912</v>
      </c>
      <c r="F109">
        <v>599</v>
      </c>
      <c r="G109">
        <v>3.6084337349397591</v>
      </c>
      <c r="H109">
        <v>166</v>
      </c>
      <c r="I109">
        <v>0.27712854757929878</v>
      </c>
      <c r="J109">
        <v>12.745959734380371</v>
      </c>
      <c r="K109">
        <v>1.5913816065181401</v>
      </c>
      <c r="L109">
        <v>540.13333333652599</v>
      </c>
      <c r="M109">
        <v>4.8188271606408124</v>
      </c>
    </row>
    <row r="110" spans="1:13">
      <c r="A110" t="s">
        <v>23</v>
      </c>
      <c r="B110">
        <v>10</v>
      </c>
      <c r="C110">
        <v>8</v>
      </c>
      <c r="D110">
        <v>1303</v>
      </c>
      <c r="E110">
        <v>861</v>
      </c>
      <c r="F110">
        <v>545</v>
      </c>
      <c r="G110">
        <v>3.1142857142857139</v>
      </c>
      <c r="H110">
        <v>175</v>
      </c>
      <c r="I110">
        <v>0.32110091743119268</v>
      </c>
      <c r="J110">
        <v>13.82271103528455</v>
      </c>
      <c r="K110">
        <v>1.7880052905397501</v>
      </c>
      <c r="L110">
        <v>600.13333333381104</v>
      </c>
      <c r="M110">
        <v>9.588888889036145</v>
      </c>
    </row>
    <row r="111" spans="1:13">
      <c r="A111" t="s">
        <v>23</v>
      </c>
      <c r="B111">
        <v>10</v>
      </c>
      <c r="C111">
        <v>9</v>
      </c>
      <c r="D111">
        <v>1093</v>
      </c>
      <c r="E111">
        <v>721</v>
      </c>
      <c r="F111">
        <v>469</v>
      </c>
      <c r="G111">
        <v>3.5801526717557248</v>
      </c>
      <c r="H111">
        <v>131</v>
      </c>
      <c r="I111">
        <v>0.27931769722814498</v>
      </c>
      <c r="J111">
        <v>13.533980582524331</v>
      </c>
      <c r="K111">
        <v>1.7082310673659</v>
      </c>
      <c r="L111">
        <v>587.24444444190704</v>
      </c>
      <c r="M111">
        <v>24.097222222222221</v>
      </c>
    </row>
    <row r="112" spans="1:13">
      <c r="A112" t="s">
        <v>24</v>
      </c>
      <c r="B112">
        <v>10</v>
      </c>
      <c r="C112">
        <v>0</v>
      </c>
      <c r="D112">
        <v>1390</v>
      </c>
      <c r="E112">
        <v>912</v>
      </c>
      <c r="F112">
        <v>596</v>
      </c>
      <c r="G112">
        <v>3.221621621621622</v>
      </c>
      <c r="H112">
        <v>185</v>
      </c>
      <c r="I112">
        <v>0.31040268456375841</v>
      </c>
      <c r="J112">
        <v>14.795054519974011</v>
      </c>
      <c r="K112">
        <v>1.86473565143548</v>
      </c>
      <c r="L112">
        <v>542.400000000766</v>
      </c>
      <c r="M112">
        <v>3.5552469137275482</v>
      </c>
    </row>
    <row r="113" spans="1:13">
      <c r="A113" t="s">
        <v>24</v>
      </c>
      <c r="B113">
        <v>10</v>
      </c>
      <c r="C113">
        <v>1</v>
      </c>
      <c r="D113">
        <v>1389</v>
      </c>
      <c r="E113">
        <v>903</v>
      </c>
      <c r="F113">
        <v>566</v>
      </c>
      <c r="G113">
        <v>3.2716763005780352</v>
      </c>
      <c r="H113">
        <v>173</v>
      </c>
      <c r="I113">
        <v>0.30565371024734977</v>
      </c>
      <c r="J113">
        <v>14.57652731633544</v>
      </c>
      <c r="K113">
        <v>1.90463692737789</v>
      </c>
      <c r="L113">
        <v>592.31111111130394</v>
      </c>
      <c r="M113">
        <v>3.614197531011444</v>
      </c>
    </row>
    <row r="114" spans="1:13">
      <c r="A114" t="s">
        <v>24</v>
      </c>
      <c r="B114">
        <v>10</v>
      </c>
      <c r="C114">
        <v>2</v>
      </c>
      <c r="D114">
        <v>1410</v>
      </c>
      <c r="E114">
        <v>949</v>
      </c>
      <c r="F114">
        <v>599</v>
      </c>
      <c r="G114">
        <v>3.2554347826086958</v>
      </c>
      <c r="H114">
        <v>184</v>
      </c>
      <c r="I114">
        <v>0.30717863105175292</v>
      </c>
      <c r="J114">
        <v>14.035962030325081</v>
      </c>
      <c r="K114">
        <v>1.8610447649485899</v>
      </c>
      <c r="L114">
        <v>530.31111111153302</v>
      </c>
      <c r="M114">
        <v>2.1101851853321669</v>
      </c>
    </row>
    <row r="115" spans="1:13">
      <c r="A115" t="s">
        <v>24</v>
      </c>
      <c r="B115">
        <v>10</v>
      </c>
      <c r="C115">
        <v>3</v>
      </c>
      <c r="D115">
        <v>1372</v>
      </c>
      <c r="E115">
        <v>902</v>
      </c>
      <c r="F115">
        <v>575</v>
      </c>
      <c r="G115">
        <v>3.0748663101604281</v>
      </c>
      <c r="H115">
        <v>187</v>
      </c>
      <c r="I115">
        <v>0.32521739130434779</v>
      </c>
      <c r="J115">
        <v>14.59766910722572</v>
      </c>
      <c r="K115">
        <v>1.8741392655429101</v>
      </c>
      <c r="L115">
        <v>584.79999999996403</v>
      </c>
      <c r="M115">
        <v>4.7824074075545759</v>
      </c>
    </row>
    <row r="116" spans="1:13">
      <c r="A116" t="s">
        <v>24</v>
      </c>
      <c r="B116">
        <v>10</v>
      </c>
      <c r="C116">
        <v>4</v>
      </c>
      <c r="D116">
        <v>1415</v>
      </c>
      <c r="E116">
        <v>938</v>
      </c>
      <c r="F116">
        <v>599</v>
      </c>
      <c r="G116">
        <v>3.3093922651933698</v>
      </c>
      <c r="H116">
        <v>181</v>
      </c>
      <c r="I116">
        <v>0.30217028380634392</v>
      </c>
      <c r="J116">
        <v>13.607174153184969</v>
      </c>
      <c r="K116">
        <v>1.76808130505607</v>
      </c>
      <c r="L116">
        <v>551.37777777816996</v>
      </c>
      <c r="M116">
        <v>1.81388888903616</v>
      </c>
    </row>
    <row r="117" spans="1:13">
      <c r="A117" t="s">
        <v>24</v>
      </c>
      <c r="B117">
        <v>10</v>
      </c>
      <c r="C117">
        <v>5</v>
      </c>
      <c r="D117">
        <v>1420</v>
      </c>
      <c r="E117">
        <v>926</v>
      </c>
      <c r="F117">
        <v>594</v>
      </c>
      <c r="G117">
        <v>3.3370786516853932</v>
      </c>
      <c r="H117">
        <v>178</v>
      </c>
      <c r="I117">
        <v>0.29966329966329969</v>
      </c>
      <c r="J117">
        <v>13.73012692734082</v>
      </c>
      <c r="K117">
        <v>1.76589786360247</v>
      </c>
      <c r="L117">
        <v>591.20000000349501</v>
      </c>
      <c r="M117">
        <v>1.484567901381951</v>
      </c>
    </row>
    <row r="118" spans="1:13">
      <c r="A118" t="s">
        <v>24</v>
      </c>
      <c r="B118">
        <v>10</v>
      </c>
      <c r="C118">
        <v>6</v>
      </c>
      <c r="D118">
        <v>1413</v>
      </c>
      <c r="E118">
        <v>917</v>
      </c>
      <c r="F118">
        <v>588</v>
      </c>
      <c r="G118">
        <v>3.161290322580645</v>
      </c>
      <c r="H118">
        <v>186</v>
      </c>
      <c r="I118">
        <v>0.31632653061224492</v>
      </c>
      <c r="J118">
        <v>14.46267266446837</v>
      </c>
      <c r="K118">
        <v>1.8332174124103</v>
      </c>
      <c r="L118">
        <v>613.46666666401597</v>
      </c>
      <c r="M118">
        <v>1.9422839507645</v>
      </c>
    </row>
    <row r="119" spans="1:13">
      <c r="A119" t="s">
        <v>24</v>
      </c>
      <c r="B119">
        <v>10</v>
      </c>
      <c r="C119">
        <v>7</v>
      </c>
      <c r="D119">
        <v>1430</v>
      </c>
      <c r="E119">
        <v>948</v>
      </c>
      <c r="F119">
        <v>610</v>
      </c>
      <c r="G119">
        <v>3.4659090909090908</v>
      </c>
      <c r="H119">
        <v>176</v>
      </c>
      <c r="I119">
        <v>0.28852459016393439</v>
      </c>
      <c r="J119">
        <v>13.12658227848112</v>
      </c>
      <c r="K119">
        <v>1.6829423133217301</v>
      </c>
      <c r="L119">
        <v>543.19999999765298</v>
      </c>
      <c r="M119">
        <v>0.80432098780179428</v>
      </c>
    </row>
    <row r="120" spans="1:13">
      <c r="A120" t="s">
        <v>24</v>
      </c>
      <c r="B120">
        <v>10</v>
      </c>
      <c r="C120">
        <v>8</v>
      </c>
      <c r="D120">
        <v>1392</v>
      </c>
      <c r="E120">
        <v>925</v>
      </c>
      <c r="F120">
        <v>581</v>
      </c>
      <c r="G120">
        <v>3.106951871657754</v>
      </c>
      <c r="H120">
        <v>187</v>
      </c>
      <c r="I120">
        <v>0.32185886402753872</v>
      </c>
      <c r="J120">
        <v>14.37931099429492</v>
      </c>
      <c r="K120">
        <v>1.8903524458775001</v>
      </c>
      <c r="L120">
        <v>595.333333336853</v>
      </c>
      <c r="M120">
        <v>3.41327160508557</v>
      </c>
    </row>
    <row r="121" spans="1:13">
      <c r="A121" t="s">
        <v>24</v>
      </c>
      <c r="B121">
        <v>10</v>
      </c>
      <c r="C121">
        <v>9</v>
      </c>
      <c r="D121">
        <v>1398</v>
      </c>
      <c r="E121">
        <v>912</v>
      </c>
      <c r="F121">
        <v>587</v>
      </c>
      <c r="G121">
        <v>3.1223404255319149</v>
      </c>
      <c r="H121">
        <v>188</v>
      </c>
      <c r="I121">
        <v>0.32027257240204432</v>
      </c>
      <c r="J121">
        <v>14.46291957707259</v>
      </c>
      <c r="K121">
        <v>1.8587459808170801</v>
      </c>
      <c r="L121">
        <v>550.266666664289</v>
      </c>
      <c r="M121">
        <v>2.9493827161963888</v>
      </c>
    </row>
    <row r="122" spans="1:13">
      <c r="A122" t="s">
        <v>25</v>
      </c>
      <c r="B122">
        <v>10</v>
      </c>
      <c r="C122">
        <v>0</v>
      </c>
      <c r="D122">
        <v>1422</v>
      </c>
      <c r="E122">
        <v>932</v>
      </c>
      <c r="F122">
        <v>607</v>
      </c>
      <c r="G122">
        <v>3.1128205128205129</v>
      </c>
      <c r="H122">
        <v>195</v>
      </c>
      <c r="I122">
        <v>0.32125205930807249</v>
      </c>
      <c r="J122">
        <v>14.51831243290451</v>
      </c>
      <c r="K122">
        <v>1.8578858357020001</v>
      </c>
      <c r="L122">
        <v>618.71111111110201</v>
      </c>
      <c r="M122">
        <v>1.344444444591822</v>
      </c>
    </row>
    <row r="123" spans="1:13">
      <c r="A123" t="s">
        <v>25</v>
      </c>
      <c r="B123">
        <v>10</v>
      </c>
      <c r="C123">
        <v>1</v>
      </c>
      <c r="D123">
        <v>1430</v>
      </c>
      <c r="E123">
        <v>933</v>
      </c>
      <c r="F123">
        <v>579</v>
      </c>
      <c r="G123">
        <v>3</v>
      </c>
      <c r="H123">
        <v>193</v>
      </c>
      <c r="I123">
        <v>0.33333333333333331</v>
      </c>
      <c r="J123">
        <v>14.384313110311149</v>
      </c>
      <c r="K123">
        <v>1.9114172665873901</v>
      </c>
      <c r="L123">
        <v>602.44444444452699</v>
      </c>
      <c r="M123">
        <v>0.73302469150506799</v>
      </c>
    </row>
    <row r="124" spans="1:13">
      <c r="A124" t="s">
        <v>25</v>
      </c>
      <c r="B124">
        <v>10</v>
      </c>
      <c r="C124">
        <v>2</v>
      </c>
      <c r="D124">
        <v>1428</v>
      </c>
      <c r="E124">
        <v>969</v>
      </c>
      <c r="F124">
        <v>609</v>
      </c>
      <c r="G124">
        <v>3.091370558375635</v>
      </c>
      <c r="H124">
        <v>197</v>
      </c>
      <c r="I124">
        <v>0.32348111658456491</v>
      </c>
      <c r="J124">
        <v>14.126934984520229</v>
      </c>
      <c r="K124">
        <v>1.8932806713313799</v>
      </c>
      <c r="L124">
        <v>568.53333333328396</v>
      </c>
      <c r="M124">
        <v>0.90277777792500691</v>
      </c>
    </row>
    <row r="125" spans="1:13">
      <c r="A125" t="s">
        <v>25</v>
      </c>
      <c r="B125">
        <v>10</v>
      </c>
      <c r="C125">
        <v>3</v>
      </c>
      <c r="D125">
        <v>1425</v>
      </c>
      <c r="E125">
        <v>936</v>
      </c>
      <c r="F125">
        <v>593</v>
      </c>
      <c r="G125">
        <v>3.0725388601036272</v>
      </c>
      <c r="H125">
        <v>193</v>
      </c>
      <c r="I125">
        <v>0.32546374367622261</v>
      </c>
      <c r="J125">
        <v>14.769170528770299</v>
      </c>
      <c r="K125">
        <v>1.9253193932935799</v>
      </c>
      <c r="L125">
        <v>664.57777778170703</v>
      </c>
      <c r="M125">
        <v>1.137037037184419</v>
      </c>
    </row>
    <row r="126" spans="1:13">
      <c r="A126" t="s">
        <v>25</v>
      </c>
      <c r="B126">
        <v>10</v>
      </c>
      <c r="C126">
        <v>4</v>
      </c>
      <c r="D126">
        <v>1421</v>
      </c>
      <c r="E126">
        <v>944</v>
      </c>
      <c r="F126">
        <v>596</v>
      </c>
      <c r="G126">
        <v>3.1702127659574471</v>
      </c>
      <c r="H126">
        <v>188</v>
      </c>
      <c r="I126">
        <v>0.31543624161073819</v>
      </c>
      <c r="J126">
        <v>13.876707956512179</v>
      </c>
      <c r="K126">
        <v>1.8291205624978999</v>
      </c>
      <c r="L126">
        <v>671.11111111134596</v>
      </c>
      <c r="M126">
        <v>1.38703703718426</v>
      </c>
    </row>
    <row r="127" spans="1:13">
      <c r="A127" t="s">
        <v>25</v>
      </c>
      <c r="B127">
        <v>10</v>
      </c>
      <c r="C127">
        <v>5</v>
      </c>
      <c r="D127">
        <v>1427</v>
      </c>
      <c r="E127">
        <v>939</v>
      </c>
      <c r="F127">
        <v>595</v>
      </c>
      <c r="G127">
        <v>3.1481481481481479</v>
      </c>
      <c r="H127">
        <v>189</v>
      </c>
      <c r="I127">
        <v>0.31764705882352939</v>
      </c>
      <c r="J127">
        <v>14.25133120340799</v>
      </c>
      <c r="K127">
        <v>1.8592079362774601</v>
      </c>
      <c r="L127">
        <v>620.13333333332503</v>
      </c>
      <c r="M127">
        <v>0.99290123471525549</v>
      </c>
    </row>
    <row r="128" spans="1:13">
      <c r="A128" t="s">
        <v>25</v>
      </c>
      <c r="B128">
        <v>10</v>
      </c>
      <c r="C128">
        <v>6</v>
      </c>
      <c r="D128">
        <v>1427</v>
      </c>
      <c r="E128">
        <v>927</v>
      </c>
      <c r="F128">
        <v>584</v>
      </c>
      <c r="G128">
        <v>2.9795918367346941</v>
      </c>
      <c r="H128">
        <v>196</v>
      </c>
      <c r="I128">
        <v>0.33561643835616439</v>
      </c>
      <c r="J128">
        <v>14.639558611992991</v>
      </c>
      <c r="K128">
        <v>1.9165013113848399</v>
      </c>
      <c r="L128">
        <v>682.888888889432</v>
      </c>
      <c r="M128">
        <v>0.92592592607288204</v>
      </c>
    </row>
    <row r="129" spans="1:13">
      <c r="A129" t="s">
        <v>25</v>
      </c>
      <c r="B129">
        <v>10</v>
      </c>
      <c r="C129">
        <v>7</v>
      </c>
      <c r="D129">
        <v>1422</v>
      </c>
      <c r="E129">
        <v>945</v>
      </c>
      <c r="F129">
        <v>606</v>
      </c>
      <c r="G129">
        <v>3.172774869109948</v>
      </c>
      <c r="H129">
        <v>191</v>
      </c>
      <c r="I129">
        <v>0.31518151815181522</v>
      </c>
      <c r="J129">
        <v>13.908130838054809</v>
      </c>
      <c r="K129">
        <v>1.8023009670960899</v>
      </c>
      <c r="L129">
        <v>601.77777777782296</v>
      </c>
      <c r="M129">
        <v>1.265123456937028</v>
      </c>
    </row>
    <row r="130" spans="1:13">
      <c r="A130" t="s">
        <v>25</v>
      </c>
      <c r="B130">
        <v>10</v>
      </c>
      <c r="C130">
        <v>8</v>
      </c>
      <c r="D130">
        <v>1430</v>
      </c>
      <c r="E130">
        <v>946</v>
      </c>
      <c r="F130">
        <v>593</v>
      </c>
      <c r="G130">
        <v>3.205405405405406</v>
      </c>
      <c r="H130">
        <v>185</v>
      </c>
      <c r="I130">
        <v>0.31197301854974713</v>
      </c>
      <c r="J130">
        <v>14.056037596552111</v>
      </c>
      <c r="K130">
        <v>1.8540326937006799</v>
      </c>
      <c r="L130">
        <v>573.91111110926295</v>
      </c>
      <c r="M130">
        <v>0.74907407422121874</v>
      </c>
    </row>
    <row r="131" spans="1:13">
      <c r="A131" t="s">
        <v>25</v>
      </c>
      <c r="B131">
        <v>10</v>
      </c>
      <c r="C131">
        <v>9</v>
      </c>
      <c r="D131">
        <v>1428</v>
      </c>
      <c r="E131">
        <v>940</v>
      </c>
      <c r="F131">
        <v>598</v>
      </c>
      <c r="G131">
        <v>3.0666666666666669</v>
      </c>
      <c r="H131">
        <v>195</v>
      </c>
      <c r="I131">
        <v>0.32608695652173908</v>
      </c>
      <c r="J131">
        <v>14.846250332435851</v>
      </c>
      <c r="K131">
        <v>1.9448437928829101</v>
      </c>
      <c r="L131">
        <v>582.04444444447302</v>
      </c>
      <c r="M131">
        <v>0.93981481496226105</v>
      </c>
    </row>
    <row r="132" spans="1:13">
      <c r="A132" t="s">
        <v>26</v>
      </c>
      <c r="B132">
        <v>10</v>
      </c>
      <c r="C132">
        <v>0</v>
      </c>
      <c r="D132">
        <v>1424</v>
      </c>
      <c r="E132">
        <v>941</v>
      </c>
      <c r="F132">
        <v>617</v>
      </c>
      <c r="G132">
        <v>3.0544554455445549</v>
      </c>
      <c r="H132">
        <v>202</v>
      </c>
      <c r="I132">
        <v>0.32739059967585088</v>
      </c>
      <c r="J132">
        <v>14.77259023512274</v>
      </c>
      <c r="K132">
        <v>1.8788990179224001</v>
      </c>
      <c r="L132">
        <v>581.42222222268504</v>
      </c>
      <c r="M132">
        <v>1.1836419754558949</v>
      </c>
    </row>
    <row r="133" spans="1:13">
      <c r="A133" t="s">
        <v>26</v>
      </c>
      <c r="B133">
        <v>10</v>
      </c>
      <c r="C133">
        <v>1</v>
      </c>
      <c r="D133">
        <v>1430</v>
      </c>
      <c r="E133">
        <v>932</v>
      </c>
      <c r="F133">
        <v>579</v>
      </c>
      <c r="G133">
        <v>3.0797872340425529</v>
      </c>
      <c r="H133">
        <v>188</v>
      </c>
      <c r="I133">
        <v>0.32469775474956819</v>
      </c>
      <c r="J133">
        <v>14.83262716993047</v>
      </c>
      <c r="K133">
        <v>1.94871242186673</v>
      </c>
      <c r="L133">
        <v>631.06666667039701</v>
      </c>
      <c r="M133">
        <v>0.77160493841888333</v>
      </c>
    </row>
    <row r="134" spans="1:13">
      <c r="A134" t="s">
        <v>26</v>
      </c>
      <c r="B134">
        <v>10</v>
      </c>
      <c r="C134">
        <v>2</v>
      </c>
      <c r="D134">
        <v>1429</v>
      </c>
      <c r="E134">
        <v>969</v>
      </c>
      <c r="F134">
        <v>610</v>
      </c>
      <c r="G134">
        <v>3.1282051282051282</v>
      </c>
      <c r="H134">
        <v>195</v>
      </c>
      <c r="I134">
        <v>0.31967213114754101</v>
      </c>
      <c r="J134">
        <v>14.27644128475831</v>
      </c>
      <c r="K134">
        <v>1.8867339532026199</v>
      </c>
      <c r="L134">
        <v>586.71111111458004</v>
      </c>
      <c r="M134">
        <v>0.79753086434455001</v>
      </c>
    </row>
    <row r="135" spans="1:13">
      <c r="A135" t="s">
        <v>26</v>
      </c>
      <c r="B135">
        <v>10</v>
      </c>
      <c r="C135">
        <v>3</v>
      </c>
      <c r="D135">
        <v>1428</v>
      </c>
      <c r="E135">
        <v>937</v>
      </c>
      <c r="F135">
        <v>594</v>
      </c>
      <c r="G135">
        <v>3.061855670103093</v>
      </c>
      <c r="H135">
        <v>194</v>
      </c>
      <c r="I135">
        <v>0.32659932659932661</v>
      </c>
      <c r="J135">
        <v>14.50865976667791</v>
      </c>
      <c r="K135">
        <v>1.8736961359358699</v>
      </c>
      <c r="L135">
        <v>633.86666666392796</v>
      </c>
      <c r="M135">
        <v>0.89722222236942362</v>
      </c>
    </row>
    <row r="136" spans="1:13">
      <c r="A136" t="s">
        <v>26</v>
      </c>
      <c r="B136">
        <v>10</v>
      </c>
      <c r="C136">
        <v>4</v>
      </c>
      <c r="D136">
        <v>1418</v>
      </c>
      <c r="E136">
        <v>935</v>
      </c>
      <c r="F136">
        <v>584</v>
      </c>
      <c r="G136">
        <v>3.0899470899470902</v>
      </c>
      <c r="H136">
        <v>189</v>
      </c>
      <c r="I136">
        <v>0.32363013698630139</v>
      </c>
      <c r="J136">
        <v>14.808757872820109</v>
      </c>
      <c r="K136">
        <v>1.94858633761686</v>
      </c>
      <c r="L136">
        <v>624.04444444174896</v>
      </c>
      <c r="M136">
        <v>1.5901234569373059</v>
      </c>
    </row>
    <row r="137" spans="1:13">
      <c r="A137" t="s">
        <v>26</v>
      </c>
      <c r="B137">
        <v>10</v>
      </c>
      <c r="C137">
        <v>5</v>
      </c>
      <c r="D137">
        <v>1418</v>
      </c>
      <c r="E137">
        <v>926</v>
      </c>
      <c r="F137">
        <v>592</v>
      </c>
      <c r="G137">
        <v>3.1322751322751321</v>
      </c>
      <c r="H137">
        <v>189</v>
      </c>
      <c r="I137">
        <v>0.31925675675675669</v>
      </c>
      <c r="J137">
        <v>14.718502261474731</v>
      </c>
      <c r="K137">
        <v>1.89938070300588</v>
      </c>
      <c r="L137">
        <v>576.13333333673904</v>
      </c>
      <c r="M137">
        <v>1.633950617431398</v>
      </c>
    </row>
    <row r="138" spans="1:13">
      <c r="A138" t="s">
        <v>26</v>
      </c>
      <c r="B138">
        <v>10</v>
      </c>
      <c r="C138">
        <v>6</v>
      </c>
      <c r="D138">
        <v>1429</v>
      </c>
      <c r="E138">
        <v>937</v>
      </c>
      <c r="F138">
        <v>585</v>
      </c>
      <c r="G138">
        <v>3.1117021276595751</v>
      </c>
      <c r="H138">
        <v>188</v>
      </c>
      <c r="I138">
        <v>0.32136752136752139</v>
      </c>
      <c r="J138">
        <v>14.440768409818681</v>
      </c>
      <c r="K138">
        <v>1.90507871148762</v>
      </c>
      <c r="L138">
        <v>679.77777778179598</v>
      </c>
      <c r="M138">
        <v>0.83456790138180703</v>
      </c>
    </row>
    <row r="139" spans="1:13">
      <c r="A139" t="s">
        <v>26</v>
      </c>
      <c r="B139">
        <v>10</v>
      </c>
      <c r="C139">
        <v>7</v>
      </c>
      <c r="D139">
        <v>1421</v>
      </c>
      <c r="E139">
        <v>939</v>
      </c>
      <c r="F139">
        <v>599</v>
      </c>
      <c r="G139">
        <v>3.087628865979382</v>
      </c>
      <c r="H139">
        <v>194</v>
      </c>
      <c r="I139">
        <v>0.32387312186978301</v>
      </c>
      <c r="J139">
        <v>14.52303840191054</v>
      </c>
      <c r="K139">
        <v>1.88877912020294</v>
      </c>
      <c r="L139">
        <v>650.13333333385106</v>
      </c>
      <c r="M139">
        <v>1.372222222369349</v>
      </c>
    </row>
    <row r="140" spans="1:13">
      <c r="A140" t="s">
        <v>26</v>
      </c>
      <c r="B140">
        <v>10</v>
      </c>
      <c r="C140">
        <v>8</v>
      </c>
      <c r="D140">
        <v>1430</v>
      </c>
      <c r="E140">
        <v>946</v>
      </c>
      <c r="F140">
        <v>590</v>
      </c>
      <c r="G140">
        <v>3.0412371134020622</v>
      </c>
      <c r="H140">
        <v>194</v>
      </c>
      <c r="I140">
        <v>0.32881355932203388</v>
      </c>
      <c r="J140">
        <v>14.51618073905359</v>
      </c>
      <c r="K140">
        <v>1.9488922915606901</v>
      </c>
      <c r="L140">
        <v>568.08888889224704</v>
      </c>
      <c r="M140">
        <v>0.75061728409776529</v>
      </c>
    </row>
    <row r="141" spans="1:13">
      <c r="A141" t="s">
        <v>26</v>
      </c>
      <c r="B141">
        <v>10</v>
      </c>
      <c r="C141">
        <v>9</v>
      </c>
      <c r="D141">
        <v>1425</v>
      </c>
      <c r="E141">
        <v>934</v>
      </c>
      <c r="F141">
        <v>600</v>
      </c>
      <c r="G141">
        <v>3.1413612565445028</v>
      </c>
      <c r="H141">
        <v>191</v>
      </c>
      <c r="I141">
        <v>0.31833333333333341</v>
      </c>
      <c r="J141">
        <v>14.39507494646692</v>
      </c>
      <c r="K141">
        <v>1.8519399858288299</v>
      </c>
      <c r="L141">
        <v>636.75555555556105</v>
      </c>
      <c r="M141">
        <v>1.1114197532336501</v>
      </c>
    </row>
    <row r="142" spans="1:13">
      <c r="A142" t="s">
        <v>27</v>
      </c>
      <c r="B142">
        <v>10</v>
      </c>
      <c r="C142">
        <v>0</v>
      </c>
      <c r="D142">
        <v>1426</v>
      </c>
      <c r="E142">
        <v>936</v>
      </c>
      <c r="F142">
        <v>612</v>
      </c>
      <c r="G142">
        <v>3.06</v>
      </c>
      <c r="H142">
        <v>200</v>
      </c>
      <c r="I142">
        <v>0.32679738562091498</v>
      </c>
      <c r="J142">
        <v>15.22101584756143</v>
      </c>
      <c r="K142">
        <v>1.9260334762742499</v>
      </c>
      <c r="L142">
        <v>570.40000000038299</v>
      </c>
      <c r="M142">
        <v>1.015123456937197</v>
      </c>
    </row>
    <row r="143" spans="1:13">
      <c r="A143" t="s">
        <v>27</v>
      </c>
      <c r="B143">
        <v>10</v>
      </c>
      <c r="C143">
        <v>1</v>
      </c>
      <c r="D143">
        <v>1426</v>
      </c>
      <c r="E143">
        <v>926</v>
      </c>
      <c r="F143">
        <v>575</v>
      </c>
      <c r="G143">
        <v>3.125</v>
      </c>
      <c r="H143">
        <v>184</v>
      </c>
      <c r="I143">
        <v>0.32</v>
      </c>
      <c r="J143">
        <v>14.21490280777549</v>
      </c>
      <c r="K143">
        <v>1.9027449577928399</v>
      </c>
      <c r="L143">
        <v>680.00000000054104</v>
      </c>
      <c r="M143">
        <v>1.037962963110169</v>
      </c>
    </row>
    <row r="144" spans="1:13">
      <c r="A144" t="s">
        <v>27</v>
      </c>
      <c r="B144">
        <v>10</v>
      </c>
      <c r="C144">
        <v>2</v>
      </c>
      <c r="D144">
        <v>1427</v>
      </c>
      <c r="E144">
        <v>973</v>
      </c>
      <c r="F144">
        <v>612</v>
      </c>
      <c r="G144">
        <v>3.2210526315789472</v>
      </c>
      <c r="H144">
        <v>190</v>
      </c>
      <c r="I144">
        <v>0.31045751633986929</v>
      </c>
      <c r="J144">
        <v>14.027629130796401</v>
      </c>
      <c r="K144">
        <v>1.84384830538539</v>
      </c>
      <c r="L144">
        <v>591.15555555904996</v>
      </c>
      <c r="M144">
        <v>1.013888889036374</v>
      </c>
    </row>
    <row r="145" spans="1:13">
      <c r="A145" t="s">
        <v>27</v>
      </c>
      <c r="B145">
        <v>10</v>
      </c>
      <c r="C145">
        <v>3</v>
      </c>
      <c r="D145">
        <v>1430</v>
      </c>
      <c r="E145">
        <v>934</v>
      </c>
      <c r="F145">
        <v>591</v>
      </c>
      <c r="G145">
        <v>3.126984126984127</v>
      </c>
      <c r="H145">
        <v>189</v>
      </c>
      <c r="I145">
        <v>0.31979695431472083</v>
      </c>
      <c r="J145">
        <v>14.795940399680619</v>
      </c>
      <c r="K145">
        <v>1.9362142631444299</v>
      </c>
      <c r="L145">
        <v>641.95555555278202</v>
      </c>
      <c r="M145">
        <v>0.75185185199900972</v>
      </c>
    </row>
    <row r="146" spans="1:13">
      <c r="A146" t="s">
        <v>27</v>
      </c>
      <c r="B146">
        <v>10</v>
      </c>
      <c r="C146">
        <v>4</v>
      </c>
      <c r="D146">
        <v>1418</v>
      </c>
      <c r="E146">
        <v>939</v>
      </c>
      <c r="F146">
        <v>596</v>
      </c>
      <c r="G146">
        <v>3.104166666666667</v>
      </c>
      <c r="H146">
        <v>192</v>
      </c>
      <c r="I146">
        <v>0.32214765100671139</v>
      </c>
      <c r="J146">
        <v>15.11455370582822</v>
      </c>
      <c r="K146">
        <v>1.9712977871214501</v>
      </c>
      <c r="L146">
        <v>665.86666666669498</v>
      </c>
      <c r="M146">
        <v>1.540740740887633</v>
      </c>
    </row>
    <row r="147" spans="1:13">
      <c r="A147" t="s">
        <v>27</v>
      </c>
      <c r="B147">
        <v>10</v>
      </c>
      <c r="C147">
        <v>5</v>
      </c>
      <c r="D147">
        <v>1425</v>
      </c>
      <c r="E147">
        <v>933</v>
      </c>
      <c r="F147">
        <v>593</v>
      </c>
      <c r="G147">
        <v>3.188172043010753</v>
      </c>
      <c r="H147">
        <v>186</v>
      </c>
      <c r="I147">
        <v>0.31365935919055649</v>
      </c>
      <c r="J147">
        <v>14.877918043641589</v>
      </c>
      <c r="K147">
        <v>1.9146260528766399</v>
      </c>
      <c r="L147">
        <v>684.66666666370895</v>
      </c>
      <c r="M147">
        <v>1.108950617431173</v>
      </c>
    </row>
    <row r="148" spans="1:13">
      <c r="A148" t="s">
        <v>27</v>
      </c>
      <c r="B148">
        <v>10</v>
      </c>
      <c r="C148">
        <v>6</v>
      </c>
      <c r="D148">
        <v>1430</v>
      </c>
      <c r="E148">
        <v>935</v>
      </c>
      <c r="F148">
        <v>590</v>
      </c>
      <c r="G148">
        <v>3.172043010752688</v>
      </c>
      <c r="H148">
        <v>186</v>
      </c>
      <c r="I148">
        <v>0.31525423728813562</v>
      </c>
      <c r="J148">
        <v>14.06917798899968</v>
      </c>
      <c r="K148">
        <v>1.8264752950952099</v>
      </c>
      <c r="L148">
        <v>665.82222222225096</v>
      </c>
      <c r="M148">
        <v>0.78456790138192289</v>
      </c>
    </row>
    <row r="149" spans="1:13">
      <c r="A149" t="s">
        <v>27</v>
      </c>
      <c r="B149">
        <v>10</v>
      </c>
      <c r="C149">
        <v>7</v>
      </c>
      <c r="D149">
        <v>1426</v>
      </c>
      <c r="E149">
        <v>945</v>
      </c>
      <c r="F149">
        <v>600</v>
      </c>
      <c r="G149">
        <v>3.1413612565445028</v>
      </c>
      <c r="H149">
        <v>191</v>
      </c>
      <c r="I149">
        <v>0.31833333333333341</v>
      </c>
      <c r="J149">
        <v>14.47582059163619</v>
      </c>
      <c r="K149">
        <v>1.8958420112607799</v>
      </c>
      <c r="L149">
        <v>564.66666666422702</v>
      </c>
      <c r="M149">
        <v>1.0626543211350039</v>
      </c>
    </row>
    <row r="150" spans="1:13">
      <c r="A150" t="s">
        <v>27</v>
      </c>
      <c r="B150">
        <v>10</v>
      </c>
      <c r="C150">
        <v>8</v>
      </c>
      <c r="D150">
        <v>1421</v>
      </c>
      <c r="E150">
        <v>939</v>
      </c>
      <c r="F150">
        <v>582</v>
      </c>
      <c r="G150">
        <v>3.1630434782608701</v>
      </c>
      <c r="H150">
        <v>184</v>
      </c>
      <c r="I150">
        <v>0.31615120274914088</v>
      </c>
      <c r="J150">
        <v>14.48123443231022</v>
      </c>
      <c r="K150">
        <v>1.93965911510079</v>
      </c>
      <c r="L150">
        <v>652.26666667052302</v>
      </c>
      <c r="M150">
        <v>1.3879629631101831</v>
      </c>
    </row>
    <row r="151" spans="1:13">
      <c r="A151" t="s">
        <v>27</v>
      </c>
      <c r="B151">
        <v>10</v>
      </c>
      <c r="C151">
        <v>9</v>
      </c>
      <c r="D151">
        <v>1425</v>
      </c>
      <c r="E151">
        <v>935</v>
      </c>
      <c r="F151">
        <v>586</v>
      </c>
      <c r="G151">
        <v>3.150537634408602</v>
      </c>
      <c r="H151">
        <v>186</v>
      </c>
      <c r="I151">
        <v>0.3174061433447099</v>
      </c>
      <c r="J151">
        <v>14.67379679144396</v>
      </c>
      <c r="K151">
        <v>1.95001045391864</v>
      </c>
      <c r="L151">
        <v>655.73333333720996</v>
      </c>
      <c r="M151">
        <v>1.149691358172152</v>
      </c>
    </row>
    <row r="152" spans="1:13">
      <c r="A152" t="s">
        <v>28</v>
      </c>
      <c r="B152">
        <v>10</v>
      </c>
      <c r="C152">
        <v>0</v>
      </c>
      <c r="D152">
        <v>1414</v>
      </c>
      <c r="E152">
        <v>934</v>
      </c>
      <c r="F152">
        <v>602</v>
      </c>
      <c r="G152">
        <v>3.119170984455959</v>
      </c>
      <c r="H152">
        <v>193</v>
      </c>
      <c r="I152">
        <v>0.32059800664451832</v>
      </c>
      <c r="J152">
        <v>15.16281673801028</v>
      </c>
      <c r="K152">
        <v>1.9341685650418301</v>
      </c>
      <c r="L152">
        <v>618.26666667032202</v>
      </c>
      <c r="M152">
        <v>1.920061728542553</v>
      </c>
    </row>
    <row r="153" spans="1:13">
      <c r="A153" t="s">
        <v>28</v>
      </c>
      <c r="B153">
        <v>10</v>
      </c>
      <c r="C153">
        <v>1</v>
      </c>
      <c r="D153">
        <v>1430</v>
      </c>
      <c r="E153">
        <v>927</v>
      </c>
      <c r="F153">
        <v>575</v>
      </c>
      <c r="G153">
        <v>3.1593406593406592</v>
      </c>
      <c r="H153">
        <v>182</v>
      </c>
      <c r="I153">
        <v>0.3165217391304348</v>
      </c>
      <c r="J153">
        <v>14.651469158244121</v>
      </c>
      <c r="K153">
        <v>1.95049145694649</v>
      </c>
      <c r="L153">
        <v>634.31111111486098</v>
      </c>
      <c r="M153">
        <v>0.76666666681391737</v>
      </c>
    </row>
    <row r="154" spans="1:13">
      <c r="A154" t="s">
        <v>28</v>
      </c>
      <c r="B154">
        <v>10</v>
      </c>
      <c r="C154">
        <v>2</v>
      </c>
      <c r="D154">
        <v>1423</v>
      </c>
      <c r="E154">
        <v>962</v>
      </c>
      <c r="F154">
        <v>609</v>
      </c>
      <c r="G154">
        <v>3.2052631578947368</v>
      </c>
      <c r="H154">
        <v>190</v>
      </c>
      <c r="I154">
        <v>0.31198686371100159</v>
      </c>
      <c r="J154">
        <v>15.30723684821622</v>
      </c>
      <c r="K154">
        <v>2.00768874809628</v>
      </c>
      <c r="L154">
        <v>630.97777778150805</v>
      </c>
      <c r="M154">
        <v>1.274691358172066</v>
      </c>
    </row>
    <row r="155" spans="1:13">
      <c r="A155" t="s">
        <v>28</v>
      </c>
      <c r="B155">
        <v>10</v>
      </c>
      <c r="C155">
        <v>3</v>
      </c>
      <c r="D155">
        <v>1423</v>
      </c>
      <c r="E155">
        <v>932</v>
      </c>
      <c r="F155">
        <v>588</v>
      </c>
      <c r="G155">
        <v>3.0309278350515458</v>
      </c>
      <c r="H155">
        <v>194</v>
      </c>
      <c r="I155">
        <v>0.32993197278911562</v>
      </c>
      <c r="J155">
        <v>15.188631080097529</v>
      </c>
      <c r="K155">
        <v>1.97797427532951</v>
      </c>
      <c r="L155">
        <v>624.13333333063702</v>
      </c>
      <c r="M155">
        <v>1.237037037184197</v>
      </c>
    </row>
    <row r="156" spans="1:13">
      <c r="A156" t="s">
        <v>28</v>
      </c>
      <c r="B156">
        <v>10</v>
      </c>
      <c r="C156">
        <v>4</v>
      </c>
      <c r="D156">
        <v>1426</v>
      </c>
      <c r="E156">
        <v>941</v>
      </c>
      <c r="F156">
        <v>598</v>
      </c>
      <c r="G156">
        <v>3.1978609625668448</v>
      </c>
      <c r="H156">
        <v>187</v>
      </c>
      <c r="I156">
        <v>0.31270903010033452</v>
      </c>
      <c r="J156">
        <v>14.88539516255813</v>
      </c>
      <c r="K156">
        <v>1.93574284284895</v>
      </c>
      <c r="L156">
        <v>546.00000000322802</v>
      </c>
      <c r="M156">
        <v>1.0203703705174749</v>
      </c>
    </row>
    <row r="157" spans="1:13">
      <c r="A157" t="s">
        <v>28</v>
      </c>
      <c r="B157">
        <v>10</v>
      </c>
      <c r="C157">
        <v>5</v>
      </c>
      <c r="D157">
        <v>1428</v>
      </c>
      <c r="E157">
        <v>931</v>
      </c>
      <c r="F157">
        <v>586</v>
      </c>
      <c r="G157">
        <v>3.133689839572193</v>
      </c>
      <c r="H157">
        <v>187</v>
      </c>
      <c r="I157">
        <v>0.3191126279863481</v>
      </c>
      <c r="J157">
        <v>14.935037200297421</v>
      </c>
      <c r="K157">
        <v>1.9644038218461499</v>
      </c>
      <c r="L157">
        <v>628.22222222272205</v>
      </c>
      <c r="M157">
        <v>0.87993827175203754</v>
      </c>
    </row>
    <row r="158" spans="1:13">
      <c r="A158" t="s">
        <v>28</v>
      </c>
      <c r="B158">
        <v>10</v>
      </c>
      <c r="C158">
        <v>6</v>
      </c>
      <c r="D158">
        <v>1427</v>
      </c>
      <c r="E158">
        <v>922</v>
      </c>
      <c r="F158">
        <v>575</v>
      </c>
      <c r="G158">
        <v>3.2303370786516852</v>
      </c>
      <c r="H158">
        <v>178</v>
      </c>
      <c r="I158">
        <v>0.30956521739130433</v>
      </c>
      <c r="J158">
        <v>14.60881668271095</v>
      </c>
      <c r="K158">
        <v>1.93589466941962</v>
      </c>
      <c r="L158">
        <v>640.35555555897304</v>
      </c>
      <c r="M158">
        <v>1.0064814816289189</v>
      </c>
    </row>
    <row r="159" spans="1:13">
      <c r="A159" t="s">
        <v>28</v>
      </c>
      <c r="B159">
        <v>10</v>
      </c>
      <c r="C159">
        <v>7</v>
      </c>
      <c r="D159">
        <v>1428</v>
      </c>
      <c r="E159">
        <v>949</v>
      </c>
      <c r="F159">
        <v>603</v>
      </c>
      <c r="G159">
        <v>3.1904761904761911</v>
      </c>
      <c r="H159">
        <v>189</v>
      </c>
      <c r="I159">
        <v>0.31343283582089548</v>
      </c>
      <c r="J159">
        <v>14.5195031848</v>
      </c>
      <c r="K159">
        <v>1.8861996833872601</v>
      </c>
      <c r="L159">
        <v>611.15555555916899</v>
      </c>
      <c r="M159">
        <v>0.92592592607329371</v>
      </c>
    </row>
    <row r="160" spans="1:13">
      <c r="A160" t="s">
        <v>28</v>
      </c>
      <c r="B160">
        <v>10</v>
      </c>
      <c r="C160">
        <v>8</v>
      </c>
      <c r="D160">
        <v>1428</v>
      </c>
      <c r="E160">
        <v>940</v>
      </c>
      <c r="F160">
        <v>590</v>
      </c>
      <c r="G160">
        <v>3.0569948186528499</v>
      </c>
      <c r="H160">
        <v>193</v>
      </c>
      <c r="I160">
        <v>0.32711864406779662</v>
      </c>
      <c r="J160">
        <v>15.33405043750053</v>
      </c>
      <c r="K160">
        <v>2.0178954783918499</v>
      </c>
      <c r="L160">
        <v>627.51111111160697</v>
      </c>
      <c r="M160">
        <v>0.95925925940682233</v>
      </c>
    </row>
    <row r="161" spans="1:13">
      <c r="A161" t="s">
        <v>28</v>
      </c>
      <c r="B161">
        <v>10</v>
      </c>
      <c r="C161">
        <v>9</v>
      </c>
      <c r="D161">
        <v>1419</v>
      </c>
      <c r="E161">
        <v>937</v>
      </c>
      <c r="F161">
        <v>595</v>
      </c>
      <c r="G161">
        <v>3.2162162162162158</v>
      </c>
      <c r="H161">
        <v>185</v>
      </c>
      <c r="I161">
        <v>0.31092436974789922</v>
      </c>
      <c r="J161">
        <v>14.82646217899573</v>
      </c>
      <c r="K161">
        <v>1.9309609722968599</v>
      </c>
      <c r="L161">
        <v>581.20000000046298</v>
      </c>
      <c r="M161">
        <v>1.476234568048167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1"/>
  <sheetViews>
    <sheetView workbookViewId="0"/>
  </sheetViews>
  <sheetFormatPr defaultRowHeight="15.75"/>
  <cols>
    <col min="1" max="5" width="18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35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34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35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34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35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34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35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34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35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34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35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34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35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34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35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34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35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34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35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34</v>
      </c>
      <c r="B22" t="s">
        <v>14</v>
      </c>
      <c r="C22" t="s">
        <v>3</v>
      </c>
      <c r="D22">
        <f>AVERAGE(per_seed!$D$12:$D$21)</f>
        <v>946.3</v>
      </c>
      <c r="E22">
        <v>946.3</v>
      </c>
    </row>
    <row r="23" spans="1:5">
      <c r="A23" t="s">
        <v>35</v>
      </c>
      <c r="B23" t="s">
        <v>14</v>
      </c>
      <c r="C23" t="s">
        <v>3</v>
      </c>
      <c r="D23">
        <f>_xlfn.STDEV.S(per_seed!$D$12:$D$21)</f>
        <v>379.56819033094837</v>
      </c>
      <c r="E23">
        <v>379.56819033094848</v>
      </c>
    </row>
    <row r="24" spans="1:5">
      <c r="A24" t="s">
        <v>34</v>
      </c>
      <c r="B24" t="s">
        <v>14</v>
      </c>
      <c r="C24" t="s">
        <v>4</v>
      </c>
      <c r="D24">
        <f>AVERAGE(per_seed!$E$12:$E$21)</f>
        <v>634.29999999999995</v>
      </c>
      <c r="E24">
        <v>634.29999999999995</v>
      </c>
    </row>
    <row r="25" spans="1:5">
      <c r="A25" t="s">
        <v>35</v>
      </c>
      <c r="B25" t="s">
        <v>14</v>
      </c>
      <c r="C25" t="s">
        <v>4</v>
      </c>
      <c r="D25">
        <f>_xlfn.STDEV.S(per_seed!$E$12:$E$21)</f>
        <v>244.94672890242893</v>
      </c>
      <c r="E25">
        <v>244.9467289024289</v>
      </c>
    </row>
    <row r="26" spans="1:5">
      <c r="A26" t="s">
        <v>34</v>
      </c>
      <c r="B26" t="s">
        <v>14</v>
      </c>
      <c r="C26" t="s">
        <v>5</v>
      </c>
      <c r="D26">
        <f>AVERAGE(per_seed!$F$12:$F$21)</f>
        <v>408.5</v>
      </c>
      <c r="E26">
        <v>408.5</v>
      </c>
    </row>
    <row r="27" spans="1:5">
      <c r="A27" t="s">
        <v>35</v>
      </c>
      <c r="B27" t="s">
        <v>14</v>
      </c>
      <c r="C27" t="s">
        <v>5</v>
      </c>
      <c r="D27">
        <f>_xlfn.STDEV.S(per_seed!$F$12:$F$21)</f>
        <v>161.47669250459097</v>
      </c>
      <c r="E27">
        <v>161.476692504591</v>
      </c>
    </row>
    <row r="28" spans="1:5">
      <c r="A28" t="s">
        <v>34</v>
      </c>
      <c r="B28" t="s">
        <v>14</v>
      </c>
      <c r="C28" t="s">
        <v>6</v>
      </c>
      <c r="D28">
        <f>AVERAGE(per_seed!$G$12:$G$21)</f>
        <v>4.6342540504433973</v>
      </c>
      <c r="E28">
        <v>4.6342540504433973</v>
      </c>
    </row>
    <row r="29" spans="1:5">
      <c r="A29" t="s">
        <v>35</v>
      </c>
      <c r="B29" t="s">
        <v>14</v>
      </c>
      <c r="C29" t="s">
        <v>6</v>
      </c>
      <c r="D29">
        <f>_xlfn.STDEV.S(per_seed!$G$12:$G$21)</f>
        <v>0.29906123738929935</v>
      </c>
      <c r="E29">
        <v>0.29906123738929941</v>
      </c>
    </row>
    <row r="30" spans="1:5">
      <c r="A30" t="s">
        <v>34</v>
      </c>
      <c r="B30" t="s">
        <v>14</v>
      </c>
      <c r="C30" t="s">
        <v>7</v>
      </c>
      <c r="D30">
        <f>AVERAGE(per_seed!$H$12:$H$21)</f>
        <v>89.9</v>
      </c>
      <c r="E30">
        <v>89.9</v>
      </c>
    </row>
    <row r="31" spans="1:5">
      <c r="A31" t="s">
        <v>35</v>
      </c>
      <c r="B31" t="s">
        <v>14</v>
      </c>
      <c r="C31" t="s">
        <v>7</v>
      </c>
      <c r="D31">
        <f>_xlfn.STDEV.S(per_seed!$H$12:$H$21)</f>
        <v>37.934007023894644</v>
      </c>
      <c r="E31">
        <v>37.934007023894651</v>
      </c>
    </row>
    <row r="32" spans="1:5">
      <c r="A32" t="s">
        <v>34</v>
      </c>
      <c r="B32" t="s">
        <v>14</v>
      </c>
      <c r="C32" t="s">
        <v>8</v>
      </c>
      <c r="D32">
        <f>AVERAGE(per_seed!$I$12:$I$21)</f>
        <v>0.21658952615353652</v>
      </c>
      <c r="E32">
        <v>0.2165895261535366</v>
      </c>
    </row>
    <row r="33" spans="1:5">
      <c r="A33" t="s">
        <v>35</v>
      </c>
      <c r="B33" t="s">
        <v>14</v>
      </c>
      <c r="C33" t="s">
        <v>8</v>
      </c>
      <c r="D33">
        <f>_xlfn.STDEV.S(per_seed!$I$12:$I$21)</f>
        <v>1.3890955867281313E-2</v>
      </c>
      <c r="E33">
        <v>1.389095586728132E-2</v>
      </c>
    </row>
    <row r="34" spans="1:5">
      <c r="A34" t="s">
        <v>34</v>
      </c>
      <c r="B34" t="s">
        <v>14</v>
      </c>
      <c r="C34" t="s">
        <v>9</v>
      </c>
      <c r="D34">
        <f>AVERAGE(per_seed!$J$12:$J$21)</f>
        <v>10.90317075485239</v>
      </c>
      <c r="E34">
        <v>10.90317075485239</v>
      </c>
    </row>
    <row r="35" spans="1:5">
      <c r="A35" t="s">
        <v>35</v>
      </c>
      <c r="B35" t="s">
        <v>14</v>
      </c>
      <c r="C35" t="s">
        <v>9</v>
      </c>
      <c r="D35">
        <f>_xlfn.STDEV.S(per_seed!$J$12:$J$21)</f>
        <v>1.3226431891744554</v>
      </c>
      <c r="E35">
        <v>1.322643189174475</v>
      </c>
    </row>
    <row r="36" spans="1:5">
      <c r="A36" t="s">
        <v>34</v>
      </c>
      <c r="B36" t="s">
        <v>14</v>
      </c>
      <c r="C36" t="s">
        <v>10</v>
      </c>
      <c r="D36">
        <f>AVERAGE(per_seed!$K$12:$K$21)</f>
        <v>1.3742406198647248</v>
      </c>
      <c r="E36">
        <v>1.374240619864725</v>
      </c>
    </row>
    <row r="37" spans="1:5">
      <c r="A37" t="s">
        <v>35</v>
      </c>
      <c r="B37" t="s">
        <v>14</v>
      </c>
      <c r="C37" t="s">
        <v>10</v>
      </c>
      <c r="D37">
        <f>_xlfn.STDEV.S(per_seed!$K$12:$K$21)</f>
        <v>0.17383170984522006</v>
      </c>
      <c r="E37">
        <v>0.17383170984521901</v>
      </c>
    </row>
    <row r="38" spans="1:5">
      <c r="A38" t="s">
        <v>34</v>
      </c>
      <c r="B38" t="s">
        <v>14</v>
      </c>
      <c r="C38" t="s">
        <v>11</v>
      </c>
      <c r="D38">
        <f>AVERAGE(per_seed!$L$12:$L$21)</f>
        <v>587.62222222218679</v>
      </c>
      <c r="E38">
        <v>587.62222222218691</v>
      </c>
    </row>
    <row r="39" spans="1:5">
      <c r="A39" t="s">
        <v>35</v>
      </c>
      <c r="B39" t="s">
        <v>14</v>
      </c>
      <c r="C39" t="s">
        <v>11</v>
      </c>
      <c r="D39">
        <f>_xlfn.STDEV.S(per_seed!$L$12:$L$21)</f>
        <v>76.951414668665578</v>
      </c>
      <c r="E39">
        <v>76.951414668665819</v>
      </c>
    </row>
    <row r="40" spans="1:5">
      <c r="A40" t="s">
        <v>34</v>
      </c>
      <c r="B40" t="s">
        <v>14</v>
      </c>
      <c r="C40" t="s">
        <v>12</v>
      </c>
      <c r="D40">
        <f>AVERAGE(per_seed!$M$12:$M$21)</f>
        <v>34.298364197567651</v>
      </c>
      <c r="E40">
        <v>34.298364197567651</v>
      </c>
    </row>
    <row r="41" spans="1:5">
      <c r="A41" t="s">
        <v>35</v>
      </c>
      <c r="B41" t="s">
        <v>14</v>
      </c>
      <c r="C41" t="s">
        <v>12</v>
      </c>
      <c r="D41">
        <f>_xlfn.STDEV.S(per_seed!$M$12:$M$21)</f>
        <v>26.343942365891671</v>
      </c>
      <c r="E41">
        <v>26.343942365891671</v>
      </c>
    </row>
    <row r="42" spans="1:5">
      <c r="A42" t="s">
        <v>34</v>
      </c>
      <c r="B42" t="s">
        <v>15</v>
      </c>
      <c r="C42" t="s">
        <v>3</v>
      </c>
      <c r="D42">
        <f>AVERAGE(per_seed!$D$22:$D$31)</f>
        <v>1264.3</v>
      </c>
      <c r="E42">
        <v>1264.3</v>
      </c>
    </row>
    <row r="43" spans="1:5">
      <c r="A43" t="s">
        <v>35</v>
      </c>
      <c r="B43" t="s">
        <v>15</v>
      </c>
      <c r="C43" t="s">
        <v>3</v>
      </c>
      <c r="D43">
        <f>_xlfn.STDEV.S(per_seed!$D$22:$D$31)</f>
        <v>129.99662388778495</v>
      </c>
      <c r="E43">
        <v>129.99662388778489</v>
      </c>
    </row>
    <row r="44" spans="1:5">
      <c r="A44" t="s">
        <v>34</v>
      </c>
      <c r="B44" t="s">
        <v>15</v>
      </c>
      <c r="C44" t="s">
        <v>4</v>
      </c>
      <c r="D44">
        <f>AVERAGE(per_seed!$E$22:$E$31)</f>
        <v>837.2</v>
      </c>
      <c r="E44">
        <v>837.2</v>
      </c>
    </row>
    <row r="45" spans="1:5">
      <c r="A45" t="s">
        <v>35</v>
      </c>
      <c r="B45" t="s">
        <v>15</v>
      </c>
      <c r="C45" t="s">
        <v>4</v>
      </c>
      <c r="D45">
        <f>_xlfn.STDEV.S(per_seed!$E$22:$E$31)</f>
        <v>87.142029660395977</v>
      </c>
      <c r="E45">
        <v>87.142029660395977</v>
      </c>
    </row>
    <row r="46" spans="1:5">
      <c r="A46" t="s">
        <v>34</v>
      </c>
      <c r="B46" t="s">
        <v>15</v>
      </c>
      <c r="C46" t="s">
        <v>5</v>
      </c>
      <c r="D46">
        <f>AVERAGE(per_seed!$F$22:$F$31)</f>
        <v>540</v>
      </c>
      <c r="E46">
        <v>540</v>
      </c>
    </row>
    <row r="47" spans="1:5">
      <c r="A47" t="s">
        <v>35</v>
      </c>
      <c r="B47" t="s">
        <v>15</v>
      </c>
      <c r="C47" t="s">
        <v>5</v>
      </c>
      <c r="D47">
        <f>_xlfn.STDEV.S(per_seed!$F$22:$F$31)</f>
        <v>54.195120731585341</v>
      </c>
      <c r="E47">
        <v>54.195120731585341</v>
      </c>
    </row>
    <row r="48" spans="1:5">
      <c r="A48" t="s">
        <v>34</v>
      </c>
      <c r="B48" t="s">
        <v>15</v>
      </c>
      <c r="C48" t="s">
        <v>6</v>
      </c>
      <c r="D48">
        <f>AVERAGE(per_seed!$G$22:$G$31)</f>
        <v>4.2615840185767491</v>
      </c>
      <c r="E48">
        <v>4.2615840185767491</v>
      </c>
    </row>
    <row r="49" spans="1:5">
      <c r="A49" t="s">
        <v>35</v>
      </c>
      <c r="B49" t="s">
        <v>15</v>
      </c>
      <c r="C49" t="s">
        <v>6</v>
      </c>
      <c r="D49">
        <f>_xlfn.STDEV.S(per_seed!$G$22:$G$31)</f>
        <v>0.21583881116579345</v>
      </c>
      <c r="E49">
        <v>0.2158388111657934</v>
      </c>
    </row>
    <row r="50" spans="1:5">
      <c r="A50" t="s">
        <v>34</v>
      </c>
      <c r="B50" t="s">
        <v>15</v>
      </c>
      <c r="C50" t="s">
        <v>7</v>
      </c>
      <c r="D50">
        <f>AVERAGE(per_seed!$H$22:$H$31)</f>
        <v>127.1</v>
      </c>
      <c r="E50">
        <v>127.1</v>
      </c>
    </row>
    <row r="51" spans="1:5">
      <c r="A51" t="s">
        <v>35</v>
      </c>
      <c r="B51" t="s">
        <v>15</v>
      </c>
      <c r="C51" t="s">
        <v>7</v>
      </c>
      <c r="D51">
        <f>_xlfn.STDEV.S(per_seed!$H$22:$H$31)</f>
        <v>14.843255108709194</v>
      </c>
      <c r="E51">
        <v>14.84325510870922</v>
      </c>
    </row>
    <row r="52" spans="1:5">
      <c r="A52" t="s">
        <v>34</v>
      </c>
      <c r="B52" t="s">
        <v>15</v>
      </c>
      <c r="C52" t="s">
        <v>8</v>
      </c>
      <c r="D52">
        <f>AVERAGE(per_seed!$I$22:$I$31)</f>
        <v>0.2351845914497192</v>
      </c>
      <c r="E52">
        <v>0.2351845914497192</v>
      </c>
    </row>
    <row r="53" spans="1:5">
      <c r="A53" t="s">
        <v>35</v>
      </c>
      <c r="B53" t="s">
        <v>15</v>
      </c>
      <c r="C53" t="s">
        <v>8</v>
      </c>
      <c r="D53">
        <f>_xlfn.STDEV.S(per_seed!$I$22:$I$31)</f>
        <v>1.1640102872736063E-2</v>
      </c>
      <c r="E53">
        <v>1.164010287273606E-2</v>
      </c>
    </row>
    <row r="54" spans="1:5">
      <c r="A54" t="s">
        <v>34</v>
      </c>
      <c r="B54" t="s">
        <v>15</v>
      </c>
      <c r="C54" t="s">
        <v>9</v>
      </c>
      <c r="D54">
        <f>AVERAGE(per_seed!$J$22:$J$31)</f>
        <v>10.964472653038623</v>
      </c>
      <c r="E54">
        <v>10.964472653038619</v>
      </c>
    </row>
    <row r="55" spans="1:5">
      <c r="A55" t="s">
        <v>35</v>
      </c>
      <c r="B55" t="s">
        <v>15</v>
      </c>
      <c r="C55" t="s">
        <v>9</v>
      </c>
      <c r="D55">
        <f>_xlfn.STDEV.S(per_seed!$J$22:$J$31)</f>
        <v>0.45873043498471805</v>
      </c>
      <c r="E55">
        <v>0.45873043498471833</v>
      </c>
    </row>
    <row r="56" spans="1:5">
      <c r="A56" t="s">
        <v>34</v>
      </c>
      <c r="B56" t="s">
        <v>15</v>
      </c>
      <c r="C56" t="s">
        <v>10</v>
      </c>
      <c r="D56">
        <f>AVERAGE(per_seed!$K$22:$K$31)</f>
        <v>1.3776871528228412</v>
      </c>
      <c r="E56">
        <v>1.3776871528228409</v>
      </c>
    </row>
    <row r="57" spans="1:5">
      <c r="A57" t="s">
        <v>35</v>
      </c>
      <c r="B57" t="s">
        <v>15</v>
      </c>
      <c r="C57" t="s">
        <v>10</v>
      </c>
      <c r="D57">
        <f>_xlfn.STDEV.S(per_seed!$K$22:$K$31)</f>
        <v>6.5548547932395188E-2</v>
      </c>
      <c r="E57">
        <v>6.5548547932395188E-2</v>
      </c>
    </row>
    <row r="58" spans="1:5">
      <c r="A58" t="s">
        <v>34</v>
      </c>
      <c r="B58" t="s">
        <v>15</v>
      </c>
      <c r="C58" t="s">
        <v>11</v>
      </c>
      <c r="D58">
        <f>AVERAGE(per_seed!$L$22:$L$31)</f>
        <v>610.21333333449388</v>
      </c>
      <c r="E58">
        <v>610.21333333449365</v>
      </c>
    </row>
    <row r="59" spans="1:5">
      <c r="A59" t="s">
        <v>35</v>
      </c>
      <c r="B59" t="s">
        <v>15</v>
      </c>
      <c r="C59" t="s">
        <v>11</v>
      </c>
      <c r="D59">
        <f>_xlfn.STDEV.S(per_seed!$L$22:$L$31)</f>
        <v>47.847938379359547</v>
      </c>
      <c r="E59">
        <v>47.84793837935954</v>
      </c>
    </row>
    <row r="60" spans="1:5">
      <c r="A60" t="s">
        <v>34</v>
      </c>
      <c r="B60" t="s">
        <v>15</v>
      </c>
      <c r="C60" t="s">
        <v>12</v>
      </c>
      <c r="D60">
        <f>AVERAGE(per_seed!$M$22:$M$31)</f>
        <v>12.247530864300579</v>
      </c>
      <c r="E60">
        <v>12.247530864300581</v>
      </c>
    </row>
    <row r="61" spans="1:5">
      <c r="A61" t="s">
        <v>35</v>
      </c>
      <c r="B61" t="s">
        <v>15</v>
      </c>
      <c r="C61" t="s">
        <v>12</v>
      </c>
      <c r="D61">
        <f>_xlfn.STDEV.S(per_seed!$M$22:$M$31)</f>
        <v>8.9999494767778536</v>
      </c>
      <c r="E61">
        <v>8.9999494767778518</v>
      </c>
    </row>
    <row r="62" spans="1:5">
      <c r="A62" t="s">
        <v>34</v>
      </c>
      <c r="B62" t="s">
        <v>16</v>
      </c>
      <c r="C62" t="s">
        <v>3</v>
      </c>
      <c r="D62">
        <f>AVERAGE(per_seed!$D$32:$D$41)</f>
        <v>1264.0999999999999</v>
      </c>
      <c r="E62">
        <v>1264.0999999999999</v>
      </c>
    </row>
    <row r="63" spans="1:5">
      <c r="A63" t="s">
        <v>35</v>
      </c>
      <c r="B63" t="s">
        <v>16</v>
      </c>
      <c r="C63" t="s">
        <v>3</v>
      </c>
      <c r="D63">
        <f>_xlfn.STDEV.S(per_seed!$D$32:$D$41)</f>
        <v>311.5625316226442</v>
      </c>
      <c r="E63">
        <v>311.56253162264409</v>
      </c>
    </row>
    <row r="64" spans="1:5">
      <c r="A64" t="s">
        <v>34</v>
      </c>
      <c r="B64" t="s">
        <v>16</v>
      </c>
      <c r="C64" t="s">
        <v>4</v>
      </c>
      <c r="D64">
        <f>AVERAGE(per_seed!$E$32:$E$41)</f>
        <v>841.9</v>
      </c>
      <c r="E64">
        <v>841.9</v>
      </c>
    </row>
    <row r="65" spans="1:5">
      <c r="A65" t="s">
        <v>35</v>
      </c>
      <c r="B65" t="s">
        <v>16</v>
      </c>
      <c r="C65" t="s">
        <v>4</v>
      </c>
      <c r="D65">
        <f>_xlfn.STDEV.S(per_seed!$E$32:$E$41)</f>
        <v>205.96302257120502</v>
      </c>
      <c r="E65">
        <v>205.9630225712049</v>
      </c>
    </row>
    <row r="66" spans="1:5">
      <c r="A66" t="s">
        <v>34</v>
      </c>
      <c r="B66" t="s">
        <v>16</v>
      </c>
      <c r="C66" t="s">
        <v>5</v>
      </c>
      <c r="D66">
        <f>AVERAGE(per_seed!$F$32:$F$41)</f>
        <v>541.20000000000005</v>
      </c>
      <c r="E66">
        <v>541.20000000000005</v>
      </c>
    </row>
    <row r="67" spans="1:5">
      <c r="A67" t="s">
        <v>35</v>
      </c>
      <c r="B67" t="s">
        <v>16</v>
      </c>
      <c r="C67" t="s">
        <v>5</v>
      </c>
      <c r="D67">
        <f>_xlfn.STDEV.S(per_seed!$F$32:$F$41)</f>
        <v>133.36982833876306</v>
      </c>
      <c r="E67">
        <v>133.369828338763</v>
      </c>
    </row>
    <row r="68" spans="1:5">
      <c r="A68" t="s">
        <v>34</v>
      </c>
      <c r="B68" t="s">
        <v>16</v>
      </c>
      <c r="C68" t="s">
        <v>6</v>
      </c>
      <c r="D68">
        <f>AVERAGE(per_seed!$G$32:$G$41)</f>
        <v>4.2465289410939473</v>
      </c>
      <c r="E68">
        <v>4.2465289410939473</v>
      </c>
    </row>
    <row r="69" spans="1:5">
      <c r="A69" t="s">
        <v>35</v>
      </c>
      <c r="B69" t="s">
        <v>16</v>
      </c>
      <c r="C69" t="s">
        <v>6</v>
      </c>
      <c r="D69">
        <f>_xlfn.STDEV.S(per_seed!$G$32:$G$41)</f>
        <v>0.29193213817476649</v>
      </c>
      <c r="E69">
        <v>0.29193213817476649</v>
      </c>
    </row>
    <row r="70" spans="1:5">
      <c r="A70" t="s">
        <v>34</v>
      </c>
      <c r="B70" t="s">
        <v>16</v>
      </c>
      <c r="C70" t="s">
        <v>7</v>
      </c>
      <c r="D70">
        <f>AVERAGE(per_seed!$H$32:$H$41)</f>
        <v>129.30000000000001</v>
      </c>
      <c r="E70">
        <v>129.30000000000001</v>
      </c>
    </row>
    <row r="71" spans="1:5">
      <c r="A71" t="s">
        <v>35</v>
      </c>
      <c r="B71" t="s">
        <v>16</v>
      </c>
      <c r="C71" t="s">
        <v>7</v>
      </c>
      <c r="D71">
        <f>_xlfn.STDEV.S(per_seed!$H$32:$H$41)</f>
        <v>34.023031415008674</v>
      </c>
      <c r="E71">
        <v>34.023031415008667</v>
      </c>
    </row>
    <row r="72" spans="1:5">
      <c r="A72" t="s">
        <v>34</v>
      </c>
      <c r="B72" t="s">
        <v>16</v>
      </c>
      <c r="C72" t="s">
        <v>8</v>
      </c>
      <c r="D72">
        <f>AVERAGE(per_seed!$I$32:$I$41)</f>
        <v>0.23642068295379887</v>
      </c>
      <c r="E72">
        <v>0.23642068295379889</v>
      </c>
    </row>
    <row r="73" spans="1:5">
      <c r="A73" t="s">
        <v>35</v>
      </c>
      <c r="B73" t="s">
        <v>16</v>
      </c>
      <c r="C73" t="s">
        <v>8</v>
      </c>
      <c r="D73">
        <f>_xlfn.STDEV.S(per_seed!$I$32:$I$41)</f>
        <v>1.515057257529772E-2</v>
      </c>
      <c r="E73">
        <v>1.515057257529772E-2</v>
      </c>
    </row>
    <row r="74" spans="1:5">
      <c r="A74" t="s">
        <v>34</v>
      </c>
      <c r="B74" t="s">
        <v>16</v>
      </c>
      <c r="C74" t="s">
        <v>9</v>
      </c>
      <c r="D74">
        <f>AVERAGE(per_seed!$J$32:$J$41)</f>
        <v>10.848088825859383</v>
      </c>
      <c r="E74">
        <v>10.84808882585939</v>
      </c>
    </row>
    <row r="75" spans="1:5">
      <c r="A75" t="s">
        <v>35</v>
      </c>
      <c r="B75" t="s">
        <v>16</v>
      </c>
      <c r="C75" t="s">
        <v>9</v>
      </c>
      <c r="D75">
        <f>_xlfn.STDEV.S(per_seed!$J$32:$J$41)</f>
        <v>0.73831094002337627</v>
      </c>
      <c r="E75">
        <v>0.73831094002337649</v>
      </c>
    </row>
    <row r="76" spans="1:5">
      <c r="A76" t="s">
        <v>34</v>
      </c>
      <c r="B76" t="s">
        <v>16</v>
      </c>
      <c r="C76" t="s">
        <v>10</v>
      </c>
      <c r="D76">
        <f>AVERAGE(per_seed!$K$32:$K$41)</f>
        <v>1.3692913857963689</v>
      </c>
      <c r="E76">
        <v>1.3692913857963691</v>
      </c>
    </row>
    <row r="77" spans="1:5">
      <c r="A77" t="s">
        <v>35</v>
      </c>
      <c r="B77" t="s">
        <v>16</v>
      </c>
      <c r="C77" t="s">
        <v>10</v>
      </c>
      <c r="D77">
        <f>_xlfn.STDEV.S(per_seed!$K$32:$K$41)</f>
        <v>8.2375321972491422E-2</v>
      </c>
      <c r="E77">
        <v>8.2375321972491408E-2</v>
      </c>
    </row>
    <row r="78" spans="1:5">
      <c r="A78" t="s">
        <v>34</v>
      </c>
      <c r="B78" t="s">
        <v>16</v>
      </c>
      <c r="C78" t="s">
        <v>11</v>
      </c>
      <c r="D78">
        <f>AVERAGE(per_seed!$L$32:$L$41)</f>
        <v>596.20444444488453</v>
      </c>
      <c r="E78">
        <v>596.20444444488453</v>
      </c>
    </row>
    <row r="79" spans="1:5">
      <c r="A79" t="s">
        <v>35</v>
      </c>
      <c r="B79" t="s">
        <v>16</v>
      </c>
      <c r="C79" t="s">
        <v>11</v>
      </c>
      <c r="D79">
        <f>_xlfn.STDEV.S(per_seed!$L$32:$L$41)</f>
        <v>57.691058187491919</v>
      </c>
      <c r="E79">
        <v>57.691058187491919</v>
      </c>
    </row>
    <row r="80" spans="1:5">
      <c r="A80" t="s">
        <v>34</v>
      </c>
      <c r="B80" t="s">
        <v>16</v>
      </c>
      <c r="C80" t="s">
        <v>12</v>
      </c>
      <c r="D80">
        <f>AVERAGE(per_seed!$M$32:$M$41)</f>
        <v>12.294104938404214</v>
      </c>
      <c r="E80">
        <v>12.29410493840421</v>
      </c>
    </row>
    <row r="81" spans="1:5">
      <c r="A81" t="s">
        <v>35</v>
      </c>
      <c r="B81" t="s">
        <v>16</v>
      </c>
      <c r="C81" t="s">
        <v>12</v>
      </c>
      <c r="D81">
        <f>_xlfn.STDEV.S(per_seed!$M$32:$M$41)</f>
        <v>21.607993914503794</v>
      </c>
      <c r="E81">
        <v>21.607993914503801</v>
      </c>
    </row>
    <row r="82" spans="1:5">
      <c r="A82" t="s">
        <v>34</v>
      </c>
      <c r="B82" t="s">
        <v>17</v>
      </c>
      <c r="C82" t="s">
        <v>3</v>
      </c>
      <c r="D82">
        <f>AVERAGE(per_seed!$D$42:$D$51)</f>
        <v>1391.8</v>
      </c>
      <c r="E82">
        <v>1391.8</v>
      </c>
    </row>
    <row r="83" spans="1:5">
      <c r="A83" t="s">
        <v>35</v>
      </c>
      <c r="B83" t="s">
        <v>17</v>
      </c>
      <c r="C83" t="s">
        <v>3</v>
      </c>
      <c r="D83">
        <f>_xlfn.STDEV.S(per_seed!$D$42:$D$51)</f>
        <v>11.886500279261718</v>
      </c>
      <c r="E83">
        <v>11.886500279261719</v>
      </c>
    </row>
    <row r="84" spans="1:5">
      <c r="A84" t="s">
        <v>34</v>
      </c>
      <c r="B84" t="s">
        <v>17</v>
      </c>
      <c r="C84" t="s">
        <v>4</v>
      </c>
      <c r="D84">
        <f>AVERAGE(per_seed!$E$42:$E$51)</f>
        <v>923</v>
      </c>
      <c r="E84">
        <v>923</v>
      </c>
    </row>
    <row r="85" spans="1:5">
      <c r="A85" t="s">
        <v>35</v>
      </c>
      <c r="B85" t="s">
        <v>17</v>
      </c>
      <c r="C85" t="s">
        <v>4</v>
      </c>
      <c r="D85">
        <f>_xlfn.STDEV.S(per_seed!$E$42:$E$51)</f>
        <v>20</v>
      </c>
      <c r="E85">
        <v>20</v>
      </c>
    </row>
    <row r="86" spans="1:5">
      <c r="A86" t="s">
        <v>34</v>
      </c>
      <c r="B86" t="s">
        <v>17</v>
      </c>
      <c r="C86" t="s">
        <v>5</v>
      </c>
      <c r="D86">
        <f>AVERAGE(per_seed!$F$42:$F$51)</f>
        <v>590.79999999999995</v>
      </c>
      <c r="E86">
        <v>590.79999999999995</v>
      </c>
    </row>
    <row r="87" spans="1:5">
      <c r="A87" t="s">
        <v>35</v>
      </c>
      <c r="B87" t="s">
        <v>17</v>
      </c>
      <c r="C87" t="s">
        <v>5</v>
      </c>
      <c r="D87">
        <f>_xlfn.STDEV.S(per_seed!$F$42:$F$51)</f>
        <v>17.07369646887021</v>
      </c>
      <c r="E87">
        <v>17.07369646887021</v>
      </c>
    </row>
    <row r="88" spans="1:5">
      <c r="A88" t="s">
        <v>34</v>
      </c>
      <c r="B88" t="s">
        <v>17</v>
      </c>
      <c r="C88" t="s">
        <v>6</v>
      </c>
      <c r="D88">
        <f>AVERAGE(per_seed!$G$42:$G$51)</f>
        <v>4.4037461941369225</v>
      </c>
      <c r="E88">
        <v>4.4037461941369216</v>
      </c>
    </row>
    <row r="89" spans="1:5">
      <c r="A89" t="s">
        <v>35</v>
      </c>
      <c r="B89" t="s">
        <v>17</v>
      </c>
      <c r="C89" t="s">
        <v>6</v>
      </c>
      <c r="D89">
        <f>_xlfn.STDEV.S(per_seed!$G$42:$G$51)</f>
        <v>0.14179149624499271</v>
      </c>
      <c r="E89">
        <v>0.14179149624499271</v>
      </c>
    </row>
    <row r="90" spans="1:5">
      <c r="A90" t="s">
        <v>34</v>
      </c>
      <c r="B90" t="s">
        <v>17</v>
      </c>
      <c r="C90" t="s">
        <v>7</v>
      </c>
      <c r="D90">
        <f>AVERAGE(per_seed!$H$42:$H$51)</f>
        <v>134.19999999999999</v>
      </c>
      <c r="E90">
        <v>134.19999999999999</v>
      </c>
    </row>
    <row r="91" spans="1:5">
      <c r="A91" t="s">
        <v>35</v>
      </c>
      <c r="B91" t="s">
        <v>17</v>
      </c>
      <c r="C91" t="s">
        <v>7</v>
      </c>
      <c r="D91">
        <f>_xlfn.STDEV.S(per_seed!$H$42:$H$51)</f>
        <v>3.0110906108363236</v>
      </c>
      <c r="E91">
        <v>3.011090610836324</v>
      </c>
    </row>
    <row r="92" spans="1:5">
      <c r="A92" t="s">
        <v>34</v>
      </c>
      <c r="B92" t="s">
        <v>17</v>
      </c>
      <c r="C92" t="s">
        <v>8</v>
      </c>
      <c r="D92">
        <f>AVERAGE(per_seed!$I$42:$I$51)</f>
        <v>0.22728536836453089</v>
      </c>
      <c r="E92">
        <v>0.22728536836453089</v>
      </c>
    </row>
    <row r="93" spans="1:5">
      <c r="A93" t="s">
        <v>35</v>
      </c>
      <c r="B93" t="s">
        <v>17</v>
      </c>
      <c r="C93" t="s">
        <v>8</v>
      </c>
      <c r="D93">
        <f>_xlfn.STDEV.S(per_seed!$I$42:$I$51)</f>
        <v>7.112999136755789E-3</v>
      </c>
      <c r="E93">
        <v>7.1129991367557934E-3</v>
      </c>
    </row>
    <row r="94" spans="1:5">
      <c r="A94" t="s">
        <v>34</v>
      </c>
      <c r="B94" t="s">
        <v>17</v>
      </c>
      <c r="C94" t="s">
        <v>9</v>
      </c>
      <c r="D94">
        <f>AVERAGE(per_seed!$J$42:$J$51)</f>
        <v>10.847692848066384</v>
      </c>
      <c r="E94">
        <v>10.84769284806638</v>
      </c>
    </row>
    <row r="95" spans="1:5">
      <c r="A95" t="s">
        <v>35</v>
      </c>
      <c r="B95" t="s">
        <v>17</v>
      </c>
      <c r="C95" t="s">
        <v>9</v>
      </c>
      <c r="D95">
        <f>_xlfn.STDEV.S(per_seed!$J$42:$J$51)</f>
        <v>0.22686440553426462</v>
      </c>
      <c r="E95">
        <v>0.22686440553426329</v>
      </c>
    </row>
    <row r="96" spans="1:5">
      <c r="A96" t="s">
        <v>34</v>
      </c>
      <c r="B96" t="s">
        <v>17</v>
      </c>
      <c r="C96" t="s">
        <v>10</v>
      </c>
      <c r="D96">
        <f>AVERAGE(per_seed!$K$42:$K$51)</f>
        <v>1.377732640200664</v>
      </c>
      <c r="E96">
        <v>1.377732640200664</v>
      </c>
    </row>
    <row r="97" spans="1:5">
      <c r="A97" t="s">
        <v>35</v>
      </c>
      <c r="B97" t="s">
        <v>17</v>
      </c>
      <c r="C97" t="s">
        <v>10</v>
      </c>
      <c r="D97">
        <f>_xlfn.STDEV.S(per_seed!$K$42:$K$51)</f>
        <v>4.7039029971878005E-2</v>
      </c>
      <c r="E97">
        <v>4.7039029971877998E-2</v>
      </c>
    </row>
    <row r="98" spans="1:5">
      <c r="A98" t="s">
        <v>34</v>
      </c>
      <c r="B98" t="s">
        <v>17</v>
      </c>
      <c r="C98" t="s">
        <v>11</v>
      </c>
      <c r="D98">
        <f>AVERAGE(per_seed!$L$42:$L$51)</f>
        <v>644.43999999953769</v>
      </c>
      <c r="E98">
        <v>644.43999999953769</v>
      </c>
    </row>
    <row r="99" spans="1:5">
      <c r="A99" t="s">
        <v>35</v>
      </c>
      <c r="B99" t="s">
        <v>17</v>
      </c>
      <c r="C99" t="s">
        <v>11</v>
      </c>
      <c r="D99">
        <f>_xlfn.STDEV.S(per_seed!$L$42:$L$51)</f>
        <v>47.393546353155799</v>
      </c>
      <c r="E99">
        <v>47.393546353155791</v>
      </c>
    </row>
    <row r="100" spans="1:5">
      <c r="A100" t="s">
        <v>34</v>
      </c>
      <c r="B100" t="s">
        <v>17</v>
      </c>
      <c r="C100" t="s">
        <v>12</v>
      </c>
      <c r="D100">
        <f>AVERAGE(per_seed!$M$42:$M$51)</f>
        <v>3.4227469137275151</v>
      </c>
      <c r="E100">
        <v>3.4227469137275151</v>
      </c>
    </row>
    <row r="101" spans="1:5">
      <c r="A101" t="s">
        <v>35</v>
      </c>
      <c r="B101" t="s">
        <v>17</v>
      </c>
      <c r="C101" t="s">
        <v>12</v>
      </c>
      <c r="D101">
        <f>_xlfn.STDEV.S(per_seed!$M$42:$M$51)</f>
        <v>0.83694842865613106</v>
      </c>
      <c r="E101">
        <v>0.83694842865613128</v>
      </c>
    </row>
    <row r="102" spans="1:5">
      <c r="A102" t="s">
        <v>34</v>
      </c>
      <c r="B102" t="s">
        <v>18</v>
      </c>
      <c r="C102" t="s">
        <v>3</v>
      </c>
      <c r="D102">
        <f>AVERAGE(per_seed!$D$52:$D$61)</f>
        <v>1390.4</v>
      </c>
      <c r="E102">
        <v>1390.4</v>
      </c>
    </row>
    <row r="103" spans="1:5">
      <c r="A103" t="s">
        <v>35</v>
      </c>
      <c r="B103" t="s">
        <v>18</v>
      </c>
      <c r="C103" t="s">
        <v>3</v>
      </c>
      <c r="D103">
        <f>_xlfn.STDEV.S(per_seed!$D$52:$D$61)</f>
        <v>10.905656024895217</v>
      </c>
      <c r="E103">
        <v>10.905656024895221</v>
      </c>
    </row>
    <row r="104" spans="1:5">
      <c r="A104" t="s">
        <v>34</v>
      </c>
      <c r="B104" t="s">
        <v>18</v>
      </c>
      <c r="C104" t="s">
        <v>4</v>
      </c>
      <c r="D104">
        <f>AVERAGE(per_seed!$E$52:$E$61)</f>
        <v>924.8</v>
      </c>
      <c r="E104">
        <v>924.8</v>
      </c>
    </row>
    <row r="105" spans="1:5">
      <c r="A105" t="s">
        <v>35</v>
      </c>
      <c r="B105" t="s">
        <v>18</v>
      </c>
      <c r="C105" t="s">
        <v>4</v>
      </c>
      <c r="D105">
        <f>_xlfn.STDEV.S(per_seed!$E$52:$E$61)</f>
        <v>15.824032355881984</v>
      </c>
      <c r="E105">
        <v>15.82403235588199</v>
      </c>
    </row>
    <row r="106" spans="1:5">
      <c r="A106" t="s">
        <v>34</v>
      </c>
      <c r="B106" t="s">
        <v>18</v>
      </c>
      <c r="C106" t="s">
        <v>5</v>
      </c>
      <c r="D106">
        <f>AVERAGE(per_seed!$F$52:$F$61)</f>
        <v>588.79999999999995</v>
      </c>
      <c r="E106">
        <v>588.79999999999995</v>
      </c>
    </row>
    <row r="107" spans="1:5">
      <c r="A107" t="s">
        <v>35</v>
      </c>
      <c r="B107" t="s">
        <v>18</v>
      </c>
      <c r="C107" t="s">
        <v>5</v>
      </c>
      <c r="D107">
        <f>_xlfn.STDEV.S(per_seed!$F$52:$F$61)</f>
        <v>15.03920801697276</v>
      </c>
      <c r="E107">
        <v>15.03920801697276</v>
      </c>
    </row>
    <row r="108" spans="1:5">
      <c r="A108" t="s">
        <v>34</v>
      </c>
      <c r="B108" t="s">
        <v>18</v>
      </c>
      <c r="C108" t="s">
        <v>6</v>
      </c>
      <c r="D108">
        <f>AVERAGE(per_seed!$G$52:$G$61)</f>
        <v>4.5125597171254892</v>
      </c>
      <c r="E108">
        <v>4.5125597171254892</v>
      </c>
    </row>
    <row r="109" spans="1:5">
      <c r="A109" t="s">
        <v>35</v>
      </c>
      <c r="B109" t="s">
        <v>18</v>
      </c>
      <c r="C109" t="s">
        <v>6</v>
      </c>
      <c r="D109">
        <f>_xlfn.STDEV.S(per_seed!$G$52:$G$61)</f>
        <v>9.9411192148005673E-2</v>
      </c>
      <c r="E109">
        <v>9.9411192148005631E-2</v>
      </c>
    </row>
    <row r="110" spans="1:5">
      <c r="A110" t="s">
        <v>34</v>
      </c>
      <c r="B110" t="s">
        <v>18</v>
      </c>
      <c r="C110" t="s">
        <v>7</v>
      </c>
      <c r="D110">
        <f>AVERAGE(per_seed!$H$52:$H$61)</f>
        <v>130.5</v>
      </c>
      <c r="E110">
        <v>130.5</v>
      </c>
    </row>
    <row r="111" spans="1:5">
      <c r="A111" t="s">
        <v>35</v>
      </c>
      <c r="B111" t="s">
        <v>18</v>
      </c>
      <c r="C111" t="s">
        <v>7</v>
      </c>
      <c r="D111">
        <f>_xlfn.STDEV.S(per_seed!$H$52:$H$61)</f>
        <v>2.9533408577782247</v>
      </c>
      <c r="E111">
        <v>2.9533408577782252</v>
      </c>
    </row>
    <row r="112" spans="1:5">
      <c r="A112" t="s">
        <v>34</v>
      </c>
      <c r="B112" t="s">
        <v>18</v>
      </c>
      <c r="C112" t="s">
        <v>8</v>
      </c>
      <c r="D112">
        <f>AVERAGE(per_seed!$I$52:$I$61)</f>
        <v>0.22170058278430743</v>
      </c>
      <c r="E112">
        <v>0.2217005827843074</v>
      </c>
    </row>
    <row r="113" spans="1:5">
      <c r="A113" t="s">
        <v>35</v>
      </c>
      <c r="B113" t="s">
        <v>18</v>
      </c>
      <c r="C113" t="s">
        <v>8</v>
      </c>
      <c r="D113">
        <f>_xlfn.STDEV.S(per_seed!$I$52:$I$61)</f>
        <v>4.8873226980756159E-3</v>
      </c>
      <c r="E113">
        <v>4.8873226980756159E-3</v>
      </c>
    </row>
    <row r="114" spans="1:5">
      <c r="A114" t="s">
        <v>34</v>
      </c>
      <c r="B114" t="s">
        <v>18</v>
      </c>
      <c r="C114" t="s">
        <v>9</v>
      </c>
      <c r="D114">
        <f>AVERAGE(per_seed!$J$52:$J$61)</f>
        <v>10.826988352484255</v>
      </c>
      <c r="E114">
        <v>10.82698835248425</v>
      </c>
    </row>
    <row r="115" spans="1:5">
      <c r="A115" t="s">
        <v>35</v>
      </c>
      <c r="B115" t="s">
        <v>18</v>
      </c>
      <c r="C115" t="s">
        <v>9</v>
      </c>
      <c r="D115">
        <f>_xlfn.STDEV.S(per_seed!$J$52:$J$61)</f>
        <v>0.23949025878026126</v>
      </c>
      <c r="E115">
        <v>0.2394902587802602</v>
      </c>
    </row>
    <row r="116" spans="1:5">
      <c r="A116" t="s">
        <v>34</v>
      </c>
      <c r="B116" t="s">
        <v>18</v>
      </c>
      <c r="C116" t="s">
        <v>10</v>
      </c>
      <c r="D116">
        <f>AVERAGE(per_seed!$K$52:$K$61)</f>
        <v>1.377837193002569</v>
      </c>
      <c r="E116">
        <v>1.377837193002569</v>
      </c>
    </row>
    <row r="117" spans="1:5">
      <c r="A117" t="s">
        <v>35</v>
      </c>
      <c r="B117" t="s">
        <v>18</v>
      </c>
      <c r="C117" t="s">
        <v>10</v>
      </c>
      <c r="D117">
        <f>_xlfn.STDEV.S(per_seed!$K$52:$K$61)</f>
        <v>3.9240559279179889E-2</v>
      </c>
      <c r="E117">
        <v>3.9240559279179882E-2</v>
      </c>
    </row>
    <row r="118" spans="1:5">
      <c r="A118" t="s">
        <v>34</v>
      </c>
      <c r="B118" t="s">
        <v>18</v>
      </c>
      <c r="C118" t="s">
        <v>11</v>
      </c>
      <c r="D118">
        <f>AVERAGE(per_seed!$L$52:$L$61)</f>
        <v>680.29777777761706</v>
      </c>
      <c r="E118">
        <v>680.29777777761706</v>
      </c>
    </row>
    <row r="119" spans="1:5">
      <c r="A119" t="s">
        <v>35</v>
      </c>
      <c r="B119" t="s">
        <v>18</v>
      </c>
      <c r="C119" t="s">
        <v>11</v>
      </c>
      <c r="D119">
        <f>_xlfn.STDEV.S(per_seed!$L$52:$L$61)</f>
        <v>69.003473164952041</v>
      </c>
      <c r="E119">
        <v>69.003473164952041</v>
      </c>
    </row>
    <row r="120" spans="1:5">
      <c r="A120" t="s">
        <v>34</v>
      </c>
      <c r="B120" t="s">
        <v>18</v>
      </c>
      <c r="C120" t="s">
        <v>12</v>
      </c>
      <c r="D120">
        <f>AVERAGE(per_seed!$M$52:$M$61)</f>
        <v>3.5048148149546501</v>
      </c>
      <c r="E120">
        <v>3.5048148149546501</v>
      </c>
    </row>
    <row r="121" spans="1:5">
      <c r="A121" t="s">
        <v>35</v>
      </c>
      <c r="B121" t="s">
        <v>18</v>
      </c>
      <c r="C121" t="s">
        <v>12</v>
      </c>
      <c r="D121">
        <f>_xlfn.STDEV.S(per_seed!$M$52:$M$61)</f>
        <v>0.74704728762095962</v>
      </c>
      <c r="E121">
        <v>0.74704728762096184</v>
      </c>
    </row>
    <row r="122" spans="1:5">
      <c r="A122" t="s">
        <v>34</v>
      </c>
      <c r="B122" t="s">
        <v>19</v>
      </c>
      <c r="C122" t="s">
        <v>3</v>
      </c>
      <c r="D122">
        <f>AVERAGE(per_seed!$D$62:$D$71)</f>
        <v>1394.1</v>
      </c>
      <c r="E122">
        <v>1394.1</v>
      </c>
    </row>
    <row r="123" spans="1:5">
      <c r="A123" t="s">
        <v>35</v>
      </c>
      <c r="B123" t="s">
        <v>19</v>
      </c>
      <c r="C123" t="s">
        <v>3</v>
      </c>
      <c r="D123">
        <f>_xlfn.STDEV.S(per_seed!$D$62:$D$71)</f>
        <v>9.7689985839559483</v>
      </c>
      <c r="E123">
        <v>9.7689985839559483</v>
      </c>
    </row>
    <row r="124" spans="1:5">
      <c r="A124" t="s">
        <v>34</v>
      </c>
      <c r="B124" t="s">
        <v>19</v>
      </c>
      <c r="C124" t="s">
        <v>4</v>
      </c>
      <c r="D124">
        <f>AVERAGE(per_seed!$E$62:$E$71)</f>
        <v>926.8</v>
      </c>
      <c r="E124">
        <v>926.8</v>
      </c>
    </row>
    <row r="125" spans="1:5">
      <c r="A125" t="s">
        <v>35</v>
      </c>
      <c r="B125" t="s">
        <v>19</v>
      </c>
      <c r="C125" t="s">
        <v>4</v>
      </c>
      <c r="D125">
        <f>_xlfn.STDEV.S(per_seed!$E$62:$E$71)</f>
        <v>13.742068419435423</v>
      </c>
      <c r="E125">
        <v>13.742068419435419</v>
      </c>
    </row>
    <row r="126" spans="1:5">
      <c r="A126" t="s">
        <v>34</v>
      </c>
      <c r="B126" t="s">
        <v>19</v>
      </c>
      <c r="C126" t="s">
        <v>5</v>
      </c>
      <c r="D126">
        <f>AVERAGE(per_seed!$F$62:$F$71)</f>
        <v>590.4</v>
      </c>
      <c r="E126">
        <v>590.4</v>
      </c>
    </row>
    <row r="127" spans="1:5">
      <c r="A127" t="s">
        <v>35</v>
      </c>
      <c r="B127" t="s">
        <v>19</v>
      </c>
      <c r="C127" t="s">
        <v>5</v>
      </c>
      <c r="D127">
        <f>_xlfn.STDEV.S(per_seed!$F$62:$F$71)</f>
        <v>14.190763819392451</v>
      </c>
      <c r="E127">
        <v>14.190763819392449</v>
      </c>
    </row>
    <row r="128" spans="1:5">
      <c r="A128" t="s">
        <v>34</v>
      </c>
      <c r="B128" t="s">
        <v>19</v>
      </c>
      <c r="C128" t="s">
        <v>6</v>
      </c>
      <c r="D128">
        <f>AVERAGE(per_seed!$G$62:$G$71)</f>
        <v>4.5528448882698074</v>
      </c>
      <c r="E128">
        <v>4.5528448882698074</v>
      </c>
    </row>
    <row r="129" spans="1:5">
      <c r="A129" t="s">
        <v>35</v>
      </c>
      <c r="B129" t="s">
        <v>19</v>
      </c>
      <c r="C129" t="s">
        <v>6</v>
      </c>
      <c r="D129">
        <f>_xlfn.STDEV.S(per_seed!$G$62:$G$71)</f>
        <v>9.8599095818968391E-2</v>
      </c>
      <c r="E129">
        <v>9.8599095818968502E-2</v>
      </c>
    </row>
    <row r="130" spans="1:5">
      <c r="A130" t="s">
        <v>34</v>
      </c>
      <c r="B130" t="s">
        <v>19</v>
      </c>
      <c r="C130" t="s">
        <v>7</v>
      </c>
      <c r="D130">
        <f>AVERAGE(per_seed!$H$62:$H$71)</f>
        <v>129.69999999999999</v>
      </c>
      <c r="E130">
        <v>129.69999999999999</v>
      </c>
    </row>
    <row r="131" spans="1:5">
      <c r="A131" t="s">
        <v>35</v>
      </c>
      <c r="B131" t="s">
        <v>19</v>
      </c>
      <c r="C131" t="s">
        <v>7</v>
      </c>
      <c r="D131">
        <f>_xlfn.STDEV.S(per_seed!$H$62:$H$71)</f>
        <v>2.9078437983419181</v>
      </c>
      <c r="E131">
        <v>2.907843798341919</v>
      </c>
    </row>
    <row r="132" spans="1:5">
      <c r="A132" t="s">
        <v>34</v>
      </c>
      <c r="B132" t="s">
        <v>19</v>
      </c>
      <c r="C132" t="s">
        <v>8</v>
      </c>
      <c r="D132">
        <f>AVERAGE(per_seed!$I$62:$I$71)</f>
        <v>0.21973557553919393</v>
      </c>
      <c r="E132">
        <v>0.2197355755391939</v>
      </c>
    </row>
    <row r="133" spans="1:5">
      <c r="A133" t="s">
        <v>35</v>
      </c>
      <c r="B133" t="s">
        <v>19</v>
      </c>
      <c r="C133" t="s">
        <v>8</v>
      </c>
      <c r="D133">
        <f>_xlfn.STDEV.S(per_seed!$I$62:$I$71)</f>
        <v>4.7561750270782134E-3</v>
      </c>
      <c r="E133">
        <v>4.7561750270782108E-3</v>
      </c>
    </row>
    <row r="134" spans="1:5">
      <c r="A134" t="s">
        <v>34</v>
      </c>
      <c r="B134" t="s">
        <v>19</v>
      </c>
      <c r="C134" t="s">
        <v>9</v>
      </c>
      <c r="D134">
        <f>AVERAGE(per_seed!$J$62:$J$71)</f>
        <v>10.78640969453307</v>
      </c>
      <c r="E134">
        <v>10.78640969453307</v>
      </c>
    </row>
    <row r="135" spans="1:5">
      <c r="A135" t="s">
        <v>35</v>
      </c>
      <c r="B135" t="s">
        <v>19</v>
      </c>
      <c r="C135" t="s">
        <v>9</v>
      </c>
      <c r="D135">
        <f>_xlfn.STDEV.S(per_seed!$J$62:$J$71)</f>
        <v>0.26982142082379895</v>
      </c>
      <c r="E135">
        <v>0.2698214208237984</v>
      </c>
    </row>
    <row r="136" spans="1:5">
      <c r="A136" t="s">
        <v>34</v>
      </c>
      <c r="B136" t="s">
        <v>19</v>
      </c>
      <c r="C136" t="s">
        <v>10</v>
      </c>
      <c r="D136">
        <f>AVERAGE(per_seed!$K$62:$K$71)</f>
        <v>1.3720030240871359</v>
      </c>
      <c r="E136">
        <v>1.3720030240871359</v>
      </c>
    </row>
    <row r="137" spans="1:5">
      <c r="A137" t="s">
        <v>35</v>
      </c>
      <c r="B137" t="s">
        <v>19</v>
      </c>
      <c r="C137" t="s">
        <v>10</v>
      </c>
      <c r="D137">
        <f>_xlfn.STDEV.S(per_seed!$K$62:$K$71)</f>
        <v>2.2150206950901915E-2</v>
      </c>
      <c r="E137">
        <v>2.2150206950901911E-2</v>
      </c>
    </row>
    <row r="138" spans="1:5">
      <c r="A138" t="s">
        <v>34</v>
      </c>
      <c r="B138" t="s">
        <v>19</v>
      </c>
      <c r="C138" t="s">
        <v>11</v>
      </c>
      <c r="D138">
        <f>AVERAGE(per_seed!$L$62:$L$71)</f>
        <v>677.06222222343843</v>
      </c>
      <c r="E138">
        <v>677.06222222343843</v>
      </c>
    </row>
    <row r="139" spans="1:5">
      <c r="A139" t="s">
        <v>35</v>
      </c>
      <c r="B139" t="s">
        <v>19</v>
      </c>
      <c r="C139" t="s">
        <v>11</v>
      </c>
      <c r="D139">
        <f>_xlfn.STDEV.S(per_seed!$L$62:$L$71)</f>
        <v>34.775583571604287</v>
      </c>
      <c r="E139">
        <v>34.775583571604287</v>
      </c>
    </row>
    <row r="140" spans="1:5">
      <c r="A140" t="s">
        <v>34</v>
      </c>
      <c r="B140" t="s">
        <v>19</v>
      </c>
      <c r="C140" t="s">
        <v>12</v>
      </c>
      <c r="D140">
        <f>AVERAGE(per_seed!$M$62:$M$71)</f>
        <v>3.2478703705175476</v>
      </c>
      <c r="E140">
        <v>3.247870370517548</v>
      </c>
    </row>
    <row r="141" spans="1:5">
      <c r="A141" t="s">
        <v>35</v>
      </c>
      <c r="B141" t="s">
        <v>19</v>
      </c>
      <c r="C141" t="s">
        <v>12</v>
      </c>
      <c r="D141">
        <f>_xlfn.STDEV.S(per_seed!$M$62:$M$71)</f>
        <v>0.67672925576271203</v>
      </c>
      <c r="E141">
        <v>0.67672925576271536</v>
      </c>
    </row>
    <row r="142" spans="1:5">
      <c r="A142" t="s">
        <v>34</v>
      </c>
      <c r="B142" t="s">
        <v>20</v>
      </c>
      <c r="C142" t="s">
        <v>3</v>
      </c>
      <c r="D142">
        <f>AVERAGE(per_seed!$D$72:$D$81)</f>
        <v>1396.2</v>
      </c>
      <c r="E142">
        <v>1396.2</v>
      </c>
    </row>
    <row r="143" spans="1:5">
      <c r="A143" t="s">
        <v>35</v>
      </c>
      <c r="B143" t="s">
        <v>20</v>
      </c>
      <c r="C143" t="s">
        <v>3</v>
      </c>
      <c r="D143">
        <f>_xlfn.STDEV.S(per_seed!$D$72:$D$81)</f>
        <v>10.042133460796286</v>
      </c>
      <c r="E143">
        <v>10.04213346079629</v>
      </c>
    </row>
    <row r="144" spans="1:5">
      <c r="A144" t="s">
        <v>34</v>
      </c>
      <c r="B144" t="s">
        <v>20</v>
      </c>
      <c r="C144" t="s">
        <v>4</v>
      </c>
      <c r="D144">
        <f>AVERAGE(per_seed!$E$72:$E$81)</f>
        <v>928.9</v>
      </c>
      <c r="E144">
        <v>928.9</v>
      </c>
    </row>
    <row r="145" spans="1:5">
      <c r="A145" t="s">
        <v>35</v>
      </c>
      <c r="B145" t="s">
        <v>20</v>
      </c>
      <c r="C145" t="s">
        <v>4</v>
      </c>
      <c r="D145">
        <f>_xlfn.STDEV.S(per_seed!$E$72:$E$81)</f>
        <v>12.114729327007957</v>
      </c>
      <c r="E145">
        <v>12.114729327007961</v>
      </c>
    </row>
    <row r="146" spans="1:5">
      <c r="A146" t="s">
        <v>34</v>
      </c>
      <c r="B146" t="s">
        <v>20</v>
      </c>
      <c r="C146" t="s">
        <v>5</v>
      </c>
      <c r="D146">
        <f>AVERAGE(per_seed!$F$72:$F$81)</f>
        <v>593.1</v>
      </c>
      <c r="E146">
        <v>593.1</v>
      </c>
    </row>
    <row r="147" spans="1:5">
      <c r="A147" t="s">
        <v>35</v>
      </c>
      <c r="B147" t="s">
        <v>20</v>
      </c>
      <c r="C147" t="s">
        <v>5</v>
      </c>
      <c r="D147">
        <f>_xlfn.STDEV.S(per_seed!$F$72:$F$81)</f>
        <v>11.493476410555685</v>
      </c>
      <c r="E147">
        <v>11.493476410555679</v>
      </c>
    </row>
    <row r="148" spans="1:5">
      <c r="A148" t="s">
        <v>34</v>
      </c>
      <c r="B148" t="s">
        <v>20</v>
      </c>
      <c r="C148" t="s">
        <v>6</v>
      </c>
      <c r="D148">
        <f>AVERAGE(per_seed!$G$72:$G$81)</f>
        <v>4.5817473515949469</v>
      </c>
      <c r="E148">
        <v>4.5817473515949461</v>
      </c>
    </row>
    <row r="149" spans="1:5">
      <c r="A149" t="s">
        <v>35</v>
      </c>
      <c r="B149" t="s">
        <v>20</v>
      </c>
      <c r="C149" t="s">
        <v>6</v>
      </c>
      <c r="D149">
        <f>_xlfn.STDEV.S(per_seed!$G$72:$G$81)</f>
        <v>0.11723919494842211</v>
      </c>
      <c r="E149">
        <v>0.1172391949484221</v>
      </c>
    </row>
    <row r="150" spans="1:5">
      <c r="A150" t="s">
        <v>34</v>
      </c>
      <c r="B150" t="s">
        <v>20</v>
      </c>
      <c r="C150" t="s">
        <v>7</v>
      </c>
      <c r="D150">
        <f>AVERAGE(per_seed!$H$72:$H$81)</f>
        <v>129.5</v>
      </c>
      <c r="E150">
        <v>129.5</v>
      </c>
    </row>
    <row r="151" spans="1:5">
      <c r="A151" t="s">
        <v>35</v>
      </c>
      <c r="B151" t="s">
        <v>20</v>
      </c>
      <c r="C151" t="s">
        <v>7</v>
      </c>
      <c r="D151">
        <f>_xlfn.STDEV.S(per_seed!$H$72:$H$81)</f>
        <v>3.1710495984067415</v>
      </c>
      <c r="E151">
        <v>3.1710495984067411</v>
      </c>
    </row>
    <row r="152" spans="1:5">
      <c r="A152" t="s">
        <v>34</v>
      </c>
      <c r="B152" t="s">
        <v>20</v>
      </c>
      <c r="C152" t="s">
        <v>8</v>
      </c>
      <c r="D152">
        <f>AVERAGE(per_seed!$I$72:$I$81)</f>
        <v>0.21838568552017373</v>
      </c>
      <c r="E152">
        <v>0.21838568552017371</v>
      </c>
    </row>
    <row r="153" spans="1:5">
      <c r="A153" t="s">
        <v>35</v>
      </c>
      <c r="B153" t="s">
        <v>20</v>
      </c>
      <c r="C153" t="s">
        <v>8</v>
      </c>
      <c r="D153">
        <f>_xlfn.STDEV.S(per_seed!$I$72:$I$81)</f>
        <v>5.5738842303512618E-3</v>
      </c>
      <c r="E153">
        <v>5.573884230351254E-3</v>
      </c>
    </row>
    <row r="154" spans="1:5">
      <c r="A154" t="s">
        <v>34</v>
      </c>
      <c r="B154" t="s">
        <v>20</v>
      </c>
      <c r="C154" t="s">
        <v>9</v>
      </c>
      <c r="D154">
        <f>AVERAGE(per_seed!$J$72:$J$81)</f>
        <v>10.928339234095066</v>
      </c>
      <c r="E154">
        <v>10.92833923409507</v>
      </c>
    </row>
    <row r="155" spans="1:5">
      <c r="A155" t="s">
        <v>35</v>
      </c>
      <c r="B155" t="s">
        <v>20</v>
      </c>
      <c r="C155" t="s">
        <v>9</v>
      </c>
      <c r="D155">
        <f>_xlfn.STDEV.S(per_seed!$J$72:$J$81)</f>
        <v>0.28416818421829149</v>
      </c>
      <c r="E155">
        <v>0.28416818421829099</v>
      </c>
    </row>
    <row r="156" spans="1:5">
      <c r="A156" t="s">
        <v>34</v>
      </c>
      <c r="B156" t="s">
        <v>20</v>
      </c>
      <c r="C156" t="s">
        <v>10</v>
      </c>
      <c r="D156">
        <f>AVERAGE(per_seed!$K$72:$K$81)</f>
        <v>1.3854955658876018</v>
      </c>
      <c r="E156">
        <v>1.385495565887602</v>
      </c>
    </row>
    <row r="157" spans="1:5">
      <c r="A157" t="s">
        <v>35</v>
      </c>
      <c r="B157" t="s">
        <v>20</v>
      </c>
      <c r="C157" t="s">
        <v>10</v>
      </c>
      <c r="D157">
        <f>_xlfn.STDEV.S(per_seed!$K$72:$K$81)</f>
        <v>2.1567584377672009E-2</v>
      </c>
      <c r="E157">
        <v>2.1567584377672009E-2</v>
      </c>
    </row>
    <row r="158" spans="1:5">
      <c r="A158" t="s">
        <v>34</v>
      </c>
      <c r="B158" t="s">
        <v>20</v>
      </c>
      <c r="C158" t="s">
        <v>11</v>
      </c>
      <c r="D158">
        <f>AVERAGE(per_seed!$L$72:$L$81)</f>
        <v>665.12444444415996</v>
      </c>
      <c r="E158">
        <v>665.12444444415996</v>
      </c>
    </row>
    <row r="159" spans="1:5">
      <c r="A159" t="s">
        <v>35</v>
      </c>
      <c r="B159" t="s">
        <v>20</v>
      </c>
      <c r="C159" t="s">
        <v>11</v>
      </c>
      <c r="D159">
        <f>_xlfn.STDEV.S(per_seed!$L$72:$L$81)</f>
        <v>47.33306694366825</v>
      </c>
      <c r="E159">
        <v>47.333066943668257</v>
      </c>
    </row>
    <row r="160" spans="1:5">
      <c r="A160" t="s">
        <v>34</v>
      </c>
      <c r="B160" t="s">
        <v>20</v>
      </c>
      <c r="C160" t="s">
        <v>12</v>
      </c>
      <c r="D160">
        <f>AVERAGE(per_seed!$M$72:$M$81)</f>
        <v>3.0891666667990836</v>
      </c>
      <c r="E160">
        <v>3.089166666799084</v>
      </c>
    </row>
    <row r="161" spans="1:5">
      <c r="A161" t="s">
        <v>35</v>
      </c>
      <c r="B161" t="s">
        <v>20</v>
      </c>
      <c r="C161" t="s">
        <v>12</v>
      </c>
      <c r="D161">
        <f>_xlfn.STDEV.S(per_seed!$M$72:$M$81)</f>
        <v>0.70582075494436136</v>
      </c>
      <c r="E161">
        <v>0.70582075494436181</v>
      </c>
    </row>
    <row r="162" spans="1:5">
      <c r="A162" t="s">
        <v>34</v>
      </c>
      <c r="B162" t="s">
        <v>21</v>
      </c>
      <c r="C162" t="s">
        <v>3</v>
      </c>
      <c r="D162">
        <f>AVERAGE(per_seed!$D$82:$D$91)</f>
        <v>1428.7</v>
      </c>
      <c r="E162">
        <v>1428.7</v>
      </c>
    </row>
    <row r="163" spans="1:5">
      <c r="A163" t="s">
        <v>35</v>
      </c>
      <c r="B163" t="s">
        <v>21</v>
      </c>
      <c r="C163" t="s">
        <v>3</v>
      </c>
      <c r="D163">
        <f>_xlfn.STDEV.S(per_seed!$D$82:$D$91)</f>
        <v>2.263232692902394</v>
      </c>
      <c r="E163">
        <v>2.263232692902394</v>
      </c>
    </row>
    <row r="164" spans="1:5">
      <c r="A164" t="s">
        <v>34</v>
      </c>
      <c r="B164" t="s">
        <v>21</v>
      </c>
      <c r="C164" t="s">
        <v>4</v>
      </c>
      <c r="D164">
        <f>AVERAGE(per_seed!$E$82:$E$91)</f>
        <v>952.2</v>
      </c>
      <c r="E164">
        <v>952.2</v>
      </c>
    </row>
    <row r="165" spans="1:5">
      <c r="A165" t="s">
        <v>35</v>
      </c>
      <c r="B165" t="s">
        <v>21</v>
      </c>
      <c r="C165" t="s">
        <v>4</v>
      </c>
      <c r="D165">
        <f>_xlfn.STDEV.S(per_seed!$E$82:$E$91)</f>
        <v>16.45059944871986</v>
      </c>
      <c r="E165">
        <v>16.45059944871986</v>
      </c>
    </row>
    <row r="166" spans="1:5">
      <c r="A166" t="s">
        <v>34</v>
      </c>
      <c r="B166" t="s">
        <v>21</v>
      </c>
      <c r="C166" t="s">
        <v>5</v>
      </c>
      <c r="D166">
        <f>AVERAGE(per_seed!$F$82:$F$91)</f>
        <v>603.5</v>
      </c>
      <c r="E166">
        <v>603.5</v>
      </c>
    </row>
    <row r="167" spans="1:5">
      <c r="A167" t="s">
        <v>35</v>
      </c>
      <c r="B167" t="s">
        <v>21</v>
      </c>
      <c r="C167" t="s">
        <v>5</v>
      </c>
      <c r="D167">
        <f>_xlfn.STDEV.S(per_seed!$F$82:$F$91)</f>
        <v>11.067971810589327</v>
      </c>
      <c r="E167">
        <v>11.067971810589331</v>
      </c>
    </row>
    <row r="168" spans="1:5">
      <c r="A168" t="s">
        <v>34</v>
      </c>
      <c r="B168" t="s">
        <v>21</v>
      </c>
      <c r="C168" t="s">
        <v>6</v>
      </c>
      <c r="D168">
        <f>AVERAGE(per_seed!$G$82:$G$91)</f>
        <v>5.1175754795168205</v>
      </c>
      <c r="E168">
        <v>5.1175754795168196</v>
      </c>
    </row>
    <row r="169" spans="1:5">
      <c r="A169" t="s">
        <v>35</v>
      </c>
      <c r="B169" t="s">
        <v>21</v>
      </c>
      <c r="C169" t="s">
        <v>6</v>
      </c>
      <c r="D169">
        <f>_xlfn.STDEV.S(per_seed!$G$82:$G$91)</f>
        <v>0.15170876494723376</v>
      </c>
      <c r="E169">
        <v>0.15170876494723379</v>
      </c>
    </row>
    <row r="170" spans="1:5">
      <c r="A170" t="s">
        <v>34</v>
      </c>
      <c r="B170" t="s">
        <v>21</v>
      </c>
      <c r="C170" t="s">
        <v>7</v>
      </c>
      <c r="D170">
        <f>AVERAGE(per_seed!$H$82:$H$91)</f>
        <v>118</v>
      </c>
      <c r="E170">
        <v>118</v>
      </c>
    </row>
    <row r="171" spans="1:5">
      <c r="A171" t="s">
        <v>35</v>
      </c>
      <c r="B171" t="s">
        <v>21</v>
      </c>
      <c r="C171" t="s">
        <v>7</v>
      </c>
      <c r="D171">
        <f>_xlfn.STDEV.S(per_seed!$H$82:$H$91)</f>
        <v>3.39934634239519</v>
      </c>
      <c r="E171">
        <v>3.39934634239519</v>
      </c>
    </row>
    <row r="172" spans="1:5">
      <c r="A172" t="s">
        <v>34</v>
      </c>
      <c r="B172" t="s">
        <v>21</v>
      </c>
      <c r="C172" t="s">
        <v>8</v>
      </c>
      <c r="D172">
        <f>AVERAGE(per_seed!$I$82:$I$91)</f>
        <v>0.19556075634889752</v>
      </c>
      <c r="E172">
        <v>0.1955607563488975</v>
      </c>
    </row>
    <row r="173" spans="1:5">
      <c r="A173" t="s">
        <v>35</v>
      </c>
      <c r="B173" t="s">
        <v>21</v>
      </c>
      <c r="C173" t="s">
        <v>8</v>
      </c>
      <c r="D173">
        <f>_xlfn.STDEV.S(per_seed!$I$82:$I$91)</f>
        <v>5.8391886587596444E-3</v>
      </c>
      <c r="E173">
        <v>5.8391886587596644E-3</v>
      </c>
    </row>
    <row r="174" spans="1:5">
      <c r="A174" t="s">
        <v>34</v>
      </c>
      <c r="B174" t="s">
        <v>21</v>
      </c>
      <c r="C174" t="s">
        <v>9</v>
      </c>
      <c r="D174">
        <f>AVERAGE(per_seed!$J$82:$J$91)</f>
        <v>10.35040239595906</v>
      </c>
      <c r="E174">
        <v>10.35040239595906</v>
      </c>
    </row>
    <row r="175" spans="1:5">
      <c r="A175" t="s">
        <v>35</v>
      </c>
      <c r="B175" t="s">
        <v>21</v>
      </c>
      <c r="C175" t="s">
        <v>9</v>
      </c>
      <c r="D175">
        <f>_xlfn.STDEV.S(per_seed!$J$82:$J$91)</f>
        <v>0.27376433738760975</v>
      </c>
      <c r="E175">
        <v>0.27376433738760908</v>
      </c>
    </row>
    <row r="176" spans="1:5">
      <c r="A176" t="s">
        <v>34</v>
      </c>
      <c r="B176" t="s">
        <v>21</v>
      </c>
      <c r="C176" t="s">
        <v>10</v>
      </c>
      <c r="D176">
        <f>AVERAGE(per_seed!$K$82:$K$91)</f>
        <v>1.317185140231671</v>
      </c>
      <c r="E176">
        <v>1.317185140231671</v>
      </c>
    </row>
    <row r="177" spans="1:5">
      <c r="A177" t="s">
        <v>35</v>
      </c>
      <c r="B177" t="s">
        <v>21</v>
      </c>
      <c r="C177" t="s">
        <v>10</v>
      </c>
      <c r="D177">
        <f>_xlfn.STDEV.S(per_seed!$K$82:$K$91)</f>
        <v>2.9436940075360178E-2</v>
      </c>
      <c r="E177">
        <v>2.9436940075360182E-2</v>
      </c>
    </row>
    <row r="178" spans="1:5">
      <c r="A178" t="s">
        <v>34</v>
      </c>
      <c r="B178" t="s">
        <v>21</v>
      </c>
      <c r="C178" t="s">
        <v>11</v>
      </c>
      <c r="D178">
        <f>AVERAGE(per_seed!$L$82:$L$91)</f>
        <v>787.77777778006782</v>
      </c>
      <c r="E178">
        <v>787.77777778006782</v>
      </c>
    </row>
    <row r="179" spans="1:5">
      <c r="A179" t="s">
        <v>35</v>
      </c>
      <c r="B179" t="s">
        <v>21</v>
      </c>
      <c r="C179" t="s">
        <v>11</v>
      </c>
      <c r="D179">
        <f>_xlfn.STDEV.S(per_seed!$L$82:$L$91)</f>
        <v>40.322039707109951</v>
      </c>
      <c r="E179">
        <v>40.322039707109951</v>
      </c>
    </row>
    <row r="180" spans="1:5">
      <c r="A180" t="s">
        <v>34</v>
      </c>
      <c r="B180" t="s">
        <v>21</v>
      </c>
      <c r="C180" t="s">
        <v>12</v>
      </c>
      <c r="D180">
        <f>AVERAGE(per_seed!$M$82:$M$91)</f>
        <v>0.8557407408879818</v>
      </c>
      <c r="E180">
        <v>0.8557407408879818</v>
      </c>
    </row>
    <row r="181" spans="1:5">
      <c r="A181" t="s">
        <v>35</v>
      </c>
      <c r="B181" t="s">
        <v>21</v>
      </c>
      <c r="C181" t="s">
        <v>12</v>
      </c>
      <c r="D181">
        <f>_xlfn.STDEV.S(per_seed!$M$82:$M$91)</f>
        <v>0.15670302874636355</v>
      </c>
      <c r="E181">
        <v>0.15670302874636341</v>
      </c>
    </row>
    <row r="182" spans="1:5">
      <c r="A182" t="s">
        <v>34</v>
      </c>
      <c r="B182" t="s">
        <v>22</v>
      </c>
      <c r="C182" t="s">
        <v>3</v>
      </c>
      <c r="D182">
        <f>AVERAGE(per_seed!$D$92:$D$101)</f>
        <v>937.1</v>
      </c>
      <c r="E182">
        <v>937.1</v>
      </c>
    </row>
    <row r="183" spans="1:5">
      <c r="A183" t="s">
        <v>35</v>
      </c>
      <c r="B183" t="s">
        <v>22</v>
      </c>
      <c r="C183" t="s">
        <v>3</v>
      </c>
      <c r="D183">
        <f>_xlfn.STDEV.S(per_seed!$D$92:$D$101)</f>
        <v>412.70717356390981</v>
      </c>
      <c r="E183">
        <v>412.70717356390969</v>
      </c>
    </row>
    <row r="184" spans="1:5">
      <c r="A184" t="s">
        <v>34</v>
      </c>
      <c r="B184" t="s">
        <v>22</v>
      </c>
      <c r="C184" t="s">
        <v>4</v>
      </c>
      <c r="D184">
        <f>AVERAGE(per_seed!$E$92:$E$101)</f>
        <v>633.5</v>
      </c>
      <c r="E184">
        <v>633.5</v>
      </c>
    </row>
    <row r="185" spans="1:5">
      <c r="A185" t="s">
        <v>35</v>
      </c>
      <c r="B185" t="s">
        <v>22</v>
      </c>
      <c r="C185" t="s">
        <v>4</v>
      </c>
      <c r="D185">
        <f>_xlfn.STDEV.S(per_seed!$E$92:$E$101)</f>
        <v>273.00600318999909</v>
      </c>
      <c r="E185">
        <v>273.00600318999909</v>
      </c>
    </row>
    <row r="186" spans="1:5">
      <c r="A186" t="s">
        <v>34</v>
      </c>
      <c r="B186" t="s">
        <v>22</v>
      </c>
      <c r="C186" t="s">
        <v>5</v>
      </c>
      <c r="D186">
        <f>AVERAGE(per_seed!$F$92:$F$101)</f>
        <v>405.5</v>
      </c>
      <c r="E186">
        <v>405.5</v>
      </c>
    </row>
    <row r="187" spans="1:5">
      <c r="A187" t="s">
        <v>35</v>
      </c>
      <c r="B187" t="s">
        <v>22</v>
      </c>
      <c r="C187" t="s">
        <v>5</v>
      </c>
      <c r="D187">
        <f>_xlfn.STDEV.S(per_seed!$F$92:$F$101)</f>
        <v>180.78178988923511</v>
      </c>
      <c r="E187">
        <v>180.78178988923511</v>
      </c>
    </row>
    <row r="188" spans="1:5">
      <c r="A188" t="s">
        <v>34</v>
      </c>
      <c r="B188" t="s">
        <v>22</v>
      </c>
      <c r="C188" t="s">
        <v>6</v>
      </c>
      <c r="D188">
        <f>AVERAGE(per_seed!$G$92:$G$101)</f>
        <v>4.5390900129791474</v>
      </c>
      <c r="E188">
        <v>4.5390900129791474</v>
      </c>
    </row>
    <row r="189" spans="1:5">
      <c r="A189" t="s">
        <v>35</v>
      </c>
      <c r="B189" t="s">
        <v>22</v>
      </c>
      <c r="C189" t="s">
        <v>6</v>
      </c>
      <c r="D189">
        <f>_xlfn.STDEV.S(per_seed!$G$92:$G$101)</f>
        <v>0.55301054506884406</v>
      </c>
      <c r="E189">
        <v>0.55301054506884728</v>
      </c>
    </row>
    <row r="190" spans="1:5">
      <c r="A190" t="s">
        <v>34</v>
      </c>
      <c r="B190" t="s">
        <v>22</v>
      </c>
      <c r="C190" t="s">
        <v>7</v>
      </c>
      <c r="D190">
        <f>AVERAGE(per_seed!$H$92:$H$101)</f>
        <v>94.2</v>
      </c>
      <c r="E190">
        <v>94.2</v>
      </c>
    </row>
    <row r="191" spans="1:5">
      <c r="A191" t="s">
        <v>35</v>
      </c>
      <c r="B191" t="s">
        <v>22</v>
      </c>
      <c r="C191" t="s">
        <v>7</v>
      </c>
      <c r="D191">
        <f>_xlfn.STDEV.S(per_seed!$H$92:$H$101)</f>
        <v>47.513272999353681</v>
      </c>
      <c r="E191">
        <v>47.513272999353667</v>
      </c>
    </row>
    <row r="192" spans="1:5">
      <c r="A192" t="s">
        <v>34</v>
      </c>
      <c r="B192" t="s">
        <v>22</v>
      </c>
      <c r="C192" t="s">
        <v>8</v>
      </c>
      <c r="D192">
        <f>AVERAGE(per_seed!$I$92:$I$101)</f>
        <v>0.22318033574535762</v>
      </c>
      <c r="E192">
        <v>0.22318033574535759</v>
      </c>
    </row>
    <row r="193" spans="1:5">
      <c r="A193" t="s">
        <v>35</v>
      </c>
      <c r="B193" t="s">
        <v>22</v>
      </c>
      <c r="C193" t="s">
        <v>8</v>
      </c>
      <c r="D193">
        <f>_xlfn.STDEV.S(per_seed!$I$92:$I$101)</f>
        <v>2.6294151792201931E-2</v>
      </c>
      <c r="E193">
        <v>2.629415179220226E-2</v>
      </c>
    </row>
    <row r="194" spans="1:5">
      <c r="A194" t="s">
        <v>34</v>
      </c>
      <c r="B194" t="s">
        <v>22</v>
      </c>
      <c r="C194" t="s">
        <v>9</v>
      </c>
      <c r="D194">
        <f>AVERAGE(per_seed!$J$92:$J$101)</f>
        <v>10.683225956206083</v>
      </c>
      <c r="E194">
        <v>10.68322595620608</v>
      </c>
    </row>
    <row r="195" spans="1:5">
      <c r="A195" t="s">
        <v>35</v>
      </c>
      <c r="B195" t="s">
        <v>22</v>
      </c>
      <c r="C195" t="s">
        <v>9</v>
      </c>
      <c r="D195">
        <f>_xlfn.STDEV.S(per_seed!$J$92:$J$101)</f>
        <v>1.6743313746931643</v>
      </c>
      <c r="E195">
        <v>1.6743313746931769</v>
      </c>
    </row>
    <row r="196" spans="1:5">
      <c r="A196" t="s">
        <v>34</v>
      </c>
      <c r="B196" t="s">
        <v>22</v>
      </c>
      <c r="C196" t="s">
        <v>10</v>
      </c>
      <c r="D196">
        <f>AVERAGE(per_seed!$K$92:$K$101)</f>
        <v>1.361996988789292</v>
      </c>
      <c r="E196">
        <v>1.361996988789292</v>
      </c>
    </row>
    <row r="197" spans="1:5">
      <c r="A197" t="s">
        <v>35</v>
      </c>
      <c r="B197" t="s">
        <v>22</v>
      </c>
      <c r="C197" t="s">
        <v>10</v>
      </c>
      <c r="D197">
        <f>_xlfn.STDEV.S(per_seed!$K$92:$K$101)</f>
        <v>0.18429756867891359</v>
      </c>
      <c r="E197">
        <v>0.18429756867891259</v>
      </c>
    </row>
    <row r="198" spans="1:5">
      <c r="A198" t="s">
        <v>34</v>
      </c>
      <c r="B198" t="s">
        <v>22</v>
      </c>
      <c r="C198" t="s">
        <v>11</v>
      </c>
      <c r="D198">
        <f>AVERAGE(per_seed!$L$92:$L$101)</f>
        <v>535.02666666756875</v>
      </c>
      <c r="E198">
        <v>535.02666666756875</v>
      </c>
    </row>
    <row r="199" spans="1:5">
      <c r="A199" t="s">
        <v>35</v>
      </c>
      <c r="B199" t="s">
        <v>22</v>
      </c>
      <c r="C199" t="s">
        <v>11</v>
      </c>
      <c r="D199">
        <f>_xlfn.STDEV.S(per_seed!$L$92:$L$101)</f>
        <v>101.05558741481977</v>
      </c>
      <c r="E199">
        <v>101.0555874148198</v>
      </c>
    </row>
    <row r="200" spans="1:5">
      <c r="A200" t="s">
        <v>34</v>
      </c>
      <c r="B200" t="s">
        <v>22</v>
      </c>
      <c r="C200" t="s">
        <v>12</v>
      </c>
      <c r="D200">
        <f>AVERAGE(per_seed!$M$92:$M$101)</f>
        <v>34.949320987698528</v>
      </c>
      <c r="E200">
        <v>34.94932098769852</v>
      </c>
    </row>
    <row r="201" spans="1:5">
      <c r="A201" t="s">
        <v>35</v>
      </c>
      <c r="B201" t="s">
        <v>22</v>
      </c>
      <c r="C201" t="s">
        <v>12</v>
      </c>
      <c r="D201">
        <f>_xlfn.STDEV.S(per_seed!$M$92:$M$101)</f>
        <v>28.630634216296407</v>
      </c>
      <c r="E201">
        <v>28.630634216296411</v>
      </c>
    </row>
    <row r="202" spans="1:5">
      <c r="A202" t="s">
        <v>34</v>
      </c>
      <c r="B202" t="s">
        <v>23</v>
      </c>
      <c r="C202" t="s">
        <v>3</v>
      </c>
      <c r="D202">
        <f>AVERAGE(per_seed!$D$102:$D$111)</f>
        <v>1309</v>
      </c>
      <c r="E202">
        <v>1309</v>
      </c>
    </row>
    <row r="203" spans="1:5">
      <c r="A203" t="s">
        <v>35</v>
      </c>
      <c r="B203" t="s">
        <v>23</v>
      </c>
      <c r="C203" t="s">
        <v>3</v>
      </c>
      <c r="D203">
        <f>_xlfn.STDEV.S(per_seed!$D$102:$D$111)</f>
        <v>127.24255053505752</v>
      </c>
      <c r="E203">
        <v>127.2425505350575</v>
      </c>
    </row>
    <row r="204" spans="1:5">
      <c r="A204" t="s">
        <v>34</v>
      </c>
      <c r="B204" t="s">
        <v>23</v>
      </c>
      <c r="C204" t="s">
        <v>4</v>
      </c>
      <c r="D204">
        <f>AVERAGE(per_seed!$E$102:$E$111)</f>
        <v>859.5</v>
      </c>
      <c r="E204">
        <v>859.5</v>
      </c>
    </row>
    <row r="205" spans="1:5">
      <c r="A205" t="s">
        <v>35</v>
      </c>
      <c r="B205" t="s">
        <v>23</v>
      </c>
      <c r="C205" t="s">
        <v>4</v>
      </c>
      <c r="D205">
        <f>_xlfn.STDEV.S(per_seed!$E$102:$E$111)</f>
        <v>83.114713231506471</v>
      </c>
      <c r="E205">
        <v>83.114713231506471</v>
      </c>
    </row>
    <row r="206" spans="1:5">
      <c r="A206" t="s">
        <v>34</v>
      </c>
      <c r="B206" t="s">
        <v>23</v>
      </c>
      <c r="C206" t="s">
        <v>5</v>
      </c>
      <c r="D206">
        <f>AVERAGE(per_seed!$F$102:$F$111)</f>
        <v>557</v>
      </c>
      <c r="E206">
        <v>557</v>
      </c>
    </row>
    <row r="207" spans="1:5">
      <c r="A207" t="s">
        <v>35</v>
      </c>
      <c r="B207" t="s">
        <v>23</v>
      </c>
      <c r="C207" t="s">
        <v>5</v>
      </c>
      <c r="D207">
        <f>_xlfn.STDEV.S(per_seed!$F$102:$F$111)</f>
        <v>55.419611450580682</v>
      </c>
      <c r="E207">
        <v>55.419611450580682</v>
      </c>
    </row>
    <row r="208" spans="1:5">
      <c r="A208" t="s">
        <v>34</v>
      </c>
      <c r="B208" t="s">
        <v>23</v>
      </c>
      <c r="C208" t="s">
        <v>6</v>
      </c>
      <c r="D208">
        <f>AVERAGE(per_seed!$G$102:$G$111)</f>
        <v>3.4914857125747227</v>
      </c>
      <c r="E208">
        <v>3.4914857125747232</v>
      </c>
    </row>
    <row r="209" spans="1:5">
      <c r="A209" t="s">
        <v>35</v>
      </c>
      <c r="B209" t="s">
        <v>23</v>
      </c>
      <c r="C209" t="s">
        <v>6</v>
      </c>
      <c r="D209">
        <f>_xlfn.STDEV.S(per_seed!$G$102:$G$111)</f>
        <v>0.19323078766074817</v>
      </c>
      <c r="E209">
        <v>0.193230787660748</v>
      </c>
    </row>
    <row r="210" spans="1:5">
      <c r="A210" t="s">
        <v>34</v>
      </c>
      <c r="B210" t="s">
        <v>23</v>
      </c>
      <c r="C210" t="s">
        <v>7</v>
      </c>
      <c r="D210">
        <f>AVERAGE(per_seed!$H$102:$H$111)</f>
        <v>159.9</v>
      </c>
      <c r="E210">
        <v>159.9</v>
      </c>
    </row>
    <row r="211" spans="1:5">
      <c r="A211" t="s">
        <v>35</v>
      </c>
      <c r="B211" t="s">
        <v>23</v>
      </c>
      <c r="C211" t="s">
        <v>7</v>
      </c>
      <c r="D211">
        <f>_xlfn.STDEV.S(per_seed!$H$102:$H$111)</f>
        <v>17.201098156157855</v>
      </c>
      <c r="E211">
        <v>17.201098156157869</v>
      </c>
    </row>
    <row r="212" spans="1:5">
      <c r="A212" t="s">
        <v>34</v>
      </c>
      <c r="B212" t="s">
        <v>23</v>
      </c>
      <c r="C212" t="s">
        <v>8</v>
      </c>
      <c r="D212">
        <f>AVERAGE(per_seed!$I$102:$I$111)</f>
        <v>0.28722898796077045</v>
      </c>
      <c r="E212">
        <v>0.28722898796077051</v>
      </c>
    </row>
    <row r="213" spans="1:5">
      <c r="A213" t="s">
        <v>35</v>
      </c>
      <c r="B213" t="s">
        <v>23</v>
      </c>
      <c r="C213" t="s">
        <v>8</v>
      </c>
      <c r="D213">
        <f>_xlfn.STDEV.S(per_seed!$I$102:$I$111)</f>
        <v>1.6454257431388307E-2</v>
      </c>
      <c r="E213">
        <v>1.6454257431388321E-2</v>
      </c>
    </row>
    <row r="214" spans="1:5">
      <c r="A214" t="s">
        <v>34</v>
      </c>
      <c r="B214" t="s">
        <v>23</v>
      </c>
      <c r="C214" t="s">
        <v>9</v>
      </c>
      <c r="D214">
        <f>AVERAGE(per_seed!$J$102:$J$111)</f>
        <v>13.340914704911706</v>
      </c>
      <c r="E214">
        <v>13.340914704911709</v>
      </c>
    </row>
    <row r="215" spans="1:5">
      <c r="A215" t="s">
        <v>35</v>
      </c>
      <c r="B215" t="s">
        <v>23</v>
      </c>
      <c r="C215" t="s">
        <v>9</v>
      </c>
      <c r="D215">
        <f>_xlfn.STDEV.S(per_seed!$J$102:$J$111)</f>
        <v>0.41554333622925721</v>
      </c>
      <c r="E215">
        <v>0.41554333622925738</v>
      </c>
    </row>
    <row r="216" spans="1:5">
      <c r="A216" t="s">
        <v>34</v>
      </c>
      <c r="B216" t="s">
        <v>23</v>
      </c>
      <c r="C216" t="s">
        <v>10</v>
      </c>
      <c r="D216">
        <f>AVERAGE(per_seed!$K$102:$K$111)</f>
        <v>1.6949314803878983</v>
      </c>
      <c r="E216">
        <v>1.6949314803878981</v>
      </c>
    </row>
    <row r="217" spans="1:5">
      <c r="A217" t="s">
        <v>35</v>
      </c>
      <c r="B217" t="s">
        <v>23</v>
      </c>
      <c r="C217" t="s">
        <v>10</v>
      </c>
      <c r="D217">
        <f>_xlfn.STDEV.S(per_seed!$K$102:$K$111)</f>
        <v>6.9664580403212009E-2</v>
      </c>
      <c r="E217">
        <v>6.9664580403211995E-2</v>
      </c>
    </row>
    <row r="218" spans="1:5">
      <c r="A218" t="s">
        <v>34</v>
      </c>
      <c r="B218" t="s">
        <v>23</v>
      </c>
      <c r="C218" t="s">
        <v>11</v>
      </c>
      <c r="D218">
        <f>AVERAGE(per_seed!$L$102:$L$111)</f>
        <v>572.47999999989236</v>
      </c>
      <c r="E218">
        <v>572.47999999989236</v>
      </c>
    </row>
    <row r="219" spans="1:5">
      <c r="A219" t="s">
        <v>35</v>
      </c>
      <c r="B219" t="s">
        <v>23</v>
      </c>
      <c r="C219" t="s">
        <v>11</v>
      </c>
      <c r="D219">
        <f>_xlfn.STDEV.S(per_seed!$L$102:$L$111)</f>
        <v>30.464431034863388</v>
      </c>
      <c r="E219">
        <v>30.464431034863392</v>
      </c>
    </row>
    <row r="220" spans="1:5">
      <c r="A220" t="s">
        <v>34</v>
      </c>
      <c r="B220" t="s">
        <v>23</v>
      </c>
      <c r="C220" t="s">
        <v>12</v>
      </c>
      <c r="D220">
        <f>AVERAGE(per_seed!$M$102:$M$111)</f>
        <v>9.1459876544387324</v>
      </c>
      <c r="E220">
        <v>9.1459876544387324</v>
      </c>
    </row>
    <row r="221" spans="1:5">
      <c r="A221" t="s">
        <v>35</v>
      </c>
      <c r="B221" t="s">
        <v>23</v>
      </c>
      <c r="C221" t="s">
        <v>12</v>
      </c>
      <c r="D221">
        <f>_xlfn.STDEV.S(per_seed!$M$102:$M$111)</f>
        <v>8.8084338527410626</v>
      </c>
      <c r="E221">
        <v>8.8084338527410644</v>
      </c>
    </row>
    <row r="222" spans="1:5">
      <c r="A222" t="s">
        <v>34</v>
      </c>
      <c r="B222" t="s">
        <v>24</v>
      </c>
      <c r="C222" t="s">
        <v>3</v>
      </c>
      <c r="D222">
        <f>AVERAGE(per_seed!$D$112:$D$121)</f>
        <v>1402.9</v>
      </c>
      <c r="E222">
        <v>1402.9</v>
      </c>
    </row>
    <row r="223" spans="1:5">
      <c r="A223" t="s">
        <v>35</v>
      </c>
      <c r="B223" t="s">
        <v>24</v>
      </c>
      <c r="C223" t="s">
        <v>3</v>
      </c>
      <c r="D223">
        <f>_xlfn.STDEV.S(per_seed!$D$112:$D$121)</f>
        <v>17.584399651711486</v>
      </c>
      <c r="E223">
        <v>17.58439965171149</v>
      </c>
    </row>
    <row r="224" spans="1:5">
      <c r="A224" t="s">
        <v>34</v>
      </c>
      <c r="B224" t="s">
        <v>24</v>
      </c>
      <c r="C224" t="s">
        <v>4</v>
      </c>
      <c r="D224">
        <f>AVERAGE(per_seed!$E$112:$E$121)</f>
        <v>923.2</v>
      </c>
      <c r="E224">
        <v>923.2</v>
      </c>
    </row>
    <row r="225" spans="1:5">
      <c r="A225" t="s">
        <v>35</v>
      </c>
      <c r="B225" t="s">
        <v>24</v>
      </c>
      <c r="C225" t="s">
        <v>4</v>
      </c>
      <c r="D225">
        <f>_xlfn.STDEV.S(per_seed!$E$112:$E$121)</f>
        <v>17.183971860105242</v>
      </c>
      <c r="E225">
        <v>17.183971860105238</v>
      </c>
    </row>
    <row r="226" spans="1:5">
      <c r="A226" t="s">
        <v>34</v>
      </c>
      <c r="B226" t="s">
        <v>24</v>
      </c>
      <c r="C226" t="s">
        <v>5</v>
      </c>
      <c r="D226">
        <f>AVERAGE(per_seed!$F$112:$F$121)</f>
        <v>589.5</v>
      </c>
      <c r="E226">
        <v>589.5</v>
      </c>
    </row>
    <row r="227" spans="1:5">
      <c r="A227" t="s">
        <v>35</v>
      </c>
      <c r="B227" t="s">
        <v>24</v>
      </c>
      <c r="C227" t="s">
        <v>5</v>
      </c>
      <c r="D227">
        <f>_xlfn.STDEV.S(per_seed!$F$112:$F$121)</f>
        <v>12.9378857967169</v>
      </c>
      <c r="E227">
        <v>12.9378857967169</v>
      </c>
    </row>
    <row r="228" spans="1:5">
      <c r="A228" t="s">
        <v>34</v>
      </c>
      <c r="B228" t="s">
        <v>24</v>
      </c>
      <c r="C228" t="s">
        <v>6</v>
      </c>
      <c r="D228">
        <f>AVERAGE(per_seed!$G$112:$G$121)</f>
        <v>3.2326561642526945</v>
      </c>
      <c r="E228">
        <v>3.232656164252695</v>
      </c>
    </row>
    <row r="229" spans="1:5">
      <c r="A229" t="s">
        <v>35</v>
      </c>
      <c r="B229" t="s">
        <v>24</v>
      </c>
      <c r="C229" t="s">
        <v>6</v>
      </c>
      <c r="D229">
        <f>_xlfn.STDEV.S(per_seed!$G$112:$G$121)</f>
        <v>0.12079572439335655</v>
      </c>
      <c r="E229">
        <v>0.1207957243933566</v>
      </c>
    </row>
    <row r="230" spans="1:5">
      <c r="A230" t="s">
        <v>34</v>
      </c>
      <c r="B230" t="s">
        <v>24</v>
      </c>
      <c r="C230" t="s">
        <v>7</v>
      </c>
      <c r="D230">
        <f>AVERAGE(per_seed!$H$112:$H$121)</f>
        <v>182.5</v>
      </c>
      <c r="E230">
        <v>182.5</v>
      </c>
    </row>
    <row r="231" spans="1:5">
      <c r="A231" t="s">
        <v>35</v>
      </c>
      <c r="B231" t="s">
        <v>24</v>
      </c>
      <c r="C231" t="s">
        <v>7</v>
      </c>
      <c r="D231">
        <f>_xlfn.STDEV.S(per_seed!$H$112:$H$121)</f>
        <v>5.2334394893691938</v>
      </c>
      <c r="E231">
        <v>5.2334394893691938</v>
      </c>
    </row>
    <row r="232" spans="1:5">
      <c r="A232" t="s">
        <v>34</v>
      </c>
      <c r="B232" t="s">
        <v>24</v>
      </c>
      <c r="C232" t="s">
        <v>8</v>
      </c>
      <c r="D232">
        <f>AVERAGE(per_seed!$I$112:$I$121)</f>
        <v>0.30972685578426146</v>
      </c>
      <c r="E232">
        <v>0.30972685578426151</v>
      </c>
    </row>
    <row r="233" spans="1:5">
      <c r="A233" t="s">
        <v>35</v>
      </c>
      <c r="B233" t="s">
        <v>24</v>
      </c>
      <c r="C233" t="s">
        <v>8</v>
      </c>
      <c r="D233">
        <f>_xlfn.STDEV.S(per_seed!$I$112:$I$121)</f>
        <v>1.1418133138006749E-2</v>
      </c>
      <c r="E233">
        <v>1.1418133138006751E-2</v>
      </c>
    </row>
    <row r="234" spans="1:5">
      <c r="A234" t="s">
        <v>34</v>
      </c>
      <c r="B234" t="s">
        <v>24</v>
      </c>
      <c r="C234" t="s">
        <v>9</v>
      </c>
      <c r="D234">
        <f>AVERAGE(per_seed!$J$112:$J$121)</f>
        <v>14.177399956870307</v>
      </c>
      <c r="E234">
        <v>14.17739995687031</v>
      </c>
    </row>
    <row r="235" spans="1:5">
      <c r="A235" t="s">
        <v>35</v>
      </c>
      <c r="B235" t="s">
        <v>24</v>
      </c>
      <c r="C235" t="s">
        <v>9</v>
      </c>
      <c r="D235">
        <f>_xlfn.STDEV.S(per_seed!$J$112:$J$121)</f>
        <v>0.53442899079352757</v>
      </c>
      <c r="E235">
        <v>0.53442899079352824</v>
      </c>
    </row>
    <row r="236" spans="1:5">
      <c r="A236" t="s">
        <v>34</v>
      </c>
      <c r="B236" t="s">
        <v>24</v>
      </c>
      <c r="C236" t="s">
        <v>10</v>
      </c>
      <c r="D236">
        <f>AVERAGE(per_seed!$K$112:$K$121)</f>
        <v>1.8303793930390018</v>
      </c>
      <c r="E236">
        <v>1.830379393039002</v>
      </c>
    </row>
    <row r="237" spans="1:5">
      <c r="A237" t="s">
        <v>35</v>
      </c>
      <c r="B237" t="s">
        <v>24</v>
      </c>
      <c r="C237" t="s">
        <v>10</v>
      </c>
      <c r="D237">
        <f>_xlfn.STDEV.S(per_seed!$K$112:$K$121)</f>
        <v>6.9710450337458624E-2</v>
      </c>
      <c r="E237">
        <v>6.9710450337458624E-2</v>
      </c>
    </row>
    <row r="238" spans="1:5">
      <c r="A238" t="s">
        <v>34</v>
      </c>
      <c r="B238" t="s">
        <v>24</v>
      </c>
      <c r="C238" t="s">
        <v>11</v>
      </c>
      <c r="D238">
        <f>AVERAGE(per_seed!$L$112:$L$121)</f>
        <v>569.46666666680426</v>
      </c>
      <c r="E238">
        <v>569.46666666680426</v>
      </c>
    </row>
    <row r="239" spans="1:5">
      <c r="A239" t="s">
        <v>35</v>
      </c>
      <c r="B239" t="s">
        <v>24</v>
      </c>
      <c r="C239" t="s">
        <v>11</v>
      </c>
      <c r="D239">
        <f>_xlfn.STDEV.S(per_seed!$L$112:$L$121)</f>
        <v>28.840460833627432</v>
      </c>
      <c r="E239">
        <v>28.840460833627429</v>
      </c>
    </row>
    <row r="240" spans="1:5">
      <c r="A240" t="s">
        <v>34</v>
      </c>
      <c r="B240" t="s">
        <v>24</v>
      </c>
      <c r="C240" t="s">
        <v>12</v>
      </c>
      <c r="D240">
        <f>AVERAGE(per_seed!$M$112:$M$121)</f>
        <v>2.6469753087892101</v>
      </c>
      <c r="E240">
        <v>2.6469753087892101</v>
      </c>
    </row>
    <row r="241" spans="1:5">
      <c r="A241" t="s">
        <v>35</v>
      </c>
      <c r="B241" t="s">
        <v>24</v>
      </c>
      <c r="C241" t="s">
        <v>12</v>
      </c>
      <c r="D241">
        <f>_xlfn.STDEV.S(per_seed!$M$112:$M$121)</f>
        <v>1.212185312870429</v>
      </c>
      <c r="E241">
        <v>1.2121853128704301</v>
      </c>
    </row>
    <row r="242" spans="1:5">
      <c r="A242" t="s">
        <v>34</v>
      </c>
      <c r="B242" t="s">
        <v>25</v>
      </c>
      <c r="C242" t="s">
        <v>3</v>
      </c>
      <c r="D242">
        <f>AVERAGE(per_seed!$D$122:$D$131)</f>
        <v>1426</v>
      </c>
      <c r="E242">
        <v>1426</v>
      </c>
    </row>
    <row r="243" spans="1:5">
      <c r="A243" t="s">
        <v>35</v>
      </c>
      <c r="B243" t="s">
        <v>25</v>
      </c>
      <c r="C243" t="s">
        <v>3</v>
      </c>
      <c r="D243">
        <f>_xlfn.STDEV.S(per_seed!$D$122:$D$131)</f>
        <v>3.3333333333333335</v>
      </c>
      <c r="E243">
        <v>3.333333333333333</v>
      </c>
    </row>
    <row r="244" spans="1:5">
      <c r="A244" t="s">
        <v>34</v>
      </c>
      <c r="B244" t="s">
        <v>25</v>
      </c>
      <c r="C244" t="s">
        <v>4</v>
      </c>
      <c r="D244">
        <f>AVERAGE(per_seed!$E$122:$E$131)</f>
        <v>941.1</v>
      </c>
      <c r="E244">
        <v>941.1</v>
      </c>
    </row>
    <row r="245" spans="1:5">
      <c r="A245" t="s">
        <v>35</v>
      </c>
      <c r="B245" t="s">
        <v>25</v>
      </c>
      <c r="C245" t="s">
        <v>4</v>
      </c>
      <c r="D245">
        <f>_xlfn.STDEV.S(per_seed!$E$122:$E$131)</f>
        <v>11.570556502510057</v>
      </c>
      <c r="E245">
        <v>11.57055650251006</v>
      </c>
    </row>
    <row r="246" spans="1:5">
      <c r="A246" t="s">
        <v>34</v>
      </c>
      <c r="B246" t="s">
        <v>25</v>
      </c>
      <c r="C246" t="s">
        <v>5</v>
      </c>
      <c r="D246">
        <f>AVERAGE(per_seed!$F$122:$F$131)</f>
        <v>596</v>
      </c>
      <c r="E246">
        <v>596</v>
      </c>
    </row>
    <row r="247" spans="1:5">
      <c r="A247" t="s">
        <v>35</v>
      </c>
      <c r="B247" t="s">
        <v>25</v>
      </c>
      <c r="C247" t="s">
        <v>5</v>
      </c>
      <c r="D247">
        <f>_xlfn.STDEV.S(per_seed!$F$122:$F$131)</f>
        <v>9.6953597148326587</v>
      </c>
      <c r="E247">
        <v>9.6953597148326587</v>
      </c>
    </row>
    <row r="248" spans="1:5">
      <c r="A248" t="s">
        <v>34</v>
      </c>
      <c r="B248" t="s">
        <v>25</v>
      </c>
      <c r="C248" t="s">
        <v>6</v>
      </c>
      <c r="D248">
        <f>AVERAGE(per_seed!$G$122:$G$131)</f>
        <v>3.1019529623322084</v>
      </c>
      <c r="E248">
        <v>3.101952962332208</v>
      </c>
    </row>
    <row r="249" spans="1:5">
      <c r="A249" t="s">
        <v>35</v>
      </c>
      <c r="B249" t="s">
        <v>25</v>
      </c>
      <c r="C249" t="s">
        <v>6</v>
      </c>
      <c r="D249">
        <f>_xlfn.STDEV.S(per_seed!$G$122:$G$131)</f>
        <v>7.4698357133207646E-2</v>
      </c>
      <c r="E249">
        <v>7.4698357133207549E-2</v>
      </c>
    </row>
    <row r="250" spans="1:5">
      <c r="A250" t="s">
        <v>34</v>
      </c>
      <c r="B250" t="s">
        <v>25</v>
      </c>
      <c r="C250" t="s">
        <v>7</v>
      </c>
      <c r="D250">
        <f>AVERAGE(per_seed!$H$122:$H$131)</f>
        <v>192.2</v>
      </c>
      <c r="E250">
        <v>192.2</v>
      </c>
    </row>
    <row r="251" spans="1:5">
      <c r="A251" t="s">
        <v>35</v>
      </c>
      <c r="B251" t="s">
        <v>25</v>
      </c>
      <c r="C251" t="s">
        <v>7</v>
      </c>
      <c r="D251">
        <f>_xlfn.STDEV.S(per_seed!$H$122:$H$131)</f>
        <v>3.8815804341359033</v>
      </c>
      <c r="E251">
        <v>3.8815804341359028</v>
      </c>
    </row>
    <row r="252" spans="1:5">
      <c r="A252" t="s">
        <v>34</v>
      </c>
      <c r="B252" t="s">
        <v>25</v>
      </c>
      <c r="C252" t="s">
        <v>8</v>
      </c>
      <c r="D252">
        <f>AVERAGE(per_seed!$I$122:$I$131)</f>
        <v>0.32254714849159266</v>
      </c>
      <c r="E252">
        <v>0.32254714849159272</v>
      </c>
    </row>
    <row r="253" spans="1:5">
      <c r="A253" t="s">
        <v>35</v>
      </c>
      <c r="B253" t="s">
        <v>25</v>
      </c>
      <c r="C253" t="s">
        <v>8</v>
      </c>
      <c r="D253">
        <f>_xlfn.STDEV.S(per_seed!$I$122:$I$131)</f>
        <v>7.827125565125553E-3</v>
      </c>
      <c r="E253">
        <v>7.8271255651255634E-3</v>
      </c>
    </row>
    <row r="254" spans="1:5">
      <c r="A254" t="s">
        <v>34</v>
      </c>
      <c r="B254" t="s">
        <v>25</v>
      </c>
      <c r="C254" t="s">
        <v>9</v>
      </c>
      <c r="D254">
        <f>AVERAGE(per_seed!$J$122:$J$131)</f>
        <v>14.337674759546212</v>
      </c>
      <c r="E254">
        <v>14.337674759546211</v>
      </c>
    </row>
    <row r="255" spans="1:5">
      <c r="A255" t="s">
        <v>35</v>
      </c>
      <c r="B255" t="s">
        <v>25</v>
      </c>
      <c r="C255" t="s">
        <v>9</v>
      </c>
      <c r="D255">
        <f>_xlfn.STDEV.S(per_seed!$J$122:$J$131)</f>
        <v>0.3494378033035323</v>
      </c>
      <c r="E255">
        <v>0.3494378033035308</v>
      </c>
    </row>
    <row r="256" spans="1:5">
      <c r="A256" t="s">
        <v>34</v>
      </c>
      <c r="B256" t="s">
        <v>25</v>
      </c>
      <c r="C256" t="s">
        <v>10</v>
      </c>
      <c r="D256">
        <f>AVERAGE(per_seed!$K$122:$K$131)</f>
        <v>1.879391043075423</v>
      </c>
      <c r="E256">
        <v>1.879391043075423</v>
      </c>
    </row>
    <row r="257" spans="1:5">
      <c r="A257" t="s">
        <v>35</v>
      </c>
      <c r="B257" t="s">
        <v>25</v>
      </c>
      <c r="C257" t="s">
        <v>10</v>
      </c>
      <c r="D257">
        <f>_xlfn.STDEV.S(per_seed!$K$122:$K$131)</f>
        <v>4.5913115107468851E-2</v>
      </c>
      <c r="E257">
        <v>4.5913115107468851E-2</v>
      </c>
    </row>
    <row r="258" spans="1:5">
      <c r="A258" t="s">
        <v>34</v>
      </c>
      <c r="B258" t="s">
        <v>25</v>
      </c>
      <c r="C258" t="s">
        <v>11</v>
      </c>
      <c r="D258">
        <f>AVERAGE(per_seed!$L$122:$L$131)</f>
        <v>618.61333333362813</v>
      </c>
      <c r="E258">
        <v>618.61333333362813</v>
      </c>
    </row>
    <row r="259" spans="1:5">
      <c r="A259" t="s">
        <v>35</v>
      </c>
      <c r="B259" t="s">
        <v>25</v>
      </c>
      <c r="C259" t="s">
        <v>11</v>
      </c>
      <c r="D259">
        <f>_xlfn.STDEV.S(per_seed!$L$122:$L$131)</f>
        <v>41.353303552999009</v>
      </c>
      <c r="E259">
        <v>41.353303552999009</v>
      </c>
    </row>
    <row r="260" spans="1:5">
      <c r="A260" t="s">
        <v>34</v>
      </c>
      <c r="B260" t="s">
        <v>25</v>
      </c>
      <c r="C260" t="s">
        <v>12</v>
      </c>
      <c r="D260">
        <f>AVERAGE(per_seed!$M$122:$M$131)</f>
        <v>1.0377160495299222</v>
      </c>
      <c r="E260">
        <v>1.037716049529922</v>
      </c>
    </row>
    <row r="261" spans="1:5">
      <c r="A261" t="s">
        <v>35</v>
      </c>
      <c r="B261" t="s">
        <v>25</v>
      </c>
      <c r="C261" t="s">
        <v>12</v>
      </c>
      <c r="D261">
        <f>_xlfn.STDEV.S(per_seed!$M$122:$M$131)</f>
        <v>0.2347896576497269</v>
      </c>
      <c r="E261">
        <v>0.23478965764972701</v>
      </c>
    </row>
    <row r="262" spans="1:5">
      <c r="A262" t="s">
        <v>34</v>
      </c>
      <c r="B262" t="s">
        <v>26</v>
      </c>
      <c r="C262" t="s">
        <v>3</v>
      </c>
      <c r="D262">
        <f>AVERAGE(per_seed!$D$132:$D$141)</f>
        <v>1425.2</v>
      </c>
      <c r="E262">
        <v>1425.2</v>
      </c>
    </row>
    <row r="263" spans="1:5">
      <c r="A263" t="s">
        <v>35</v>
      </c>
      <c r="B263" t="s">
        <v>26</v>
      </c>
      <c r="C263" t="s">
        <v>3</v>
      </c>
      <c r="D263">
        <f>_xlfn.STDEV.S(per_seed!$D$132:$D$141)</f>
        <v>4.7795862210493123</v>
      </c>
      <c r="E263">
        <v>4.7795862210493123</v>
      </c>
    </row>
    <row r="264" spans="1:5">
      <c r="A264" t="s">
        <v>34</v>
      </c>
      <c r="B264" t="s">
        <v>26</v>
      </c>
      <c r="C264" t="s">
        <v>4</v>
      </c>
      <c r="D264">
        <f>AVERAGE(per_seed!$E$132:$E$141)</f>
        <v>939.6</v>
      </c>
      <c r="E264">
        <v>939.6</v>
      </c>
    </row>
    <row r="265" spans="1:5">
      <c r="A265" t="s">
        <v>35</v>
      </c>
      <c r="B265" t="s">
        <v>26</v>
      </c>
      <c r="C265" t="s">
        <v>4</v>
      </c>
      <c r="D265">
        <f>_xlfn.STDEV.S(per_seed!$E$132:$E$141)</f>
        <v>11.62564215669636</v>
      </c>
      <c r="E265">
        <v>11.62564215669636</v>
      </c>
    </row>
    <row r="266" spans="1:5">
      <c r="A266" t="s">
        <v>34</v>
      </c>
      <c r="B266" t="s">
        <v>26</v>
      </c>
      <c r="C266" t="s">
        <v>5</v>
      </c>
      <c r="D266">
        <f>AVERAGE(per_seed!$F$132:$F$141)</f>
        <v>595</v>
      </c>
      <c r="E266">
        <v>595</v>
      </c>
    </row>
    <row r="267" spans="1:5">
      <c r="A267" t="s">
        <v>35</v>
      </c>
      <c r="B267" t="s">
        <v>26</v>
      </c>
      <c r="C267" t="s">
        <v>5</v>
      </c>
      <c r="D267">
        <f>_xlfn.STDEV.S(per_seed!$F$132:$F$141)</f>
        <v>11.841546445554409</v>
      </c>
      <c r="E267">
        <v>11.84154644555441</v>
      </c>
    </row>
    <row r="268" spans="1:5">
      <c r="A268" t="s">
        <v>34</v>
      </c>
      <c r="B268" t="s">
        <v>26</v>
      </c>
      <c r="C268" t="s">
        <v>6</v>
      </c>
      <c r="D268">
        <f>AVERAGE(per_seed!$G$132:$G$141)</f>
        <v>3.0928455063703075</v>
      </c>
      <c r="E268">
        <v>3.0928455063703071</v>
      </c>
    </row>
    <row r="269" spans="1:5">
      <c r="A269" t="s">
        <v>35</v>
      </c>
      <c r="B269" t="s">
        <v>26</v>
      </c>
      <c r="C269" t="s">
        <v>6</v>
      </c>
      <c r="D269">
        <f>_xlfn.STDEV.S(per_seed!$G$132:$G$141)</f>
        <v>3.4669990248472699E-2</v>
      </c>
      <c r="E269">
        <v>3.4669990248472837E-2</v>
      </c>
    </row>
    <row r="270" spans="1:5">
      <c r="A270" t="s">
        <v>34</v>
      </c>
      <c r="B270" t="s">
        <v>26</v>
      </c>
      <c r="C270" t="s">
        <v>7</v>
      </c>
      <c r="D270">
        <f>AVERAGE(per_seed!$H$132:$H$141)</f>
        <v>192.4</v>
      </c>
      <c r="E270">
        <v>192.4</v>
      </c>
    </row>
    <row r="271" spans="1:5">
      <c r="A271" t="s">
        <v>35</v>
      </c>
      <c r="B271" t="s">
        <v>26</v>
      </c>
      <c r="C271" t="s">
        <v>7</v>
      </c>
      <c r="D271">
        <f>_xlfn.STDEV.S(per_seed!$H$132:$H$141)</f>
        <v>4.3512450325548579</v>
      </c>
      <c r="E271">
        <v>4.3512450325548579</v>
      </c>
    </row>
    <row r="272" spans="1:5">
      <c r="A272" t="s">
        <v>34</v>
      </c>
      <c r="B272" t="s">
        <v>26</v>
      </c>
      <c r="C272" t="s">
        <v>8</v>
      </c>
      <c r="D272">
        <f>AVERAGE(per_seed!$I$132:$I$141)</f>
        <v>0.32336342418080161</v>
      </c>
      <c r="E272">
        <v>0.32336342418080161</v>
      </c>
    </row>
    <row r="273" spans="1:5">
      <c r="A273" t="s">
        <v>35</v>
      </c>
      <c r="B273" t="s">
        <v>26</v>
      </c>
      <c r="C273" t="s">
        <v>8</v>
      </c>
      <c r="D273">
        <f>_xlfn.STDEV.S(per_seed!$I$132:$I$141)</f>
        <v>3.6252256492574192E-3</v>
      </c>
      <c r="E273">
        <v>3.6252256492574218E-3</v>
      </c>
    </row>
    <row r="274" spans="1:5">
      <c r="A274" t="s">
        <v>34</v>
      </c>
      <c r="B274" t="s">
        <v>26</v>
      </c>
      <c r="C274" t="s">
        <v>9</v>
      </c>
      <c r="D274">
        <f>AVERAGE(per_seed!$J$132:$J$141)</f>
        <v>14.579264108803397</v>
      </c>
      <c r="E274">
        <v>14.5792641088034</v>
      </c>
    </row>
    <row r="275" spans="1:5">
      <c r="A275" t="s">
        <v>35</v>
      </c>
      <c r="B275" t="s">
        <v>26</v>
      </c>
      <c r="C275" t="s">
        <v>9</v>
      </c>
      <c r="D275">
        <f>_xlfn.STDEV.S(per_seed!$J$132:$J$141)</f>
        <v>0.19164685881615492</v>
      </c>
      <c r="E275">
        <v>0.19164685881615601</v>
      </c>
    </row>
    <row r="276" spans="1:5">
      <c r="A276" t="s">
        <v>34</v>
      </c>
      <c r="B276" t="s">
        <v>26</v>
      </c>
      <c r="C276" t="s">
        <v>10</v>
      </c>
      <c r="D276">
        <f>AVERAGE(per_seed!$K$132:$K$141)</f>
        <v>1.9030698678630444</v>
      </c>
      <c r="E276">
        <v>1.903069867863044</v>
      </c>
    </row>
    <row r="277" spans="1:5">
      <c r="A277" t="s">
        <v>35</v>
      </c>
      <c r="B277" t="s">
        <v>26</v>
      </c>
      <c r="C277" t="s">
        <v>10</v>
      </c>
      <c r="D277">
        <f>_xlfn.STDEV.S(per_seed!$K$132:$K$141)</f>
        <v>3.4648601360099902E-2</v>
      </c>
      <c r="E277">
        <v>3.4648601360099902E-2</v>
      </c>
    </row>
    <row r="278" spans="1:5">
      <c r="A278" t="s">
        <v>34</v>
      </c>
      <c r="B278" t="s">
        <v>26</v>
      </c>
      <c r="C278" t="s">
        <v>11</v>
      </c>
      <c r="D278">
        <f>AVERAGE(per_seed!$L$132:$L$141)</f>
        <v>616.80000000135328</v>
      </c>
      <c r="E278">
        <v>616.80000000135328</v>
      </c>
    </row>
    <row r="279" spans="1:5">
      <c r="A279" t="s">
        <v>35</v>
      </c>
      <c r="B279" t="s">
        <v>26</v>
      </c>
      <c r="C279" t="s">
        <v>11</v>
      </c>
      <c r="D279">
        <f>_xlfn.STDEV.S(per_seed!$L$132:$L$141)</f>
        <v>36.827382905257821</v>
      </c>
      <c r="E279">
        <v>36.827382905257821</v>
      </c>
    </row>
    <row r="280" spans="1:5">
      <c r="A280" t="s">
        <v>34</v>
      </c>
      <c r="B280" t="s">
        <v>26</v>
      </c>
      <c r="C280" t="s">
        <v>12</v>
      </c>
      <c r="D280">
        <f>AVERAGE(per_seed!$M$132:$M$141)</f>
        <v>1.0942901236040028</v>
      </c>
      <c r="E280">
        <v>1.094290123604003</v>
      </c>
    </row>
    <row r="281" spans="1:5">
      <c r="A281" t="s">
        <v>35</v>
      </c>
      <c r="B281" t="s">
        <v>26</v>
      </c>
      <c r="C281" t="s">
        <v>12</v>
      </c>
      <c r="D281">
        <f>_xlfn.STDEV.S(per_seed!$M$132:$M$141)</f>
        <v>0.33980415436749156</v>
      </c>
      <c r="E281">
        <v>0.33980415436749178</v>
      </c>
    </row>
    <row r="282" spans="1:5">
      <c r="A282" t="s">
        <v>34</v>
      </c>
      <c r="B282" t="s">
        <v>27</v>
      </c>
      <c r="C282" t="s">
        <v>3</v>
      </c>
      <c r="D282">
        <f>AVERAGE(per_seed!$D$142:$D$151)</f>
        <v>1425.4</v>
      </c>
      <c r="E282">
        <v>1425.4</v>
      </c>
    </row>
    <row r="283" spans="1:5">
      <c r="A283" t="s">
        <v>35</v>
      </c>
      <c r="B283" t="s">
        <v>27</v>
      </c>
      <c r="C283" t="s">
        <v>3</v>
      </c>
      <c r="D283">
        <f>_xlfn.STDEV.S(per_seed!$D$142:$D$151)</f>
        <v>3.6575644598253869</v>
      </c>
      <c r="E283">
        <v>3.6575644598253869</v>
      </c>
    </row>
    <row r="284" spans="1:5">
      <c r="A284" t="s">
        <v>34</v>
      </c>
      <c r="B284" t="s">
        <v>27</v>
      </c>
      <c r="C284" t="s">
        <v>4</v>
      </c>
      <c r="D284">
        <f>AVERAGE(per_seed!$E$142:$E$151)</f>
        <v>939.5</v>
      </c>
      <c r="E284">
        <v>939.5</v>
      </c>
    </row>
    <row r="285" spans="1:5">
      <c r="A285" t="s">
        <v>35</v>
      </c>
      <c r="B285" t="s">
        <v>27</v>
      </c>
      <c r="C285" t="s">
        <v>4</v>
      </c>
      <c r="D285">
        <f>_xlfn.STDEV.S(per_seed!$E$142:$E$151)</f>
        <v>12.738829529347575</v>
      </c>
      <c r="E285">
        <v>12.738829529347569</v>
      </c>
    </row>
    <row r="286" spans="1:5">
      <c r="A286" t="s">
        <v>34</v>
      </c>
      <c r="B286" t="s">
        <v>27</v>
      </c>
      <c r="C286" t="s">
        <v>5</v>
      </c>
      <c r="D286">
        <f>AVERAGE(per_seed!$F$142:$F$151)</f>
        <v>593.70000000000005</v>
      </c>
      <c r="E286">
        <v>593.70000000000005</v>
      </c>
    </row>
    <row r="287" spans="1:5">
      <c r="A287" t="s">
        <v>35</v>
      </c>
      <c r="B287" t="s">
        <v>27</v>
      </c>
      <c r="C287" t="s">
        <v>5</v>
      </c>
      <c r="D287">
        <f>_xlfn.STDEV.S(per_seed!$F$142:$F$151)</f>
        <v>11.935474668213054</v>
      </c>
      <c r="E287">
        <v>11.935474668213059</v>
      </c>
    </row>
    <row r="288" spans="1:5">
      <c r="A288" t="s">
        <v>34</v>
      </c>
      <c r="B288" t="s">
        <v>27</v>
      </c>
      <c r="C288" t="s">
        <v>6</v>
      </c>
      <c r="D288">
        <f>AVERAGE(per_seed!$G$142:$G$151)</f>
        <v>3.1452360848207155</v>
      </c>
      <c r="E288">
        <v>3.145236084820715</v>
      </c>
    </row>
    <row r="289" spans="1:5">
      <c r="A289" t="s">
        <v>35</v>
      </c>
      <c r="B289" t="s">
        <v>27</v>
      </c>
      <c r="C289" t="s">
        <v>6</v>
      </c>
      <c r="D289">
        <f>_xlfn.STDEV.S(per_seed!$G$142:$G$151)</f>
        <v>4.5172509937047065E-2</v>
      </c>
      <c r="E289">
        <v>4.5172509937047037E-2</v>
      </c>
    </row>
    <row r="290" spans="1:5">
      <c r="A290" t="s">
        <v>34</v>
      </c>
      <c r="B290" t="s">
        <v>27</v>
      </c>
      <c r="C290" t="s">
        <v>7</v>
      </c>
      <c r="D290">
        <f>AVERAGE(per_seed!$H$142:$H$151)</f>
        <v>188.8</v>
      </c>
      <c r="E290">
        <v>188.8</v>
      </c>
    </row>
    <row r="291" spans="1:5">
      <c r="A291" t="s">
        <v>35</v>
      </c>
      <c r="B291" t="s">
        <v>27</v>
      </c>
      <c r="C291" t="s">
        <v>7</v>
      </c>
      <c r="D291">
        <f>_xlfn.STDEV.S(per_seed!$H$142:$H$151)</f>
        <v>4.8488257455915145</v>
      </c>
      <c r="E291">
        <v>4.8488257455915136</v>
      </c>
    </row>
    <row r="292" spans="1:5">
      <c r="A292" t="s">
        <v>34</v>
      </c>
      <c r="B292" t="s">
        <v>27</v>
      </c>
      <c r="C292" t="s">
        <v>8</v>
      </c>
      <c r="D292">
        <f>AVERAGE(per_seed!$I$142:$I$151)</f>
        <v>0.31800037831880928</v>
      </c>
      <c r="E292">
        <v>0.31800037831880928</v>
      </c>
    </row>
    <row r="293" spans="1:5">
      <c r="A293" t="s">
        <v>35</v>
      </c>
      <c r="B293" t="s">
        <v>27</v>
      </c>
      <c r="C293" t="s">
        <v>8</v>
      </c>
      <c r="D293">
        <f>_xlfn.STDEV.S(per_seed!$I$142:$I$151)</f>
        <v>4.5823006036176984E-3</v>
      </c>
      <c r="E293">
        <v>4.5823006036177097E-3</v>
      </c>
    </row>
    <row r="294" spans="1:5">
      <c r="A294" t="s">
        <v>34</v>
      </c>
      <c r="B294" t="s">
        <v>27</v>
      </c>
      <c r="C294" t="s">
        <v>9</v>
      </c>
      <c r="D294">
        <f>AVERAGE(per_seed!$J$142:$J$151)</f>
        <v>14.59519897396738</v>
      </c>
      <c r="E294">
        <v>14.59519897396738</v>
      </c>
    </row>
    <row r="295" spans="1:5">
      <c r="A295" t="s">
        <v>35</v>
      </c>
      <c r="B295" t="s">
        <v>27</v>
      </c>
      <c r="C295" t="s">
        <v>9</v>
      </c>
      <c r="D295">
        <f>_xlfn.STDEV.S(per_seed!$J$142:$J$151)</f>
        <v>0.41613016106009426</v>
      </c>
      <c r="E295">
        <v>0.41613016106009471</v>
      </c>
    </row>
    <row r="296" spans="1:5">
      <c r="A296" t="s">
        <v>34</v>
      </c>
      <c r="B296" t="s">
        <v>27</v>
      </c>
      <c r="C296" t="s">
        <v>10</v>
      </c>
      <c r="D296">
        <f>AVERAGE(per_seed!$K$142:$K$151)</f>
        <v>1.9106751717970423</v>
      </c>
      <c r="E296">
        <v>1.910675171797042</v>
      </c>
    </row>
    <row r="297" spans="1:5">
      <c r="A297" t="s">
        <v>35</v>
      </c>
      <c r="B297" t="s">
        <v>27</v>
      </c>
      <c r="C297" t="s">
        <v>10</v>
      </c>
      <c r="D297">
        <f>_xlfn.STDEV.S(per_seed!$K$142:$K$151)</f>
        <v>4.5709866791673964E-2</v>
      </c>
      <c r="E297">
        <v>4.5709866791673957E-2</v>
      </c>
    </row>
    <row r="298" spans="1:5">
      <c r="A298" t="s">
        <v>34</v>
      </c>
      <c r="B298" t="s">
        <v>27</v>
      </c>
      <c r="C298" t="s">
        <v>11</v>
      </c>
      <c r="D298">
        <f>AVERAGE(per_seed!$L$142:$L$151)</f>
        <v>637.25333333373703</v>
      </c>
      <c r="E298">
        <v>637.25333333373715</v>
      </c>
    </row>
    <row r="299" spans="1:5">
      <c r="A299" t="s">
        <v>35</v>
      </c>
      <c r="B299" t="s">
        <v>27</v>
      </c>
      <c r="C299" t="s">
        <v>11</v>
      </c>
      <c r="D299">
        <f>_xlfn.STDEV.S(per_seed!$L$142:$L$151)</f>
        <v>44.922680350515989</v>
      </c>
      <c r="E299">
        <v>44.922680350515989</v>
      </c>
    </row>
    <row r="300" spans="1:5">
      <c r="A300" t="s">
        <v>34</v>
      </c>
      <c r="B300" t="s">
        <v>27</v>
      </c>
      <c r="C300" t="s">
        <v>12</v>
      </c>
      <c r="D300">
        <f>AVERAGE(per_seed!$M$142:$M$151)</f>
        <v>1.0853395063200817</v>
      </c>
      <c r="E300">
        <v>1.0853395063200819</v>
      </c>
    </row>
    <row r="301" spans="1:5">
      <c r="A301" t="s">
        <v>35</v>
      </c>
      <c r="B301" t="s">
        <v>27</v>
      </c>
      <c r="C301" t="s">
        <v>12</v>
      </c>
      <c r="D301">
        <f>_xlfn.STDEV.S(per_seed!$M$142:$M$151)</f>
        <v>0.23994029330141914</v>
      </c>
      <c r="E301">
        <v>0.2399402933014198</v>
      </c>
    </row>
    <row r="302" spans="1:5">
      <c r="A302" t="s">
        <v>34</v>
      </c>
      <c r="B302" t="s">
        <v>28</v>
      </c>
      <c r="C302" t="s">
        <v>3</v>
      </c>
      <c r="D302">
        <f>AVERAGE(per_seed!$D$152:$D$161)</f>
        <v>1424.6</v>
      </c>
      <c r="E302">
        <v>1424.6</v>
      </c>
    </row>
    <row r="303" spans="1:5">
      <c r="A303" t="s">
        <v>35</v>
      </c>
      <c r="B303" t="s">
        <v>28</v>
      </c>
      <c r="C303" t="s">
        <v>3</v>
      </c>
      <c r="D303">
        <f>_xlfn.STDEV.S(per_seed!$D$152:$D$161)</f>
        <v>4.9486249493055032</v>
      </c>
      <c r="E303">
        <v>4.9486249493055032</v>
      </c>
    </row>
    <row r="304" spans="1:5">
      <c r="A304" t="s">
        <v>34</v>
      </c>
      <c r="B304" t="s">
        <v>28</v>
      </c>
      <c r="C304" t="s">
        <v>4</v>
      </c>
      <c r="D304">
        <f>AVERAGE(per_seed!$E$152:$E$161)</f>
        <v>937.5</v>
      </c>
      <c r="E304">
        <v>937.5</v>
      </c>
    </row>
    <row r="305" spans="1:5">
      <c r="A305" t="s">
        <v>35</v>
      </c>
      <c r="B305" t="s">
        <v>28</v>
      </c>
      <c r="C305" t="s">
        <v>4</v>
      </c>
      <c r="D305">
        <f>_xlfn.STDEV.S(per_seed!$E$152:$E$161)</f>
        <v>11.481869766433224</v>
      </c>
      <c r="E305">
        <v>11.481869766433221</v>
      </c>
    </row>
    <row r="306" spans="1:5">
      <c r="A306" t="s">
        <v>34</v>
      </c>
      <c r="B306" t="s">
        <v>28</v>
      </c>
      <c r="C306" t="s">
        <v>5</v>
      </c>
      <c r="D306">
        <f>AVERAGE(per_seed!$F$152:$F$161)</f>
        <v>592.1</v>
      </c>
      <c r="E306">
        <v>592.1</v>
      </c>
    </row>
    <row r="307" spans="1:5">
      <c r="A307" t="s">
        <v>35</v>
      </c>
      <c r="B307" t="s">
        <v>28</v>
      </c>
      <c r="C307" t="s">
        <v>5</v>
      </c>
      <c r="D307">
        <f>_xlfn.STDEV.S(per_seed!$F$152:$F$161)</f>
        <v>11.493476410555685</v>
      </c>
      <c r="E307">
        <v>11.493476410555679</v>
      </c>
    </row>
    <row r="308" spans="1:5">
      <c r="A308" t="s">
        <v>34</v>
      </c>
      <c r="B308" t="s">
        <v>28</v>
      </c>
      <c r="C308" t="s">
        <v>6</v>
      </c>
      <c r="D308">
        <f>AVERAGE(per_seed!$G$152:$G$161)</f>
        <v>3.1540277742878877</v>
      </c>
      <c r="E308">
        <v>3.1540277742878882</v>
      </c>
    </row>
    <row r="309" spans="1:5">
      <c r="A309" t="s">
        <v>35</v>
      </c>
      <c r="B309" t="s">
        <v>28</v>
      </c>
      <c r="C309" t="s">
        <v>6</v>
      </c>
      <c r="D309">
        <f>_xlfn.STDEV.S(per_seed!$G$152:$G$161)</f>
        <v>6.8143032467962647E-2</v>
      </c>
      <c r="E309">
        <v>6.8143032467962633E-2</v>
      </c>
    </row>
    <row r="310" spans="1:5">
      <c r="A310" t="s">
        <v>34</v>
      </c>
      <c r="B310" t="s">
        <v>28</v>
      </c>
      <c r="C310" t="s">
        <v>7</v>
      </c>
      <c r="D310">
        <f>AVERAGE(per_seed!$H$152:$H$161)</f>
        <v>187.8</v>
      </c>
      <c r="E310">
        <v>187.8</v>
      </c>
    </row>
    <row r="311" spans="1:5">
      <c r="A311" t="s">
        <v>35</v>
      </c>
      <c r="B311" t="s">
        <v>28</v>
      </c>
      <c r="C311" t="s">
        <v>7</v>
      </c>
      <c r="D311">
        <f>_xlfn.STDEV.S(per_seed!$H$152:$H$161)</f>
        <v>5.1380930314660516</v>
      </c>
      <c r="E311">
        <v>5.1380930314660516</v>
      </c>
    </row>
    <row r="312" spans="1:5">
      <c r="A312" t="s">
        <v>34</v>
      </c>
      <c r="B312" t="s">
        <v>28</v>
      </c>
      <c r="C312" t="s">
        <v>8</v>
      </c>
      <c r="D312">
        <f>AVERAGE(per_seed!$I$152:$I$161)</f>
        <v>0.31719013073896485</v>
      </c>
      <c r="E312">
        <v>0.31719013073896479</v>
      </c>
    </row>
    <row r="313" spans="1:5">
      <c r="A313" t="s">
        <v>35</v>
      </c>
      <c r="B313" t="s">
        <v>28</v>
      </c>
      <c r="C313" t="s">
        <v>8</v>
      </c>
      <c r="D313">
        <f>_xlfn.STDEV.S(per_seed!$I$152:$I$161)</f>
        <v>6.9550689516803006E-3</v>
      </c>
      <c r="E313">
        <v>6.9550689516802997E-3</v>
      </c>
    </row>
    <row r="314" spans="1:5">
      <c r="A314" t="s">
        <v>34</v>
      </c>
      <c r="B314" t="s">
        <v>28</v>
      </c>
      <c r="C314" t="s">
        <v>9</v>
      </c>
      <c r="D314">
        <f>AVERAGE(per_seed!$J$152:$J$161)</f>
        <v>14.941941867143091</v>
      </c>
      <c r="E314">
        <v>14.94194186714309</v>
      </c>
    </row>
    <row r="315" spans="1:5">
      <c r="A315" t="s">
        <v>35</v>
      </c>
      <c r="B315" t="s">
        <v>28</v>
      </c>
      <c r="C315" t="s">
        <v>9</v>
      </c>
      <c r="D315">
        <f>_xlfn.STDEV.S(per_seed!$J$152:$J$161)</f>
        <v>0.29575004772606955</v>
      </c>
      <c r="E315">
        <v>0.29575004772606878</v>
      </c>
    </row>
    <row r="316" spans="1:5">
      <c r="A316" t="s">
        <v>34</v>
      </c>
      <c r="B316" t="s">
        <v>28</v>
      </c>
      <c r="C316" t="s">
        <v>10</v>
      </c>
      <c r="D316">
        <f>AVERAGE(per_seed!$K$152:$K$161)</f>
        <v>1.9541420513604799</v>
      </c>
      <c r="E316">
        <v>1.9541420513604799</v>
      </c>
    </row>
    <row r="317" spans="1:5">
      <c r="A317" t="s">
        <v>35</v>
      </c>
      <c r="B317" t="s">
        <v>28</v>
      </c>
      <c r="C317" t="s">
        <v>10</v>
      </c>
      <c r="D317">
        <f>_xlfn.STDEV.S(per_seed!$K$152:$K$161)</f>
        <v>3.9217795891910351E-2</v>
      </c>
      <c r="E317">
        <v>3.9217795891910351E-2</v>
      </c>
    </row>
    <row r="318" spans="1:5">
      <c r="A318" t="s">
        <v>34</v>
      </c>
      <c r="B318" t="s">
        <v>28</v>
      </c>
      <c r="C318" t="s">
        <v>11</v>
      </c>
      <c r="D318">
        <f>AVERAGE(per_seed!$L$152:$L$161)</f>
        <v>614.21333333534881</v>
      </c>
      <c r="E318">
        <v>614.21333333534892</v>
      </c>
    </row>
    <row r="319" spans="1:5">
      <c r="A319" t="s">
        <v>35</v>
      </c>
      <c r="B319" t="s">
        <v>28</v>
      </c>
      <c r="C319" t="s">
        <v>11</v>
      </c>
      <c r="D319">
        <f>_xlfn.STDEV.S(per_seed!$L$152:$L$161)</f>
        <v>29.075739890875436</v>
      </c>
      <c r="E319">
        <v>29.07573989087544</v>
      </c>
    </row>
    <row r="320" spans="1:5">
      <c r="A320" t="s">
        <v>34</v>
      </c>
      <c r="B320" t="s">
        <v>28</v>
      </c>
      <c r="C320" t="s">
        <v>12</v>
      </c>
      <c r="D320">
        <f>AVERAGE(per_seed!$M$152:$M$161)</f>
        <v>1.1466666668139447</v>
      </c>
      <c r="E320">
        <v>1.1466666668139449</v>
      </c>
    </row>
    <row r="321" spans="1:5">
      <c r="A321" t="s">
        <v>35</v>
      </c>
      <c r="B321" t="s">
        <v>28</v>
      </c>
      <c r="C321" t="s">
        <v>12</v>
      </c>
      <c r="D321">
        <f>_xlfn.STDEV.S(per_seed!$M$152:$M$161)</f>
        <v>0.34420709799286126</v>
      </c>
      <c r="E321">
        <v>0.34420709799286098</v>
      </c>
    </row>
    <row r="322" spans="1:5">
      <c r="A322" t="s">
        <v>36</v>
      </c>
      <c r="B322" t="s">
        <v>37</v>
      </c>
      <c r="C322" t="s">
        <v>3</v>
      </c>
      <c r="D322">
        <f>(AVERAGE(per_seed!$D$12:$D$21)-AVERAGE(per_seed!$D$2:$D$11))/AVERAGE(per_seed!$D$2:$D$11)*100</f>
        <v>-33.354461581801544</v>
      </c>
      <c r="E322">
        <v>-33.354461581801537</v>
      </c>
    </row>
    <row r="323" spans="1:5">
      <c r="A323" t="s">
        <v>38</v>
      </c>
      <c r="B323" t="s">
        <v>37</v>
      </c>
      <c r="C323" t="s">
        <v>3</v>
      </c>
      <c r="D323">
        <f>_xlfn.T.TEST(per_seed!$D$2:$D$11,per_seed!$D$12:$D$21,2,1)</f>
        <v>3.4797146721844423E-3</v>
      </c>
      <c r="E323">
        <v>3.4797146721844488E-3</v>
      </c>
    </row>
    <row r="324" spans="1:5">
      <c r="A324" t="s">
        <v>36</v>
      </c>
      <c r="B324" t="s">
        <v>37</v>
      </c>
      <c r="C324" t="s">
        <v>4</v>
      </c>
      <c r="D324">
        <f>(AVERAGE(per_seed!$E$12:$E$21)-AVERAGE(per_seed!$E$2:$E$11))/AVERAGE(per_seed!$E$2:$E$11)*100</f>
        <v>-32.956347109185081</v>
      </c>
      <c r="E324">
        <v>-32.956347109185081</v>
      </c>
    </row>
    <row r="325" spans="1:5">
      <c r="A325" t="s">
        <v>38</v>
      </c>
      <c r="B325" t="s">
        <v>37</v>
      </c>
      <c r="C325" t="s">
        <v>4</v>
      </c>
      <c r="D325">
        <f>_xlfn.T.TEST(per_seed!$E$2:$E$11,per_seed!$E$12:$E$21,2,1)</f>
        <v>3.6294265457863626E-3</v>
      </c>
      <c r="E325">
        <v>3.6294265457863621E-3</v>
      </c>
    </row>
    <row r="326" spans="1:5">
      <c r="A326" t="s">
        <v>36</v>
      </c>
      <c r="B326" t="s">
        <v>37</v>
      </c>
      <c r="C326" t="s">
        <v>5</v>
      </c>
      <c r="D326">
        <f>(AVERAGE(per_seed!$F$12:$F$21)-AVERAGE(per_seed!$F$2:$F$11))/AVERAGE(per_seed!$F$2:$F$11)*100</f>
        <v>-31.814388249040231</v>
      </c>
      <c r="E326">
        <v>-31.814388249040231</v>
      </c>
    </row>
    <row r="327" spans="1:5">
      <c r="A327" t="s">
        <v>38</v>
      </c>
      <c r="B327" t="s">
        <v>37</v>
      </c>
      <c r="C327" t="s">
        <v>5</v>
      </c>
      <c r="D327">
        <f>_xlfn.T.TEST(per_seed!$F$2:$F$11,per_seed!$F$12:$F$21,2,1)</f>
        <v>4.6753191098795888E-3</v>
      </c>
      <c r="E327">
        <v>4.6753191098795896E-3</v>
      </c>
    </row>
    <row r="328" spans="1:5">
      <c r="A328" t="s">
        <v>36</v>
      </c>
      <c r="B328" t="s">
        <v>37</v>
      </c>
      <c r="C328" t="s">
        <v>6</v>
      </c>
      <c r="D328">
        <f>(AVERAGE(per_seed!$G$12:$G$21)-AVERAGE(per_seed!$G$2:$G$11))/AVERAGE(per_seed!$G$2:$G$11)*100</f>
        <v>-13.17829703377657</v>
      </c>
      <c r="E328">
        <v>-13.17829703377657</v>
      </c>
    </row>
    <row r="329" spans="1:5">
      <c r="A329" t="s">
        <v>38</v>
      </c>
      <c r="B329" t="s">
        <v>37</v>
      </c>
      <c r="C329" t="s">
        <v>6</v>
      </c>
      <c r="D329">
        <f>_xlfn.T.TEST(per_seed!$G$2:$G$11,per_seed!$G$12:$G$21,2,1)</f>
        <v>1.0688993552491972E-4</v>
      </c>
      <c r="E329">
        <v>1.068899355249197E-4</v>
      </c>
    </row>
    <row r="330" spans="1:5">
      <c r="A330" t="s">
        <v>36</v>
      </c>
      <c r="B330" t="s">
        <v>37</v>
      </c>
      <c r="C330" t="s">
        <v>7</v>
      </c>
      <c r="D330">
        <f>(AVERAGE(per_seed!$H$12:$H$21)-AVERAGE(per_seed!$H$2:$H$11))/AVERAGE(per_seed!$H$2:$H$11)*100</f>
        <v>-19.94657168299198</v>
      </c>
      <c r="E330">
        <v>-19.94657168299198</v>
      </c>
    </row>
    <row r="331" spans="1:5">
      <c r="A331" t="s">
        <v>38</v>
      </c>
      <c r="B331" t="s">
        <v>37</v>
      </c>
      <c r="C331" t="s">
        <v>7</v>
      </c>
      <c r="D331">
        <f>_xlfn.T.TEST(per_seed!$H$2:$H$11,per_seed!$H$12:$H$21,2,1)</f>
        <v>9.2452970909033774E-2</v>
      </c>
      <c r="E331">
        <v>9.2452970909033746E-2</v>
      </c>
    </row>
    <row r="332" spans="1:5">
      <c r="A332" t="s">
        <v>36</v>
      </c>
      <c r="B332" t="s">
        <v>37</v>
      </c>
      <c r="C332" t="s">
        <v>8</v>
      </c>
      <c r="D332">
        <f>(AVERAGE(per_seed!$I$12:$I$21)-AVERAGE(per_seed!$I$2:$I$11))/AVERAGE(per_seed!$I$2:$I$11)*100</f>
        <v>15.493058147428792</v>
      </c>
      <c r="E332">
        <v>15.493058147428821</v>
      </c>
    </row>
    <row r="333" spans="1:5">
      <c r="A333" t="s">
        <v>38</v>
      </c>
      <c r="B333" t="s">
        <v>37</v>
      </c>
      <c r="C333" t="s">
        <v>8</v>
      </c>
      <c r="D333">
        <f>_xlfn.T.TEST(per_seed!$I$2:$I$11,per_seed!$I$12:$I$21,2,1)</f>
        <v>1.6720847012271904E-4</v>
      </c>
      <c r="E333">
        <v>1.672084701227182E-4</v>
      </c>
    </row>
    <row r="334" spans="1:5">
      <c r="A334" t="s">
        <v>36</v>
      </c>
      <c r="B334" t="s">
        <v>37</v>
      </c>
      <c r="C334" t="s">
        <v>9</v>
      </c>
      <c r="D334">
        <f>(AVERAGE(per_seed!$J$12:$J$21)-AVERAGE(per_seed!$J$2:$J$11))/AVERAGE(per_seed!$J$2:$J$11)*100</f>
        <v>16.318180922543856</v>
      </c>
      <c r="E334">
        <v>16.31818092254386</v>
      </c>
    </row>
    <row r="335" spans="1:5">
      <c r="A335" t="s">
        <v>38</v>
      </c>
      <c r="B335" t="s">
        <v>37</v>
      </c>
      <c r="C335" t="s">
        <v>9</v>
      </c>
      <c r="D335">
        <f>_xlfn.T.TEST(per_seed!$J$2:$J$11,per_seed!$J$12:$J$21,2,1)</f>
        <v>7.3153115830679911E-3</v>
      </c>
      <c r="E335">
        <v>7.3153115830679851E-3</v>
      </c>
    </row>
    <row r="336" spans="1:5">
      <c r="A336" t="s">
        <v>36</v>
      </c>
      <c r="B336" t="s">
        <v>37</v>
      </c>
      <c r="C336" t="s">
        <v>10</v>
      </c>
      <c r="D336">
        <f>(AVERAGE(per_seed!$K$12:$K$21)-AVERAGE(per_seed!$K$2:$K$11))/AVERAGE(per_seed!$K$2:$K$11)*100</f>
        <v>15.528563523737301</v>
      </c>
      <c r="E336">
        <v>15.52856352373732</v>
      </c>
    </row>
    <row r="337" spans="1:5">
      <c r="A337" t="s">
        <v>38</v>
      </c>
      <c r="B337" t="s">
        <v>37</v>
      </c>
      <c r="C337" t="s">
        <v>10</v>
      </c>
      <c r="D337">
        <f>_xlfn.T.TEST(per_seed!$K$2:$K$11,per_seed!$K$12:$K$21,2,1)</f>
        <v>7.2114321957211635E-3</v>
      </c>
      <c r="E337">
        <v>7.2114321957211236E-3</v>
      </c>
    </row>
    <row r="338" spans="1:5">
      <c r="A338" t="s">
        <v>36</v>
      </c>
      <c r="B338" t="s">
        <v>37</v>
      </c>
      <c r="C338" t="s">
        <v>11</v>
      </c>
      <c r="D338">
        <f>(AVERAGE(per_seed!$L$12:$L$21)-AVERAGE(per_seed!$L$2:$L$11))/AVERAGE(per_seed!$L$2:$L$11)*100</f>
        <v>-29.26917994745617</v>
      </c>
      <c r="E338">
        <v>-29.269179947456159</v>
      </c>
    </row>
    <row r="339" spans="1:5">
      <c r="A339" t="s">
        <v>38</v>
      </c>
      <c r="B339" t="s">
        <v>37</v>
      </c>
      <c r="C339" t="s">
        <v>11</v>
      </c>
      <c r="D339">
        <f>_xlfn.T.TEST(per_seed!$L$2:$L$11,per_seed!$L$12:$L$21,2,1)</f>
        <v>5.739525648482008E-6</v>
      </c>
      <c r="E339">
        <v>5.7395256484820241E-6</v>
      </c>
    </row>
    <row r="340" spans="1:5">
      <c r="A340" t="s">
        <v>36</v>
      </c>
      <c r="B340" t="s">
        <v>37</v>
      </c>
      <c r="C340" t="s">
        <v>12</v>
      </c>
      <c r="D340">
        <f>(AVERAGE(per_seed!$M$12:$M$21)-AVERAGE(per_seed!$M$2:$M$11))/AVERAGE(per_seed!$M$2:$M$11)*100</f>
        <v>2260.430340254989</v>
      </c>
      <c r="E340">
        <v>2260.4303402549899</v>
      </c>
    </row>
    <row r="341" spans="1:5">
      <c r="A341" t="s">
        <v>38</v>
      </c>
      <c r="B341" t="s">
        <v>37</v>
      </c>
      <c r="C341" t="s">
        <v>12</v>
      </c>
      <c r="D341">
        <f>_xlfn.T.TEST(per_seed!$M$2:$M$11,per_seed!$M$12:$M$21,2,1)</f>
        <v>3.49649626574269E-3</v>
      </c>
      <c r="E341">
        <v>3.4964962657426891E-3</v>
      </c>
    </row>
    <row r="342" spans="1:5">
      <c r="A342" t="s">
        <v>36</v>
      </c>
      <c r="B342" t="s">
        <v>39</v>
      </c>
      <c r="C342" t="s">
        <v>3</v>
      </c>
      <c r="D342">
        <f>(AVERAGE(per_seed!$D$22:$D$31)-AVERAGE(per_seed!$D$2:$D$11))/AVERAGE(per_seed!$D$2:$D$11)*100</f>
        <v>-10.958518205507438</v>
      </c>
      <c r="E342">
        <v>-10.95851820550744</v>
      </c>
    </row>
    <row r="343" spans="1:5">
      <c r="A343" t="s">
        <v>38</v>
      </c>
      <c r="B343" t="s">
        <v>39</v>
      </c>
      <c r="C343" t="s">
        <v>3</v>
      </c>
      <c r="D343">
        <f>_xlfn.T.TEST(per_seed!$D$2:$D$11,per_seed!$D$22:$D$31,2,1)</f>
        <v>4.1980287996683692E-3</v>
      </c>
      <c r="E343">
        <v>4.1980287996683944E-3</v>
      </c>
    </row>
    <row r="344" spans="1:5">
      <c r="A344" t="s">
        <v>36</v>
      </c>
      <c r="B344" t="s">
        <v>39</v>
      </c>
      <c r="C344" t="s">
        <v>4</v>
      </c>
      <c r="D344">
        <f>(AVERAGE(per_seed!$E$22:$E$31)-AVERAGE(per_seed!$E$2:$E$11))/AVERAGE(per_seed!$E$2:$E$11)*100</f>
        <v>-11.51041116161082</v>
      </c>
      <c r="E344">
        <v>-11.51041116161082</v>
      </c>
    </row>
    <row r="345" spans="1:5">
      <c r="A345" t="s">
        <v>38</v>
      </c>
      <c r="B345" t="s">
        <v>39</v>
      </c>
      <c r="C345" t="s">
        <v>4</v>
      </c>
      <c r="D345">
        <f>_xlfn.T.TEST(per_seed!$E$2:$E$11,per_seed!$E$22:$E$31,2,1)</f>
        <v>2.3595207757153014E-3</v>
      </c>
      <c r="E345">
        <v>2.3595207757152971E-3</v>
      </c>
    </row>
    <row r="346" spans="1:5">
      <c r="A346" t="s">
        <v>36</v>
      </c>
      <c r="B346" t="s">
        <v>39</v>
      </c>
      <c r="C346" t="s">
        <v>5</v>
      </c>
      <c r="D346">
        <f>(AVERAGE(per_seed!$F$22:$F$31)-AVERAGE(per_seed!$F$2:$F$11))/AVERAGE(per_seed!$F$2:$F$11)*100</f>
        <v>-9.8647971957936935</v>
      </c>
      <c r="E346">
        <v>-9.8647971957936935</v>
      </c>
    </row>
    <row r="347" spans="1:5">
      <c r="A347" t="s">
        <v>38</v>
      </c>
      <c r="B347" t="s">
        <v>39</v>
      </c>
      <c r="C347" t="s">
        <v>5</v>
      </c>
      <c r="D347">
        <f>_xlfn.T.TEST(per_seed!$F$2:$F$11,per_seed!$F$22:$F$31,2,1)</f>
        <v>7.5413025912702564E-3</v>
      </c>
      <c r="E347">
        <v>7.5413025912702703E-3</v>
      </c>
    </row>
    <row r="348" spans="1:5">
      <c r="A348" t="s">
        <v>36</v>
      </c>
      <c r="B348" t="s">
        <v>39</v>
      </c>
      <c r="C348" t="s">
        <v>6</v>
      </c>
      <c r="D348">
        <f>(AVERAGE(per_seed!$G$22:$G$31)-AVERAGE(per_seed!$G$2:$G$11))/AVERAGE(per_seed!$G$2:$G$11)*100</f>
        <v>-20.160185911457631</v>
      </c>
      <c r="E348">
        <v>-20.160185911457631</v>
      </c>
    </row>
    <row r="349" spans="1:5">
      <c r="A349" t="s">
        <v>38</v>
      </c>
      <c r="B349" t="s">
        <v>39</v>
      </c>
      <c r="C349" t="s">
        <v>6</v>
      </c>
      <c r="D349">
        <f>_xlfn.T.TEST(per_seed!$G$2:$G$11,per_seed!$G$22:$G$31,2,1)</f>
        <v>6.9779526267187723E-8</v>
      </c>
      <c r="E349">
        <v>6.9779526267187048E-8</v>
      </c>
    </row>
    <row r="350" spans="1:5">
      <c r="A350" t="s">
        <v>36</v>
      </c>
      <c r="B350" t="s">
        <v>39</v>
      </c>
      <c r="C350" t="s">
        <v>7</v>
      </c>
      <c r="D350">
        <f>(AVERAGE(per_seed!$H$22:$H$31)-AVERAGE(per_seed!$H$2:$H$11))/AVERAGE(per_seed!$H$2:$H$11)*100</f>
        <v>13.178984861976845</v>
      </c>
      <c r="E350">
        <v>13.178984861976851</v>
      </c>
    </row>
    <row r="351" spans="1:5">
      <c r="A351" t="s">
        <v>38</v>
      </c>
      <c r="B351" t="s">
        <v>39</v>
      </c>
      <c r="C351" t="s">
        <v>7</v>
      </c>
      <c r="D351">
        <f>_xlfn.T.TEST(per_seed!$H$2:$H$11,per_seed!$H$22:$H$31,2,1)</f>
        <v>1.1452232191867685E-2</v>
      </c>
      <c r="E351">
        <v>1.145223219186766E-2</v>
      </c>
    </row>
    <row r="352" spans="1:5">
      <c r="A352" t="s">
        <v>36</v>
      </c>
      <c r="B352" t="s">
        <v>39</v>
      </c>
      <c r="C352" t="s">
        <v>8</v>
      </c>
      <c r="D352">
        <f>(AVERAGE(per_seed!$I$22:$I$31)-AVERAGE(per_seed!$I$2:$I$11))/AVERAGE(per_seed!$I$2:$I$11)*100</f>
        <v>25.408592825614779</v>
      </c>
      <c r="E352">
        <v>25.408592825614779</v>
      </c>
    </row>
    <row r="353" spans="1:5">
      <c r="A353" t="s">
        <v>38</v>
      </c>
      <c r="B353" t="s">
        <v>39</v>
      </c>
      <c r="C353" t="s">
        <v>8</v>
      </c>
      <c r="D353">
        <f>_xlfn.T.TEST(per_seed!$I$2:$I$11,per_seed!$I$22:$I$31,2,1)</f>
        <v>2.1372120216652398E-7</v>
      </c>
      <c r="E353">
        <v>2.137212021665226E-7</v>
      </c>
    </row>
    <row r="354" spans="1:5">
      <c r="A354" t="s">
        <v>36</v>
      </c>
      <c r="B354" t="s">
        <v>39</v>
      </c>
      <c r="C354" t="s">
        <v>9</v>
      </c>
      <c r="D354">
        <f>(AVERAGE(per_seed!$J$22:$J$31)-AVERAGE(per_seed!$J$2:$J$11))/AVERAGE(per_seed!$J$2:$J$11)*100</f>
        <v>16.972167312782517</v>
      </c>
      <c r="E354">
        <v>16.972167312782521</v>
      </c>
    </row>
    <row r="355" spans="1:5">
      <c r="A355" t="s">
        <v>38</v>
      </c>
      <c r="B355" t="s">
        <v>39</v>
      </c>
      <c r="C355" t="s">
        <v>9</v>
      </c>
      <c r="D355">
        <f>_xlfn.T.TEST(per_seed!$J$2:$J$11,per_seed!$J$22:$J$31,2,1)</f>
        <v>8.5065098371151268E-6</v>
      </c>
      <c r="E355">
        <v>8.5065098371151963E-6</v>
      </c>
    </row>
    <row r="356" spans="1:5">
      <c r="A356" t="s">
        <v>36</v>
      </c>
      <c r="B356" t="s">
        <v>39</v>
      </c>
      <c r="C356" t="s">
        <v>10</v>
      </c>
      <c r="D356">
        <f>(AVERAGE(per_seed!$K$22:$K$31)-AVERAGE(per_seed!$K$2:$K$11))/AVERAGE(per_seed!$K$2:$K$11)*100</f>
        <v>15.818303905467246</v>
      </c>
      <c r="E356">
        <v>15.81830390546723</v>
      </c>
    </row>
    <row r="357" spans="1:5">
      <c r="A357" t="s">
        <v>38</v>
      </c>
      <c r="B357" t="s">
        <v>39</v>
      </c>
      <c r="C357" t="s">
        <v>10</v>
      </c>
      <c r="D357">
        <f>_xlfn.T.TEST(per_seed!$K$2:$K$11,per_seed!$K$22:$K$31,2,1)</f>
        <v>1.4030544649258221E-5</v>
      </c>
      <c r="E357">
        <v>1.403054464925836E-5</v>
      </c>
    </row>
    <row r="358" spans="1:5">
      <c r="A358" t="s">
        <v>36</v>
      </c>
      <c r="B358" t="s">
        <v>39</v>
      </c>
      <c r="C358" t="s">
        <v>11</v>
      </c>
      <c r="D358">
        <f>(AVERAGE(per_seed!$L$22:$L$31)-AVERAGE(per_seed!$L$2:$L$11))/AVERAGE(per_seed!$L$2:$L$11)*100</f>
        <v>-26.549936606336516</v>
      </c>
      <c r="E358">
        <v>-26.549936606336541</v>
      </c>
    </row>
    <row r="359" spans="1:5">
      <c r="A359" t="s">
        <v>38</v>
      </c>
      <c r="B359" t="s">
        <v>39</v>
      </c>
      <c r="C359" t="s">
        <v>11</v>
      </c>
      <c r="D359">
        <f>_xlfn.T.TEST(per_seed!$L$2:$L$11,per_seed!$L$22:$L$31,2,1)</f>
        <v>4.0672593371475915E-6</v>
      </c>
      <c r="E359">
        <v>4.067259337147566E-6</v>
      </c>
    </row>
    <row r="360" spans="1:5">
      <c r="A360" t="s">
        <v>36</v>
      </c>
      <c r="B360" t="s">
        <v>39</v>
      </c>
      <c r="C360" t="s">
        <v>12</v>
      </c>
      <c r="D360">
        <f>(AVERAGE(per_seed!$M$22:$M$31)-AVERAGE(per_seed!$M$2:$M$11))/AVERAGE(per_seed!$M$2:$M$11)*100</f>
        <v>742.88111464379051</v>
      </c>
      <c r="E360">
        <v>742.88111464379074</v>
      </c>
    </row>
    <row r="361" spans="1:5">
      <c r="A361" t="s">
        <v>38</v>
      </c>
      <c r="B361" t="s">
        <v>39</v>
      </c>
      <c r="C361" t="s">
        <v>12</v>
      </c>
      <c r="D361">
        <f>_xlfn.T.TEST(per_seed!$M$2:$M$11,per_seed!$M$22:$M$31,2,1)</f>
        <v>4.1232191445105364E-3</v>
      </c>
      <c r="E361">
        <v>4.1232191445105312E-3</v>
      </c>
    </row>
    <row r="362" spans="1:5">
      <c r="A362" t="s">
        <v>36</v>
      </c>
      <c r="B362" t="s">
        <v>40</v>
      </c>
      <c r="C362" t="s">
        <v>3</v>
      </c>
      <c r="D362">
        <f>(AVERAGE(per_seed!$D$32:$D$41)-AVERAGE(per_seed!$D$2:$D$11))/AVERAGE(per_seed!$D$2:$D$11)*100</f>
        <v>-10.972603704486243</v>
      </c>
      <c r="E362">
        <v>-10.972603704486239</v>
      </c>
    </row>
    <row r="363" spans="1:5">
      <c r="A363" t="s">
        <v>38</v>
      </c>
      <c r="B363" t="s">
        <v>40</v>
      </c>
      <c r="C363" t="s">
        <v>3</v>
      </c>
      <c r="D363">
        <f>_xlfn.T.TEST(per_seed!$D$2:$D$11,per_seed!$D$32:$D$41,2,1)</f>
        <v>0.15230030561045024</v>
      </c>
      <c r="E363">
        <v>0.1523003056104508</v>
      </c>
    </row>
    <row r="364" spans="1:5">
      <c r="A364" t="s">
        <v>36</v>
      </c>
      <c r="B364" t="s">
        <v>40</v>
      </c>
      <c r="C364" t="s">
        <v>4</v>
      </c>
      <c r="D364">
        <f>(AVERAGE(per_seed!$E$32:$E$41)-AVERAGE(per_seed!$E$2:$E$11))/AVERAGE(per_seed!$E$2:$E$11)*100</f>
        <v>-11.013634922312656</v>
      </c>
      <c r="E364">
        <v>-11.01363492231266</v>
      </c>
    </row>
    <row r="365" spans="1:5">
      <c r="A365" t="s">
        <v>38</v>
      </c>
      <c r="B365" t="s">
        <v>40</v>
      </c>
      <c r="C365" t="s">
        <v>4</v>
      </c>
      <c r="D365">
        <f>_xlfn.T.TEST(per_seed!$E$2:$E$11,per_seed!$E$32:$E$41,2,1)</f>
        <v>0.15522636922568586</v>
      </c>
      <c r="E365">
        <v>0.15522636922568589</v>
      </c>
    </row>
    <row r="366" spans="1:5">
      <c r="A366" t="s">
        <v>36</v>
      </c>
      <c r="B366" t="s">
        <v>40</v>
      </c>
      <c r="C366" t="s">
        <v>5</v>
      </c>
      <c r="D366">
        <f>(AVERAGE(per_seed!$F$32:$F$41)-AVERAGE(per_seed!$F$2:$F$11))/AVERAGE(per_seed!$F$2:$F$11)*100</f>
        <v>-9.6644967451176722</v>
      </c>
      <c r="E366">
        <v>-9.6644967451176722</v>
      </c>
    </row>
    <row r="367" spans="1:5">
      <c r="A367" t="s">
        <v>38</v>
      </c>
      <c r="B367" t="s">
        <v>40</v>
      </c>
      <c r="C367" t="s">
        <v>5</v>
      </c>
      <c r="D367">
        <f>_xlfn.T.TEST(per_seed!$F$2:$F$11,per_seed!$F$32:$F$41,2,1)</f>
        <v>0.20836599930964966</v>
      </c>
      <c r="E367">
        <v>0.20836599930964941</v>
      </c>
    </row>
    <row r="368" spans="1:5">
      <c r="A368" t="s">
        <v>36</v>
      </c>
      <c r="B368" t="s">
        <v>40</v>
      </c>
      <c r="C368" t="s">
        <v>6</v>
      </c>
      <c r="D368">
        <f>(AVERAGE(per_seed!$G$32:$G$41)-AVERAGE(per_seed!$G$2:$G$11))/AVERAGE(per_seed!$G$2:$G$11)*100</f>
        <v>-20.442239387835397</v>
      </c>
      <c r="E368">
        <v>-20.4422393878354</v>
      </c>
    </row>
    <row r="369" spans="1:5">
      <c r="A369" t="s">
        <v>38</v>
      </c>
      <c r="B369" t="s">
        <v>40</v>
      </c>
      <c r="C369" t="s">
        <v>6</v>
      </c>
      <c r="D369">
        <f>_xlfn.T.TEST(per_seed!$G$2:$G$11,per_seed!$G$32:$G$41,2,1)</f>
        <v>6.256553994888623E-7</v>
      </c>
      <c r="E369">
        <v>6.2565539948886305E-7</v>
      </c>
    </row>
    <row r="370" spans="1:5">
      <c r="A370" t="s">
        <v>36</v>
      </c>
      <c r="B370" t="s">
        <v>40</v>
      </c>
      <c r="C370" t="s">
        <v>7</v>
      </c>
      <c r="D370">
        <f>(AVERAGE(per_seed!$H$32:$H$41)-AVERAGE(per_seed!$H$2:$H$11))/AVERAGE(per_seed!$H$2:$H$11)*100</f>
        <v>15.138023152270716</v>
      </c>
      <c r="E370">
        <v>15.138023152270719</v>
      </c>
    </row>
    <row r="371" spans="1:5">
      <c r="A371" t="s">
        <v>38</v>
      </c>
      <c r="B371" t="s">
        <v>40</v>
      </c>
      <c r="C371" t="s">
        <v>7</v>
      </c>
      <c r="D371">
        <f>_xlfn.T.TEST(per_seed!$H$2:$H$11,per_seed!$H$32:$H$41,2,1)</f>
        <v>0.13761797628787831</v>
      </c>
      <c r="E371">
        <v>0.13761797628787861</v>
      </c>
    </row>
    <row r="372" spans="1:5">
      <c r="A372" t="s">
        <v>36</v>
      </c>
      <c r="B372" t="s">
        <v>40</v>
      </c>
      <c r="C372" t="s">
        <v>8</v>
      </c>
      <c r="D372">
        <f>(AVERAGE(per_seed!$I$32:$I$41)-AVERAGE(per_seed!$I$2:$I$11))/AVERAGE(per_seed!$I$2:$I$11)*100</f>
        <v>26.067719748746853</v>
      </c>
      <c r="E372">
        <v>26.06771974874685</v>
      </c>
    </row>
    <row r="373" spans="1:5">
      <c r="A373" t="s">
        <v>38</v>
      </c>
      <c r="B373" t="s">
        <v>40</v>
      </c>
      <c r="C373" t="s">
        <v>8</v>
      </c>
      <c r="D373">
        <f>_xlfn.T.TEST(per_seed!$I$2:$I$11,per_seed!$I$32:$I$41,2,1)</f>
        <v>1.8218531112286713E-6</v>
      </c>
      <c r="E373">
        <v>1.821853111228627E-6</v>
      </c>
    </row>
    <row r="374" spans="1:5">
      <c r="A374" t="s">
        <v>36</v>
      </c>
      <c r="B374" t="s">
        <v>40</v>
      </c>
      <c r="C374" t="s">
        <v>9</v>
      </c>
      <c r="D374">
        <f>(AVERAGE(per_seed!$J$32:$J$41)-AVERAGE(per_seed!$J$2:$J$11))/AVERAGE(per_seed!$J$2:$J$11)*100</f>
        <v>15.730550963678924</v>
      </c>
      <c r="E374">
        <v>15.73055096367894</v>
      </c>
    </row>
    <row r="375" spans="1:5">
      <c r="A375" t="s">
        <v>38</v>
      </c>
      <c r="B375" t="s">
        <v>40</v>
      </c>
      <c r="C375" t="s">
        <v>9</v>
      </c>
      <c r="D375">
        <f>_xlfn.T.TEST(per_seed!$J$2:$J$11,per_seed!$J$32:$J$41,2,1)</f>
        <v>5.8446472630902374E-5</v>
      </c>
      <c r="E375">
        <v>5.8446472630901737E-5</v>
      </c>
    </row>
    <row r="376" spans="1:5">
      <c r="A376" t="s">
        <v>36</v>
      </c>
      <c r="B376" t="s">
        <v>40</v>
      </c>
      <c r="C376" t="s">
        <v>10</v>
      </c>
      <c r="D376">
        <f>(AVERAGE(per_seed!$K$32:$K$41)-AVERAGE(per_seed!$K$2:$K$11))/AVERAGE(per_seed!$K$2:$K$11)*100</f>
        <v>15.11249526451485</v>
      </c>
      <c r="E376">
        <v>15.11249526451487</v>
      </c>
    </row>
    <row r="377" spans="1:5">
      <c r="A377" t="s">
        <v>38</v>
      </c>
      <c r="B377" t="s">
        <v>40</v>
      </c>
      <c r="C377" t="s">
        <v>10</v>
      </c>
      <c r="D377">
        <f>_xlfn.T.TEST(per_seed!$K$2:$K$11,per_seed!$K$32:$K$41,2,1)</f>
        <v>3.4041820100939667E-5</v>
      </c>
      <c r="E377">
        <v>3.4041820100939512E-5</v>
      </c>
    </row>
    <row r="378" spans="1:5">
      <c r="A378" t="s">
        <v>36</v>
      </c>
      <c r="B378" t="s">
        <v>40</v>
      </c>
      <c r="C378" t="s">
        <v>11</v>
      </c>
      <c r="D378">
        <f>(AVERAGE(per_seed!$L$32:$L$41)-AVERAGE(per_seed!$L$2:$L$11))/AVERAGE(per_seed!$L$2:$L$11)*100</f>
        <v>-28.236156360654086</v>
      </c>
      <c r="E378">
        <v>-28.236156360654089</v>
      </c>
    </row>
    <row r="379" spans="1:5">
      <c r="A379" t="s">
        <v>38</v>
      </c>
      <c r="B379" t="s">
        <v>40</v>
      </c>
      <c r="C379" t="s">
        <v>11</v>
      </c>
      <c r="D379">
        <f>_xlfn.T.TEST(per_seed!$L$2:$L$11,per_seed!$L$32:$L$41,2,1)</f>
        <v>5.6265889125235393E-6</v>
      </c>
      <c r="E379">
        <v>5.6265889125235427E-6</v>
      </c>
    </row>
    <row r="380" spans="1:5">
      <c r="A380" t="s">
        <v>36</v>
      </c>
      <c r="B380" t="s">
        <v>40</v>
      </c>
      <c r="C380" t="s">
        <v>12</v>
      </c>
      <c r="D380">
        <f>(AVERAGE(per_seed!$M$32:$M$41)-AVERAGE(per_seed!$M$2:$M$11))/AVERAGE(per_seed!$M$2:$M$11)*100</f>
        <v>746.08636539424174</v>
      </c>
      <c r="E380">
        <v>746.08636539424208</v>
      </c>
    </row>
    <row r="381" spans="1:5">
      <c r="A381" t="s">
        <v>38</v>
      </c>
      <c r="B381" t="s">
        <v>40</v>
      </c>
      <c r="C381" t="s">
        <v>12</v>
      </c>
      <c r="D381">
        <f>_xlfn.T.TEST(per_seed!$M$2:$M$11,per_seed!$M$32:$M$41,2,1)</f>
        <v>0.15105443440551369</v>
      </c>
      <c r="E381">
        <v>0.15105443440551369</v>
      </c>
    </row>
    <row r="382" spans="1:5">
      <c r="A382" t="s">
        <v>36</v>
      </c>
      <c r="B382" t="s">
        <v>41</v>
      </c>
      <c r="C382" t="s">
        <v>3</v>
      </c>
      <c r="D382">
        <f>(AVERAGE(per_seed!$D$42:$D$51)-AVERAGE(per_seed!$D$2:$D$11))/AVERAGE(per_seed!$D$2:$D$11)*100</f>
        <v>-1.9790126065215956</v>
      </c>
      <c r="E382">
        <v>-1.9790126065215961</v>
      </c>
    </row>
    <row r="383" spans="1:5">
      <c r="A383" t="s">
        <v>38</v>
      </c>
      <c r="B383" t="s">
        <v>41</v>
      </c>
      <c r="C383" t="s">
        <v>3</v>
      </c>
      <c r="D383">
        <f>_xlfn.T.TEST(per_seed!$D$2:$D$11,per_seed!$D$42:$D$51,2,1)</f>
        <v>1.9389880833457323E-4</v>
      </c>
      <c r="E383">
        <v>1.938988083345799E-4</v>
      </c>
    </row>
    <row r="384" spans="1:5">
      <c r="A384" t="s">
        <v>36</v>
      </c>
      <c r="B384" t="s">
        <v>41</v>
      </c>
      <c r="C384" t="s">
        <v>4</v>
      </c>
      <c r="D384">
        <f>(AVERAGE(per_seed!$E$42:$E$51)-AVERAGE(per_seed!$E$2:$E$11))/AVERAGE(per_seed!$E$2:$E$11)*100</f>
        <v>-2.4416023676144194</v>
      </c>
      <c r="E384">
        <v>-2.441602367614419</v>
      </c>
    </row>
    <row r="385" spans="1:5">
      <c r="A385" t="s">
        <v>38</v>
      </c>
      <c r="B385" t="s">
        <v>41</v>
      </c>
      <c r="C385" t="s">
        <v>4</v>
      </c>
      <c r="D385">
        <f>_xlfn.T.TEST(per_seed!$E$2:$E$11,per_seed!$E$42:$E$51,2,1)</f>
        <v>2.1578495284897028E-3</v>
      </c>
      <c r="E385">
        <v>2.1578495284897158E-3</v>
      </c>
    </row>
    <row r="386" spans="1:5">
      <c r="A386" t="s">
        <v>36</v>
      </c>
      <c r="B386" t="s">
        <v>41</v>
      </c>
      <c r="C386" t="s">
        <v>5</v>
      </c>
      <c r="D386">
        <f>(AVERAGE(per_seed!$F$42:$F$51)-AVERAGE(per_seed!$F$2:$F$11))/AVERAGE(per_seed!$F$2:$F$11)*100</f>
        <v>-1.3854114505091082</v>
      </c>
      <c r="E386">
        <v>-1.385411450509108</v>
      </c>
    </row>
    <row r="387" spans="1:5">
      <c r="A387" t="s">
        <v>38</v>
      </c>
      <c r="B387" t="s">
        <v>41</v>
      </c>
      <c r="C387" t="s">
        <v>5</v>
      </c>
      <c r="D387">
        <f>_xlfn.T.TEST(per_seed!$F$2:$F$11,per_seed!$F$42:$F$51,2,1)</f>
        <v>6.6238318092314133E-2</v>
      </c>
      <c r="E387">
        <v>6.6238318092316006E-2</v>
      </c>
    </row>
    <row r="388" spans="1:5">
      <c r="A388" t="s">
        <v>36</v>
      </c>
      <c r="B388" t="s">
        <v>41</v>
      </c>
      <c r="C388" t="s">
        <v>6</v>
      </c>
      <c r="D388">
        <f>(AVERAGE(per_seed!$G$42:$G$51)-AVERAGE(per_seed!$G$2:$G$11))/AVERAGE(per_seed!$G$2:$G$11)*100</f>
        <v>-17.49680966035708</v>
      </c>
      <c r="E388">
        <v>-17.49680966035708</v>
      </c>
    </row>
    <row r="389" spans="1:5">
      <c r="A389" t="s">
        <v>38</v>
      </c>
      <c r="B389" t="s">
        <v>41</v>
      </c>
      <c r="C389" t="s">
        <v>6</v>
      </c>
      <c r="D389">
        <f>_xlfn.T.TEST(per_seed!$G$2:$G$11,per_seed!$G$42:$G$51,2,1)</f>
        <v>1.3681414428434717E-8</v>
      </c>
      <c r="E389">
        <v>1.3681414428434731E-8</v>
      </c>
    </row>
    <row r="390" spans="1:5">
      <c r="A390" t="s">
        <v>36</v>
      </c>
      <c r="B390" t="s">
        <v>41</v>
      </c>
      <c r="C390" t="s">
        <v>7</v>
      </c>
      <c r="D390">
        <f>(AVERAGE(per_seed!$H$42:$H$51)-AVERAGE(per_seed!$H$2:$H$11))/AVERAGE(per_seed!$H$2:$H$11)*100</f>
        <v>19.501335707925193</v>
      </c>
      <c r="E390">
        <v>19.50133570792519</v>
      </c>
    </row>
    <row r="391" spans="1:5">
      <c r="A391" t="s">
        <v>38</v>
      </c>
      <c r="B391" t="s">
        <v>41</v>
      </c>
      <c r="C391" t="s">
        <v>7</v>
      </c>
      <c r="D391">
        <f>_xlfn.T.TEST(per_seed!$H$2:$H$11,per_seed!$H$42:$H$51,2,1)</f>
        <v>1.8047468270753674E-9</v>
      </c>
      <c r="E391">
        <v>1.8047468270753691E-9</v>
      </c>
    </row>
    <row r="392" spans="1:5">
      <c r="A392" t="s">
        <v>36</v>
      </c>
      <c r="B392" t="s">
        <v>41</v>
      </c>
      <c r="C392" t="s">
        <v>8</v>
      </c>
      <c r="D392">
        <f>(AVERAGE(per_seed!$I$42:$I$51)-AVERAGE(per_seed!$I$2:$I$11))/AVERAGE(per_seed!$I$2:$I$11)*100</f>
        <v>21.196452712937084</v>
      </c>
      <c r="E392">
        <v>21.196452712937099</v>
      </c>
    </row>
    <row r="393" spans="1:5">
      <c r="A393" t="s">
        <v>38</v>
      </c>
      <c r="B393" t="s">
        <v>41</v>
      </c>
      <c r="C393" t="s">
        <v>8</v>
      </c>
      <c r="D393">
        <f>_xlfn.T.TEST(per_seed!$I$2:$I$11,per_seed!$I$42:$I$51,2,1)</f>
        <v>1.1363031086051626E-8</v>
      </c>
      <c r="E393">
        <v>1.1363031086051879E-8</v>
      </c>
    </row>
    <row r="394" spans="1:5">
      <c r="A394" t="s">
        <v>36</v>
      </c>
      <c r="B394" t="s">
        <v>41</v>
      </c>
      <c r="C394" t="s">
        <v>9</v>
      </c>
      <c r="D394">
        <f>(AVERAGE(per_seed!$J$42:$J$51)-AVERAGE(per_seed!$J$2:$J$11))/AVERAGE(per_seed!$J$2:$J$11)*100</f>
        <v>15.726326557989696</v>
      </c>
      <c r="E394">
        <v>15.726326557989699</v>
      </c>
    </row>
    <row r="395" spans="1:5">
      <c r="A395" t="s">
        <v>38</v>
      </c>
      <c r="B395" t="s">
        <v>41</v>
      </c>
      <c r="C395" t="s">
        <v>9</v>
      </c>
      <c r="D395">
        <f>_xlfn.T.TEST(per_seed!$J$2:$J$11,per_seed!$J$42:$J$51,2,1)</f>
        <v>8.5734020005503645E-7</v>
      </c>
      <c r="E395">
        <v>8.5734020005502025E-7</v>
      </c>
    </row>
    <row r="396" spans="1:5">
      <c r="A396" t="s">
        <v>36</v>
      </c>
      <c r="B396" t="s">
        <v>41</v>
      </c>
      <c r="C396" t="s">
        <v>10</v>
      </c>
      <c r="D396">
        <f>(AVERAGE(per_seed!$K$42:$K$51)-AVERAGE(per_seed!$K$2:$K$11))/AVERAGE(per_seed!$K$2:$K$11)*100</f>
        <v>15.822127902038424</v>
      </c>
      <c r="E396">
        <v>15.822127902038419</v>
      </c>
    </row>
    <row r="397" spans="1:5">
      <c r="A397" t="s">
        <v>38</v>
      </c>
      <c r="B397" t="s">
        <v>41</v>
      </c>
      <c r="C397" t="s">
        <v>10</v>
      </c>
      <c r="D397">
        <f>_xlfn.T.TEST(per_seed!$K$2:$K$11,per_seed!$K$42:$K$51,2,1)</f>
        <v>9.5950706100035255E-7</v>
      </c>
      <c r="E397">
        <v>9.5950706100035382E-7</v>
      </c>
    </row>
    <row r="398" spans="1:5">
      <c r="A398" t="s">
        <v>36</v>
      </c>
      <c r="B398" t="s">
        <v>41</v>
      </c>
      <c r="C398" t="s">
        <v>11</v>
      </c>
      <c r="D398">
        <f>(AVERAGE(per_seed!$L$42:$L$51)-AVERAGE(per_seed!$L$2:$L$11))/AVERAGE(per_seed!$L$2:$L$11)*100</f>
        <v>-22.430146528063659</v>
      </c>
      <c r="E398">
        <v>-22.430146528063659</v>
      </c>
    </row>
    <row r="399" spans="1:5">
      <c r="A399" t="s">
        <v>38</v>
      </c>
      <c r="B399" t="s">
        <v>41</v>
      </c>
      <c r="C399" t="s">
        <v>11</v>
      </c>
      <c r="D399">
        <f>_xlfn.T.TEST(per_seed!$L$2:$L$11,per_seed!$L$42:$L$51,2,1)</f>
        <v>2.5607078549404503E-6</v>
      </c>
      <c r="E399">
        <v>2.5607078549404622E-6</v>
      </c>
    </row>
    <row r="400" spans="1:5">
      <c r="A400" t="s">
        <v>36</v>
      </c>
      <c r="B400" t="s">
        <v>41</v>
      </c>
      <c r="C400" t="s">
        <v>12</v>
      </c>
      <c r="D400">
        <f>(AVERAGE(per_seed!$M$42:$M$51)-AVERAGE(per_seed!$M$2:$M$11))/AVERAGE(per_seed!$M$2:$M$11)*100</f>
        <v>135.55513072397503</v>
      </c>
      <c r="E400">
        <v>135.55513072397511</v>
      </c>
    </row>
    <row r="401" spans="1:5">
      <c r="A401" t="s">
        <v>38</v>
      </c>
      <c r="B401" t="s">
        <v>41</v>
      </c>
      <c r="C401" t="s">
        <v>12</v>
      </c>
      <c r="D401">
        <f>_xlfn.T.TEST(per_seed!$M$2:$M$11,per_seed!$M$42:$M$51,2,1)</f>
        <v>1.7699066300730311E-4</v>
      </c>
      <c r="E401">
        <v>1.769906630073024E-4</v>
      </c>
    </row>
    <row r="402" spans="1:5">
      <c r="A402" t="s">
        <v>36</v>
      </c>
      <c r="B402" t="s">
        <v>42</v>
      </c>
      <c r="C402" t="s">
        <v>3</v>
      </c>
      <c r="D402">
        <f>(AVERAGE(per_seed!$D$52:$D$61)-AVERAGE(per_seed!$D$2:$D$11))/AVERAGE(per_seed!$D$2:$D$11)*100</f>
        <v>-2.0776110993731951</v>
      </c>
      <c r="E402">
        <v>-2.0776110993731951</v>
      </c>
    </row>
    <row r="403" spans="1:5">
      <c r="A403" t="s">
        <v>38</v>
      </c>
      <c r="B403" t="s">
        <v>42</v>
      </c>
      <c r="C403" t="s">
        <v>3</v>
      </c>
      <c r="D403">
        <f>_xlfn.T.TEST(per_seed!$D$2:$D$11,per_seed!$D$52:$D$61,2,1)</f>
        <v>2.5548990408727995E-6</v>
      </c>
      <c r="E403">
        <v>2.554899040872802E-6</v>
      </c>
    </row>
    <row r="404" spans="1:5">
      <c r="A404" t="s">
        <v>36</v>
      </c>
      <c r="B404" t="s">
        <v>42</v>
      </c>
      <c r="C404" t="s">
        <v>4</v>
      </c>
      <c r="D404">
        <f>(AVERAGE(per_seed!$E$52:$E$61)-AVERAGE(per_seed!$E$2:$E$11))/AVERAGE(per_seed!$E$2:$E$11)*100</f>
        <v>-2.2513476376704435</v>
      </c>
      <c r="E404">
        <v>-2.251347637670444</v>
      </c>
    </row>
    <row r="405" spans="1:5">
      <c r="A405" t="s">
        <v>38</v>
      </c>
      <c r="B405" t="s">
        <v>42</v>
      </c>
      <c r="C405" t="s">
        <v>4</v>
      </c>
      <c r="D405">
        <f>_xlfn.T.TEST(per_seed!$E$2:$E$11,per_seed!$E$52:$E$61,2,1)</f>
        <v>4.6638226556174316E-4</v>
      </c>
      <c r="E405">
        <v>4.6638226556175352E-4</v>
      </c>
    </row>
    <row r="406" spans="1:5">
      <c r="A406" t="s">
        <v>36</v>
      </c>
      <c r="B406" t="s">
        <v>42</v>
      </c>
      <c r="C406" t="s">
        <v>5</v>
      </c>
      <c r="D406">
        <f>(AVERAGE(per_seed!$F$52:$F$61)-AVERAGE(per_seed!$F$2:$F$11))/AVERAGE(per_seed!$F$2:$F$11)*100</f>
        <v>-1.7192455349691316</v>
      </c>
      <c r="E406">
        <v>-1.719245534969132</v>
      </c>
    </row>
    <row r="407" spans="1:5">
      <c r="A407" t="s">
        <v>38</v>
      </c>
      <c r="B407" t="s">
        <v>42</v>
      </c>
      <c r="C407" t="s">
        <v>5</v>
      </c>
      <c r="D407">
        <f>_xlfn.T.TEST(per_seed!$F$2:$F$11,per_seed!$F$52:$F$61,2,1)</f>
        <v>2.641092593975556E-2</v>
      </c>
      <c r="E407">
        <v>2.6410925939756309E-2</v>
      </c>
    </row>
    <row r="408" spans="1:5">
      <c r="A408" t="s">
        <v>36</v>
      </c>
      <c r="B408" t="s">
        <v>42</v>
      </c>
      <c r="C408" t="s">
        <v>6</v>
      </c>
      <c r="D408">
        <f>(AVERAGE(per_seed!$G$52:$G$61)-AVERAGE(per_seed!$G$2:$G$11))/AVERAGE(per_seed!$G$2:$G$11)*100</f>
        <v>-15.458212883230077</v>
      </c>
      <c r="E408">
        <v>-15.458212883230081</v>
      </c>
    </row>
    <row r="409" spans="1:5">
      <c r="A409" t="s">
        <v>38</v>
      </c>
      <c r="B409" t="s">
        <v>42</v>
      </c>
      <c r="C409" t="s">
        <v>6</v>
      </c>
      <c r="D409">
        <f>_xlfn.T.TEST(per_seed!$G$2:$G$11,per_seed!$G$52:$G$61,2,1)</f>
        <v>2.3492535345735133E-8</v>
      </c>
      <c r="E409">
        <v>2.3492535345735239E-8</v>
      </c>
    </row>
    <row r="410" spans="1:5">
      <c r="A410" t="s">
        <v>36</v>
      </c>
      <c r="B410" t="s">
        <v>42</v>
      </c>
      <c r="C410" t="s">
        <v>7</v>
      </c>
      <c r="D410">
        <f>(AVERAGE(per_seed!$H$52:$H$61)-AVERAGE(per_seed!$H$2:$H$11))/AVERAGE(per_seed!$H$2:$H$11)*100</f>
        <v>16.206589492430993</v>
      </c>
      <c r="E410">
        <v>16.206589492430989</v>
      </c>
    </row>
    <row r="411" spans="1:5">
      <c r="A411" t="s">
        <v>38</v>
      </c>
      <c r="B411" t="s">
        <v>42</v>
      </c>
      <c r="C411" t="s">
        <v>7</v>
      </c>
      <c r="D411">
        <f>_xlfn.T.TEST(per_seed!$H$2:$H$11,per_seed!$H$52:$H$61,2,1)</f>
        <v>1.0308252273747331E-9</v>
      </c>
      <c r="E411">
        <v>1.030825227374741E-9</v>
      </c>
    </row>
    <row r="412" spans="1:5">
      <c r="A412" t="s">
        <v>36</v>
      </c>
      <c r="B412" t="s">
        <v>42</v>
      </c>
      <c r="C412" t="s">
        <v>8</v>
      </c>
      <c r="D412">
        <f>(AVERAGE(per_seed!$I$52:$I$61)-AVERAGE(per_seed!$I$2:$I$11))/AVERAGE(per_seed!$I$2:$I$11)*100</f>
        <v>18.218451065246892</v>
      </c>
      <c r="E412">
        <v>18.218451065246889</v>
      </c>
    </row>
    <row r="413" spans="1:5">
      <c r="A413" t="s">
        <v>38</v>
      </c>
      <c r="B413" t="s">
        <v>42</v>
      </c>
      <c r="C413" t="s">
        <v>8</v>
      </c>
      <c r="D413">
        <f>_xlfn.T.TEST(per_seed!$I$2:$I$11,per_seed!$I$52:$I$61,2,1)</f>
        <v>8.6926431528423515E-9</v>
      </c>
      <c r="E413">
        <v>8.6926431528426079E-9</v>
      </c>
    </row>
    <row r="414" spans="1:5">
      <c r="A414" t="s">
        <v>36</v>
      </c>
      <c r="B414" t="s">
        <v>42</v>
      </c>
      <c r="C414" t="s">
        <v>9</v>
      </c>
      <c r="D414">
        <f>(AVERAGE(per_seed!$J$52:$J$61)-AVERAGE(per_seed!$J$2:$J$11))/AVERAGE(per_seed!$J$2:$J$11)*100</f>
        <v>15.505445007367346</v>
      </c>
      <c r="E414">
        <v>15.50544500736733</v>
      </c>
    </row>
    <row r="415" spans="1:5">
      <c r="A415" t="s">
        <v>38</v>
      </c>
      <c r="B415" t="s">
        <v>42</v>
      </c>
      <c r="C415" t="s">
        <v>9</v>
      </c>
      <c r="D415">
        <f>_xlfn.T.TEST(per_seed!$J$2:$J$11,per_seed!$J$52:$J$61,2,1)</f>
        <v>1.1044814244138737E-8</v>
      </c>
      <c r="E415">
        <v>1.10448142441391E-8</v>
      </c>
    </row>
    <row r="416" spans="1:5">
      <c r="A416" t="s">
        <v>36</v>
      </c>
      <c r="B416" t="s">
        <v>42</v>
      </c>
      <c r="C416" t="s">
        <v>10</v>
      </c>
      <c r="D416">
        <f>(AVERAGE(per_seed!$K$52:$K$61)-AVERAGE(per_seed!$K$2:$K$11))/AVERAGE(per_seed!$K$2:$K$11)*100</f>
        <v>15.830917363535827</v>
      </c>
      <c r="E416">
        <v>15.83091736353583</v>
      </c>
    </row>
    <row r="417" spans="1:5">
      <c r="A417" t="s">
        <v>38</v>
      </c>
      <c r="B417" t="s">
        <v>42</v>
      </c>
      <c r="C417" t="s">
        <v>10</v>
      </c>
      <c r="D417">
        <f>_xlfn.T.TEST(per_seed!$K$2:$K$11,per_seed!$K$52:$K$61,2,1)</f>
        <v>1.7135806541748262E-7</v>
      </c>
      <c r="E417">
        <v>1.713580654174831E-7</v>
      </c>
    </row>
    <row r="418" spans="1:5">
      <c r="A418" t="s">
        <v>36</v>
      </c>
      <c r="B418" t="s">
        <v>42</v>
      </c>
      <c r="C418" t="s">
        <v>11</v>
      </c>
      <c r="D418">
        <f>(AVERAGE(per_seed!$L$52:$L$61)-AVERAGE(per_seed!$L$2:$L$11))/AVERAGE(per_seed!$L$2:$L$11)*100</f>
        <v>-18.114023121576061</v>
      </c>
      <c r="E418">
        <v>-18.114023121576061</v>
      </c>
    </row>
    <row r="419" spans="1:5">
      <c r="A419" t="s">
        <v>38</v>
      </c>
      <c r="B419" t="s">
        <v>42</v>
      </c>
      <c r="C419" t="s">
        <v>11</v>
      </c>
      <c r="D419">
        <f>_xlfn.T.TEST(per_seed!$L$2:$L$11,per_seed!$L$52:$L$61,2,1)</f>
        <v>9.4255359252591581E-5</v>
      </c>
      <c r="E419">
        <v>9.4255359252591324E-5</v>
      </c>
    </row>
    <row r="420" spans="1:5">
      <c r="A420" t="s">
        <v>36</v>
      </c>
      <c r="B420" t="s">
        <v>42</v>
      </c>
      <c r="C420" t="s">
        <v>12</v>
      </c>
      <c r="D420">
        <f>(AVERAGE(per_seed!$M$52:$M$61)-AVERAGE(per_seed!$M$2:$M$11))/AVERAGE(per_seed!$M$2:$M$11)*100</f>
        <v>141.20308416285411</v>
      </c>
      <c r="E420">
        <v>141.2030841628542</v>
      </c>
    </row>
    <row r="421" spans="1:5">
      <c r="A421" t="s">
        <v>38</v>
      </c>
      <c r="B421" t="s">
        <v>42</v>
      </c>
      <c r="C421" t="s">
        <v>12</v>
      </c>
      <c r="D421">
        <f>_xlfn.T.TEST(per_seed!$M$2:$M$11,per_seed!$M$52:$M$61,2,1)</f>
        <v>2.4897870471682101E-6</v>
      </c>
      <c r="E421">
        <v>2.4897870471682169E-6</v>
      </c>
    </row>
    <row r="422" spans="1:5">
      <c r="A422" t="s">
        <v>36</v>
      </c>
      <c r="B422" t="s">
        <v>43</v>
      </c>
      <c r="C422" t="s">
        <v>3</v>
      </c>
      <c r="D422">
        <f>(AVERAGE(per_seed!$D$62:$D$71)-AVERAGE(per_seed!$D$2:$D$11))/AVERAGE(per_seed!$D$2:$D$11)*100</f>
        <v>-1.8170293682653833</v>
      </c>
      <c r="E422">
        <v>-1.8170293682653831</v>
      </c>
    </row>
    <row r="423" spans="1:5">
      <c r="A423" t="s">
        <v>38</v>
      </c>
      <c r="B423" t="s">
        <v>43</v>
      </c>
      <c r="C423" t="s">
        <v>3</v>
      </c>
      <c r="D423">
        <f>_xlfn.T.TEST(per_seed!$D$2:$D$11,per_seed!$D$62:$D$71,2,1)</f>
        <v>1.7881979409304833E-6</v>
      </c>
      <c r="E423">
        <v>1.7881979409305841E-6</v>
      </c>
    </row>
    <row r="424" spans="1:5">
      <c r="A424" t="s">
        <v>36</v>
      </c>
      <c r="B424" t="s">
        <v>43</v>
      </c>
      <c r="C424" t="s">
        <v>4</v>
      </c>
      <c r="D424">
        <f>(AVERAGE(per_seed!$E$62:$E$71)-AVERAGE(per_seed!$E$2:$E$11))/AVERAGE(per_seed!$E$2:$E$11)*100</f>
        <v>-2.0399534932882433</v>
      </c>
      <c r="E424">
        <v>-2.0399534932882428</v>
      </c>
    </row>
    <row r="425" spans="1:5">
      <c r="A425" t="s">
        <v>38</v>
      </c>
      <c r="B425" t="s">
        <v>43</v>
      </c>
      <c r="C425" t="s">
        <v>4</v>
      </c>
      <c r="D425">
        <f>_xlfn.T.TEST(per_seed!$E$2:$E$11,per_seed!$E$62:$E$71,2,1)</f>
        <v>5.6770468249946432E-4</v>
      </c>
      <c r="E425">
        <v>5.6770468249947895E-4</v>
      </c>
    </row>
    <row r="426" spans="1:5">
      <c r="A426" t="s">
        <v>36</v>
      </c>
      <c r="B426" t="s">
        <v>43</v>
      </c>
      <c r="C426" t="s">
        <v>5</v>
      </c>
      <c r="D426">
        <f>(AVERAGE(per_seed!$F$62:$F$71)-AVERAGE(per_seed!$F$2:$F$11))/AVERAGE(per_seed!$F$2:$F$11)*100</f>
        <v>-1.4521782674011092</v>
      </c>
      <c r="E426">
        <v>-1.452178267401109</v>
      </c>
    </row>
    <row r="427" spans="1:5">
      <c r="A427" t="s">
        <v>38</v>
      </c>
      <c r="B427" t="s">
        <v>43</v>
      </c>
      <c r="C427" t="s">
        <v>5</v>
      </c>
      <c r="D427">
        <f>_xlfn.T.TEST(per_seed!$F$2:$F$11,per_seed!$F$62:$F$71,2,1)</f>
        <v>6.9829197496816237E-2</v>
      </c>
      <c r="E427">
        <v>6.9829197496817375E-2</v>
      </c>
    </row>
    <row r="428" spans="1:5">
      <c r="A428" t="s">
        <v>36</v>
      </c>
      <c r="B428" t="s">
        <v>43</v>
      </c>
      <c r="C428" t="s">
        <v>6</v>
      </c>
      <c r="D428">
        <f>(AVERAGE(per_seed!$G$62:$G$71)-AVERAGE(per_seed!$G$2:$G$11))/AVERAGE(per_seed!$G$2:$G$11)*100</f>
        <v>-14.703479300443259</v>
      </c>
      <c r="E428">
        <v>-14.703479300443259</v>
      </c>
    </row>
    <row r="429" spans="1:5">
      <c r="A429" t="s">
        <v>38</v>
      </c>
      <c r="B429" t="s">
        <v>43</v>
      </c>
      <c r="C429" t="s">
        <v>6</v>
      </c>
      <c r="D429">
        <f>_xlfn.T.TEST(per_seed!$G$2:$G$11,per_seed!$G$62:$G$71,2,1)</f>
        <v>6.1746258036760845E-8</v>
      </c>
      <c r="E429">
        <v>6.1746258036761004E-8</v>
      </c>
    </row>
    <row r="430" spans="1:5">
      <c r="A430" t="s">
        <v>36</v>
      </c>
      <c r="B430" t="s">
        <v>43</v>
      </c>
      <c r="C430" t="s">
        <v>7</v>
      </c>
      <c r="D430">
        <f>(AVERAGE(per_seed!$H$62:$H$71)-AVERAGE(per_seed!$H$2:$H$11))/AVERAGE(per_seed!$H$2:$H$11)*100</f>
        <v>15.494211932324125</v>
      </c>
      <c r="E430">
        <v>15.494211932324131</v>
      </c>
    </row>
    <row r="431" spans="1:5">
      <c r="A431" t="s">
        <v>38</v>
      </c>
      <c r="B431" t="s">
        <v>43</v>
      </c>
      <c r="C431" t="s">
        <v>7</v>
      </c>
      <c r="D431">
        <f>_xlfn.T.TEST(per_seed!$H$2:$H$11,per_seed!$H$62:$H$71,2,1)</f>
        <v>6.4223368321484927E-8</v>
      </c>
      <c r="E431">
        <v>6.4223368321484755E-8</v>
      </c>
    </row>
    <row r="432" spans="1:5">
      <c r="A432" t="s">
        <v>36</v>
      </c>
      <c r="B432" t="s">
        <v>43</v>
      </c>
      <c r="C432" t="s">
        <v>8</v>
      </c>
      <c r="D432">
        <f>(AVERAGE(per_seed!$I$62:$I$71)-AVERAGE(per_seed!$I$2:$I$11))/AVERAGE(per_seed!$I$2:$I$11)*100</f>
        <v>17.170640951570686</v>
      </c>
      <c r="E432">
        <v>17.170640951570689</v>
      </c>
    </row>
    <row r="433" spans="1:5">
      <c r="A433" t="s">
        <v>38</v>
      </c>
      <c r="B433" t="s">
        <v>43</v>
      </c>
      <c r="C433" t="s">
        <v>8</v>
      </c>
      <c r="D433">
        <f>_xlfn.T.TEST(per_seed!$I$2:$I$11,per_seed!$I$62:$I$71,2,1)</f>
        <v>2.5832022064882584E-8</v>
      </c>
      <c r="E433">
        <v>2.583202206488224E-8</v>
      </c>
    </row>
    <row r="434" spans="1:5">
      <c r="A434" t="s">
        <v>36</v>
      </c>
      <c r="B434" t="s">
        <v>43</v>
      </c>
      <c r="C434" t="s">
        <v>9</v>
      </c>
      <c r="D434">
        <f>(AVERAGE(per_seed!$J$62:$J$71)-AVERAGE(per_seed!$J$2:$J$11))/AVERAGE(per_seed!$J$2:$J$11)*100</f>
        <v>15.072540141132967</v>
      </c>
      <c r="E434">
        <v>15.072540141132929</v>
      </c>
    </row>
    <row r="435" spans="1:5">
      <c r="A435" t="s">
        <v>38</v>
      </c>
      <c r="B435" t="s">
        <v>43</v>
      </c>
      <c r="C435" t="s">
        <v>9</v>
      </c>
      <c r="D435">
        <f>_xlfn.T.TEST(per_seed!$J$2:$J$11,per_seed!$J$62:$J$71,2,1)</f>
        <v>7.378418698706833E-10</v>
      </c>
      <c r="E435">
        <v>7.3784186987070502E-10</v>
      </c>
    </row>
    <row r="436" spans="1:5">
      <c r="A436" t="s">
        <v>36</v>
      </c>
      <c r="B436" t="s">
        <v>43</v>
      </c>
      <c r="C436" t="s">
        <v>10</v>
      </c>
      <c r="D436">
        <f>(AVERAGE(per_seed!$K$62:$K$71)-AVERAGE(per_seed!$K$2:$K$11))/AVERAGE(per_seed!$K$2:$K$11)*100</f>
        <v>15.340455107936679</v>
      </c>
      <c r="E436">
        <v>15.34045510793668</v>
      </c>
    </row>
    <row r="437" spans="1:5">
      <c r="A437" t="s">
        <v>38</v>
      </c>
      <c r="B437" t="s">
        <v>43</v>
      </c>
      <c r="C437" t="s">
        <v>10</v>
      </c>
      <c r="D437">
        <f>_xlfn.T.TEST(per_seed!$K$2:$K$11,per_seed!$K$62:$K$71,2,1)</f>
        <v>2.4935024665390608E-9</v>
      </c>
      <c r="E437">
        <v>2.4935024665390542E-9</v>
      </c>
    </row>
    <row r="438" spans="1:5">
      <c r="A438" t="s">
        <v>36</v>
      </c>
      <c r="B438" t="s">
        <v>43</v>
      </c>
      <c r="C438" t="s">
        <v>11</v>
      </c>
      <c r="D438">
        <f>(AVERAGE(per_seed!$L$62:$L$71)-AVERAGE(per_seed!$L$2:$L$11))/AVERAGE(per_seed!$L$2:$L$11)*100</f>
        <v>-18.503479968199681</v>
      </c>
      <c r="E438">
        <v>-18.503479968199681</v>
      </c>
    </row>
    <row r="439" spans="1:5">
      <c r="A439" t="s">
        <v>38</v>
      </c>
      <c r="B439" t="s">
        <v>43</v>
      </c>
      <c r="C439" t="s">
        <v>11</v>
      </c>
      <c r="D439">
        <f>_xlfn.T.TEST(per_seed!$L$2:$L$11,per_seed!$L$62:$L$71,2,1)</f>
        <v>1.0996419907514924E-5</v>
      </c>
      <c r="E439">
        <v>1.0996419907514949E-5</v>
      </c>
    </row>
    <row r="440" spans="1:5">
      <c r="A440" t="s">
        <v>36</v>
      </c>
      <c r="B440" t="s">
        <v>43</v>
      </c>
      <c r="C440" t="s">
        <v>12</v>
      </c>
      <c r="D440">
        <f>(AVERAGE(per_seed!$M$62:$M$71)-AVERAGE(per_seed!$M$2:$M$11))/AVERAGE(per_seed!$M$2:$M$11)*100</f>
        <v>123.52004077000593</v>
      </c>
      <c r="E440">
        <v>123.52004077000601</v>
      </c>
    </row>
    <row r="441" spans="1:5">
      <c r="A441" t="s">
        <v>38</v>
      </c>
      <c r="B441" t="s">
        <v>43</v>
      </c>
      <c r="C441" t="s">
        <v>12</v>
      </c>
      <c r="D441">
        <f>_xlfn.T.TEST(per_seed!$M$2:$M$11,per_seed!$M$62:$M$71,2,1)</f>
        <v>1.8594686988942333E-6</v>
      </c>
      <c r="E441">
        <v>1.859468698894228E-6</v>
      </c>
    </row>
    <row r="442" spans="1:5">
      <c r="A442" t="s">
        <v>36</v>
      </c>
      <c r="B442" t="s">
        <v>44</v>
      </c>
      <c r="C442" t="s">
        <v>3</v>
      </c>
      <c r="D442">
        <f>(AVERAGE(per_seed!$D$72:$D$81)-AVERAGE(per_seed!$D$2:$D$11))/AVERAGE(per_seed!$D$2:$D$11)*100</f>
        <v>-1.6691316289879601</v>
      </c>
      <c r="E442">
        <v>-1.6691316289879601</v>
      </c>
    </row>
    <row r="443" spans="1:5">
      <c r="A443" t="s">
        <v>38</v>
      </c>
      <c r="B443" t="s">
        <v>44</v>
      </c>
      <c r="C443" t="s">
        <v>3</v>
      </c>
      <c r="D443">
        <f>_xlfn.T.TEST(per_seed!$D$2:$D$11,per_seed!$D$72:$D$81,2,1)</f>
        <v>4.7840787019205492E-5</v>
      </c>
      <c r="E443">
        <v>4.7840787019206339E-5</v>
      </c>
    </row>
    <row r="444" spans="1:5">
      <c r="A444" t="s">
        <v>36</v>
      </c>
      <c r="B444" t="s">
        <v>44</v>
      </c>
      <c r="C444" t="s">
        <v>4</v>
      </c>
      <c r="D444">
        <f>(AVERAGE(per_seed!$E$72:$E$81)-AVERAGE(per_seed!$E$2:$E$11))/AVERAGE(per_seed!$E$2:$E$11)*100</f>
        <v>-1.8179896416869301</v>
      </c>
      <c r="E444">
        <v>-1.8179896416869299</v>
      </c>
    </row>
    <row r="445" spans="1:5">
      <c r="A445" t="s">
        <v>38</v>
      </c>
      <c r="B445" t="s">
        <v>44</v>
      </c>
      <c r="C445" t="s">
        <v>4</v>
      </c>
      <c r="D445">
        <f>_xlfn.T.TEST(per_seed!$E$2:$E$11,per_seed!$E$72:$E$81,2,1)</f>
        <v>3.4076254829254574E-4</v>
      </c>
      <c r="E445">
        <v>3.4076254829255078E-4</v>
      </c>
    </row>
    <row r="446" spans="1:5">
      <c r="A446" t="s">
        <v>36</v>
      </c>
      <c r="B446" t="s">
        <v>44</v>
      </c>
      <c r="C446" t="s">
        <v>5</v>
      </c>
      <c r="D446">
        <f>(AVERAGE(per_seed!$F$72:$F$81)-AVERAGE(per_seed!$F$2:$F$11))/AVERAGE(per_seed!$F$2:$F$11)*100</f>
        <v>-1.0015022533800699</v>
      </c>
      <c r="E446">
        <v>-1.0015022533800699</v>
      </c>
    </row>
    <row r="447" spans="1:5">
      <c r="A447" t="s">
        <v>38</v>
      </c>
      <c r="B447" t="s">
        <v>44</v>
      </c>
      <c r="C447" t="s">
        <v>5</v>
      </c>
      <c r="D447">
        <f>_xlfn.T.TEST(per_seed!$F$2:$F$11,per_seed!$F$72:$F$81,2,1)</f>
        <v>7.1378016210981304E-2</v>
      </c>
      <c r="E447">
        <v>7.1378016210981193E-2</v>
      </c>
    </row>
    <row r="448" spans="1:5">
      <c r="A448" t="s">
        <v>36</v>
      </c>
      <c r="B448" t="s">
        <v>44</v>
      </c>
      <c r="C448" t="s">
        <v>6</v>
      </c>
      <c r="D448">
        <f>(AVERAGE(per_seed!$G$72:$G$81)-AVERAGE(per_seed!$G$2:$G$11))/AVERAGE(per_seed!$G$2:$G$11)*100</f>
        <v>-14.161998177808787</v>
      </c>
      <c r="E448">
        <v>-14.161998177808799</v>
      </c>
    </row>
    <row r="449" spans="1:5">
      <c r="A449" t="s">
        <v>38</v>
      </c>
      <c r="B449" t="s">
        <v>44</v>
      </c>
      <c r="C449" t="s">
        <v>6</v>
      </c>
      <c r="D449">
        <f>_xlfn.T.TEST(per_seed!$G$2:$G$11,per_seed!$G$72:$G$81,2,1)</f>
        <v>3.2025376918836693E-7</v>
      </c>
      <c r="E449">
        <v>3.202537691883636E-7</v>
      </c>
    </row>
    <row r="450" spans="1:5">
      <c r="A450" t="s">
        <v>36</v>
      </c>
      <c r="B450" t="s">
        <v>44</v>
      </c>
      <c r="C450" t="s">
        <v>7</v>
      </c>
      <c r="D450">
        <f>(AVERAGE(per_seed!$H$72:$H$81)-AVERAGE(per_seed!$H$2:$H$11))/AVERAGE(per_seed!$H$2:$H$11)*100</f>
        <v>15.31611754229742</v>
      </c>
      <c r="E450">
        <v>15.31611754229742</v>
      </c>
    </row>
    <row r="451" spans="1:5">
      <c r="A451" t="s">
        <v>38</v>
      </c>
      <c r="B451" t="s">
        <v>44</v>
      </c>
      <c r="C451" t="s">
        <v>7</v>
      </c>
      <c r="D451">
        <f>_xlfn.T.TEST(per_seed!$H$2:$H$11,per_seed!$H$72:$H$81,2,1)</f>
        <v>2.4741875023224833E-8</v>
      </c>
      <c r="E451">
        <v>2.474187502322486E-8</v>
      </c>
    </row>
    <row r="452" spans="1:5">
      <c r="A452" t="s">
        <v>36</v>
      </c>
      <c r="B452" t="s">
        <v>44</v>
      </c>
      <c r="C452" t="s">
        <v>8</v>
      </c>
      <c r="D452">
        <f>(AVERAGE(per_seed!$I$72:$I$81)-AVERAGE(per_seed!$I$2:$I$11))/AVERAGE(per_seed!$I$2:$I$11)*100</f>
        <v>16.450832707709363</v>
      </c>
      <c r="E452">
        <v>16.450832707709349</v>
      </c>
    </row>
    <row r="453" spans="1:5">
      <c r="A453" t="s">
        <v>38</v>
      </c>
      <c r="B453" t="s">
        <v>44</v>
      </c>
      <c r="C453" t="s">
        <v>8</v>
      </c>
      <c r="D453">
        <f>_xlfn.T.TEST(per_seed!$I$2:$I$11,per_seed!$I$72:$I$81,2,1)</f>
        <v>1.9895389981392277E-7</v>
      </c>
      <c r="E453">
        <v>1.989538998139237E-7</v>
      </c>
    </row>
    <row r="454" spans="1:5">
      <c r="A454" t="s">
        <v>36</v>
      </c>
      <c r="B454" t="s">
        <v>44</v>
      </c>
      <c r="C454" t="s">
        <v>9</v>
      </c>
      <c r="D454">
        <f>(AVERAGE(per_seed!$J$72:$J$81)-AVERAGE(per_seed!$J$2:$J$11))/AVERAGE(per_seed!$J$2:$J$11)*100</f>
        <v>16.586685542706029</v>
      </c>
      <c r="E454">
        <v>16.586685542706029</v>
      </c>
    </row>
    <row r="455" spans="1:5">
      <c r="A455" t="s">
        <v>38</v>
      </c>
      <c r="B455" t="s">
        <v>44</v>
      </c>
      <c r="C455" t="s">
        <v>9</v>
      </c>
      <c r="D455">
        <f>_xlfn.T.TEST(per_seed!$J$2:$J$11,per_seed!$J$72:$J$81,2,1)</f>
        <v>8.9566327679534526E-10</v>
      </c>
      <c r="E455">
        <v>8.9566327679533978E-10</v>
      </c>
    </row>
    <row r="456" spans="1:5">
      <c r="A456" t="s">
        <v>36</v>
      </c>
      <c r="B456" t="s">
        <v>44</v>
      </c>
      <c r="C456" t="s">
        <v>10</v>
      </c>
      <c r="D456">
        <f>(AVERAGE(per_seed!$K$72:$K$81)-AVERAGE(per_seed!$K$2:$K$11))/AVERAGE(per_seed!$K$2:$K$11)*100</f>
        <v>16.474735342387355</v>
      </c>
      <c r="E456">
        <v>16.474735342387351</v>
      </c>
    </row>
    <row r="457" spans="1:5">
      <c r="A457" t="s">
        <v>38</v>
      </c>
      <c r="B457" t="s">
        <v>44</v>
      </c>
      <c r="C457" t="s">
        <v>10</v>
      </c>
      <c r="D457">
        <f>_xlfn.T.TEST(per_seed!$K$2:$K$11,per_seed!$K$72:$K$81,2,1)</f>
        <v>1.3144262683715586E-9</v>
      </c>
      <c r="E457">
        <v>1.3144262683715551E-9</v>
      </c>
    </row>
    <row r="458" spans="1:5">
      <c r="A458" t="s">
        <v>36</v>
      </c>
      <c r="B458" t="s">
        <v>44</v>
      </c>
      <c r="C458" t="s">
        <v>11</v>
      </c>
      <c r="D458">
        <f>(AVERAGE(per_seed!$L$72:$L$81)-AVERAGE(per_seed!$L$2:$L$11))/AVERAGE(per_seed!$L$2:$L$11)*100</f>
        <v>-19.940404543210281</v>
      </c>
      <c r="E458">
        <v>-19.940404543210281</v>
      </c>
    </row>
    <row r="459" spans="1:5">
      <c r="A459" t="s">
        <v>38</v>
      </c>
      <c r="B459" t="s">
        <v>44</v>
      </c>
      <c r="C459" t="s">
        <v>11</v>
      </c>
      <c r="D459">
        <f>_xlfn.T.TEST(per_seed!$L$2:$L$11,per_seed!$L$72:$L$81,2,1)</f>
        <v>2.7644046945078534E-8</v>
      </c>
      <c r="E459">
        <v>2.7644046945078759E-8</v>
      </c>
    </row>
    <row r="460" spans="1:5">
      <c r="A460" t="s">
        <v>36</v>
      </c>
      <c r="B460" t="s">
        <v>44</v>
      </c>
      <c r="C460" t="s">
        <v>12</v>
      </c>
      <c r="D460">
        <f>(AVERAGE(per_seed!$M$72:$M$81)-AVERAGE(per_seed!$M$2:$M$11))/AVERAGE(per_seed!$M$2:$M$11)*100</f>
        <v>112.5979736063927</v>
      </c>
      <c r="E460">
        <v>112.5979736063928</v>
      </c>
    </row>
    <row r="461" spans="1:5">
      <c r="A461" t="s">
        <v>38</v>
      </c>
      <c r="B461" t="s">
        <v>44</v>
      </c>
      <c r="C461" t="s">
        <v>12</v>
      </c>
      <c r="D461">
        <f>_xlfn.T.TEST(per_seed!$M$2:$M$11,per_seed!$M$72:$M$81,2,1)</f>
        <v>5.0110424367900791E-5</v>
      </c>
      <c r="E461">
        <v>5.0110424367900608E-5</v>
      </c>
    </row>
    <row r="462" spans="1:5">
      <c r="A462" t="s">
        <v>36</v>
      </c>
      <c r="B462" t="s">
        <v>45</v>
      </c>
      <c r="C462" t="s">
        <v>3</v>
      </c>
      <c r="D462">
        <f>(AVERAGE(per_seed!$D$92:$D$101)-AVERAGE(per_seed!$D$82:$D$91))/AVERAGE(per_seed!$D$82:$D$91)*100</f>
        <v>-34.408903198712117</v>
      </c>
      <c r="E462">
        <v>-34.408903198712117</v>
      </c>
    </row>
    <row r="463" spans="1:5">
      <c r="A463" t="s">
        <v>38</v>
      </c>
      <c r="B463" t="s">
        <v>45</v>
      </c>
      <c r="C463" t="s">
        <v>3</v>
      </c>
      <c r="D463">
        <f>_xlfn.T.TEST(per_seed!$D$82:$D$91,per_seed!$D$92:$D$101,2,1)</f>
        <v>4.4525492371680674E-3</v>
      </c>
      <c r="E463">
        <v>4.4525492371680674E-3</v>
      </c>
    </row>
    <row r="464" spans="1:5">
      <c r="A464" t="s">
        <v>36</v>
      </c>
      <c r="B464" t="s">
        <v>45</v>
      </c>
      <c r="C464" t="s">
        <v>4</v>
      </c>
      <c r="D464">
        <f>(AVERAGE(per_seed!$E$92:$E$101)-AVERAGE(per_seed!$E$82:$E$91))/AVERAGE(per_seed!$E$82:$E$91)*100</f>
        <v>-33.469859273261918</v>
      </c>
      <c r="E464">
        <v>-33.469859273261918</v>
      </c>
    </row>
    <row r="465" spans="1:5">
      <c r="A465" t="s">
        <v>38</v>
      </c>
      <c r="B465" t="s">
        <v>45</v>
      </c>
      <c r="C465" t="s">
        <v>4</v>
      </c>
      <c r="D465">
        <f>_xlfn.T.TEST(per_seed!$E$82:$E$91,per_seed!$E$92:$E$101,2,1)</f>
        <v>4.8284425281022933E-3</v>
      </c>
      <c r="E465">
        <v>4.8284425281022959E-3</v>
      </c>
    </row>
    <row r="466" spans="1:5">
      <c r="A466" t="s">
        <v>36</v>
      </c>
      <c r="B466" t="s">
        <v>45</v>
      </c>
      <c r="C466" t="s">
        <v>5</v>
      </c>
      <c r="D466">
        <f>(AVERAGE(per_seed!$F$92:$F$101)-AVERAGE(per_seed!$F$82:$F$91))/AVERAGE(per_seed!$F$82:$F$91)*100</f>
        <v>-32.808616404308196</v>
      </c>
      <c r="E466">
        <v>-32.808616404308196</v>
      </c>
    </row>
    <row r="467" spans="1:5">
      <c r="A467" t="s">
        <v>38</v>
      </c>
      <c r="B467" t="s">
        <v>45</v>
      </c>
      <c r="C467" t="s">
        <v>5</v>
      </c>
      <c r="D467">
        <f>_xlfn.T.TEST(per_seed!$F$82:$F$91,per_seed!$F$92:$F$101,2,1)</f>
        <v>6.3909691077552551E-3</v>
      </c>
      <c r="E467">
        <v>6.3909691077552516E-3</v>
      </c>
    </row>
    <row r="468" spans="1:5">
      <c r="A468" t="s">
        <v>36</v>
      </c>
      <c r="B468" t="s">
        <v>45</v>
      </c>
      <c r="C468" t="s">
        <v>6</v>
      </c>
      <c r="D468">
        <f>(AVERAGE(per_seed!$G$92:$G$101)-AVERAGE(per_seed!$G$82:$G$91))/AVERAGE(per_seed!$G$82:$G$91)*100</f>
        <v>-11.303897106218963</v>
      </c>
      <c r="E468">
        <v>-11.303897106218949</v>
      </c>
    </row>
    <row r="469" spans="1:5">
      <c r="A469" t="s">
        <v>38</v>
      </c>
      <c r="B469" t="s">
        <v>45</v>
      </c>
      <c r="C469" t="s">
        <v>6</v>
      </c>
      <c r="D469">
        <f>_xlfn.T.TEST(per_seed!$G$82:$G$91,per_seed!$G$92:$G$101,2,1)</f>
        <v>1.5874238766178158E-2</v>
      </c>
      <c r="E469">
        <v>1.5874238766178231E-2</v>
      </c>
    </row>
    <row r="470" spans="1:5">
      <c r="A470" t="s">
        <v>36</v>
      </c>
      <c r="B470" t="s">
        <v>45</v>
      </c>
      <c r="C470" t="s">
        <v>7</v>
      </c>
      <c r="D470">
        <f>(AVERAGE(per_seed!$H$92:$H$101)-AVERAGE(per_seed!$H$82:$H$91))/AVERAGE(per_seed!$H$82:$H$91)*100</f>
        <v>-20.169491525423727</v>
      </c>
      <c r="E470">
        <v>-20.16949152542373</v>
      </c>
    </row>
    <row r="471" spans="1:5">
      <c r="A471" t="s">
        <v>38</v>
      </c>
      <c r="B471" t="s">
        <v>45</v>
      </c>
      <c r="C471" t="s">
        <v>7</v>
      </c>
      <c r="D471">
        <f>_xlfn.T.TEST(per_seed!$H$82:$H$91,per_seed!$H$92:$H$101,2,1)</f>
        <v>0.15572815167424578</v>
      </c>
      <c r="E471">
        <v>0.1557281516742457</v>
      </c>
    </row>
    <row r="472" spans="1:5">
      <c r="A472" t="s">
        <v>36</v>
      </c>
      <c r="B472" t="s">
        <v>45</v>
      </c>
      <c r="C472" t="s">
        <v>8</v>
      </c>
      <c r="D472">
        <f>(AVERAGE(per_seed!$I$92:$I$101)-AVERAGE(per_seed!$I$82:$I$91))/AVERAGE(per_seed!$I$82:$I$91)*100</f>
        <v>14.123272947044827</v>
      </c>
      <c r="E472">
        <v>14.12327294704483</v>
      </c>
    </row>
    <row r="473" spans="1:5">
      <c r="A473" t="s">
        <v>38</v>
      </c>
      <c r="B473" t="s">
        <v>45</v>
      </c>
      <c r="C473" t="s">
        <v>8</v>
      </c>
      <c r="D473">
        <f>_xlfn.T.TEST(per_seed!$I$82:$I$91,per_seed!$I$92:$I$101,2,1)</f>
        <v>1.3568936772189896E-2</v>
      </c>
      <c r="E473">
        <v>1.356893677218993E-2</v>
      </c>
    </row>
    <row r="474" spans="1:5">
      <c r="A474" t="s">
        <v>36</v>
      </c>
      <c r="B474" t="s">
        <v>45</v>
      </c>
      <c r="C474" t="s">
        <v>9</v>
      </c>
      <c r="D474">
        <f>(AVERAGE(per_seed!$J$92:$J$101)-AVERAGE(per_seed!$J$82:$J$91))/AVERAGE(per_seed!$J$82:$J$91)*100</f>
        <v>3.2155615551426506</v>
      </c>
      <c r="E474">
        <v>3.2155615551425991</v>
      </c>
    </row>
    <row r="475" spans="1:5">
      <c r="A475" t="s">
        <v>38</v>
      </c>
      <c r="B475" t="s">
        <v>45</v>
      </c>
      <c r="C475" t="s">
        <v>9</v>
      </c>
      <c r="D475">
        <f>_xlfn.T.TEST(per_seed!$J$82:$J$91,per_seed!$J$92:$J$101,2,1)</f>
        <v>0.56096855230576492</v>
      </c>
      <c r="E475">
        <v>0.56096855230577003</v>
      </c>
    </row>
    <row r="476" spans="1:5">
      <c r="A476" t="s">
        <v>36</v>
      </c>
      <c r="B476" t="s">
        <v>45</v>
      </c>
      <c r="C476" t="s">
        <v>10</v>
      </c>
      <c r="D476">
        <f>(AVERAGE(per_seed!$K$92:$K$101)-AVERAGE(per_seed!$K$82:$K$91))/AVERAGE(per_seed!$K$82:$K$91)*100</f>
        <v>3.4020918691611821</v>
      </c>
      <c r="E476">
        <v>3.4020918691611821</v>
      </c>
    </row>
    <row r="477" spans="1:5">
      <c r="A477" t="s">
        <v>38</v>
      </c>
      <c r="B477" t="s">
        <v>45</v>
      </c>
      <c r="C477" t="s">
        <v>10</v>
      </c>
      <c r="D477">
        <f>_xlfn.T.TEST(per_seed!$K$82:$K$91,per_seed!$K$92:$K$101,2,1)</f>
        <v>0.48866725504473096</v>
      </c>
      <c r="E477">
        <v>0.4886672550447313</v>
      </c>
    </row>
    <row r="478" spans="1:5">
      <c r="A478" t="s">
        <v>36</v>
      </c>
      <c r="B478" t="s">
        <v>45</v>
      </c>
      <c r="C478" t="s">
        <v>11</v>
      </c>
      <c r="D478">
        <f>(AVERAGE(per_seed!$L$92:$L$101)-AVERAGE(per_seed!$L$82:$L$91))/AVERAGE(per_seed!$L$82:$L$91)*100</f>
        <v>-32.084062059321283</v>
      </c>
      <c r="E478">
        <v>-32.084062059321283</v>
      </c>
    </row>
    <row r="479" spans="1:5">
      <c r="A479" t="s">
        <v>38</v>
      </c>
      <c r="B479" t="s">
        <v>45</v>
      </c>
      <c r="C479" t="s">
        <v>11</v>
      </c>
      <c r="D479">
        <f>_xlfn.T.TEST(per_seed!$L$82:$L$91,per_seed!$L$92:$L$101,2,1)</f>
        <v>2.719975981825539E-5</v>
      </c>
      <c r="E479">
        <v>2.7199759818255262E-5</v>
      </c>
    </row>
    <row r="480" spans="1:5">
      <c r="A480" t="s">
        <v>36</v>
      </c>
      <c r="B480" t="s">
        <v>45</v>
      </c>
      <c r="C480" t="s">
        <v>12</v>
      </c>
      <c r="D480">
        <f>(AVERAGE(per_seed!$M$92:$M$101)-AVERAGE(per_seed!$M$82:$M$91))/AVERAGE(per_seed!$M$82:$M$91)*100</f>
        <v>3984.1015646201968</v>
      </c>
      <c r="E480">
        <v>3984.1015646201959</v>
      </c>
    </row>
    <row r="481" spans="1:5">
      <c r="A481" t="s">
        <v>38</v>
      </c>
      <c r="B481" t="s">
        <v>45</v>
      </c>
      <c r="C481" t="s">
        <v>12</v>
      </c>
      <c r="D481">
        <f>_xlfn.T.TEST(per_seed!$M$82:$M$91,per_seed!$M$92:$M$101,2,1)</f>
        <v>4.4490358886584277E-3</v>
      </c>
      <c r="E481">
        <v>4.4490358886584347E-3</v>
      </c>
    </row>
    <row r="482" spans="1:5">
      <c r="A482" t="s">
        <v>36</v>
      </c>
      <c r="B482" t="s">
        <v>46</v>
      </c>
      <c r="C482" t="s">
        <v>3</v>
      </c>
      <c r="D482">
        <f>(AVERAGE(per_seed!$D$102:$D$111)-AVERAGE(per_seed!$D$82:$D$91))/AVERAGE(per_seed!$D$82:$D$91)*100</f>
        <v>-8.3782459578637951</v>
      </c>
      <c r="E482">
        <v>-8.3782459578637951</v>
      </c>
    </row>
    <row r="483" spans="1:5">
      <c r="A483" t="s">
        <v>38</v>
      </c>
      <c r="B483" t="s">
        <v>46</v>
      </c>
      <c r="C483" t="s">
        <v>3</v>
      </c>
      <c r="D483">
        <f>_xlfn.T.TEST(per_seed!$D$82:$D$91,per_seed!$D$102:$D$111,2,1)</f>
        <v>1.5075176682456783E-2</v>
      </c>
      <c r="E483">
        <v>1.507517668245683E-2</v>
      </c>
    </row>
    <row r="484" spans="1:5">
      <c r="A484" t="s">
        <v>36</v>
      </c>
      <c r="B484" t="s">
        <v>46</v>
      </c>
      <c r="C484" t="s">
        <v>4</v>
      </c>
      <c r="D484">
        <f>(AVERAGE(per_seed!$E$102:$E$111)-AVERAGE(per_seed!$E$82:$E$91))/AVERAGE(per_seed!$E$82:$E$91)*100</f>
        <v>-9.7353497164461285</v>
      </c>
      <c r="E484">
        <v>-9.7353497164461285</v>
      </c>
    </row>
    <row r="485" spans="1:5">
      <c r="A485" t="s">
        <v>38</v>
      </c>
      <c r="B485" t="s">
        <v>46</v>
      </c>
      <c r="C485" t="s">
        <v>4</v>
      </c>
      <c r="D485">
        <f>_xlfn.T.TEST(per_seed!$E$82:$E$91,per_seed!$E$102:$E$111,2,1)</f>
        <v>4.4327312723821096E-3</v>
      </c>
      <c r="E485">
        <v>4.4327312723821174E-3</v>
      </c>
    </row>
    <row r="486" spans="1:5">
      <c r="A486" t="s">
        <v>36</v>
      </c>
      <c r="B486" t="s">
        <v>46</v>
      </c>
      <c r="C486" t="s">
        <v>5</v>
      </c>
      <c r="D486">
        <f>(AVERAGE(per_seed!$F$102:$F$111)-AVERAGE(per_seed!$F$82:$F$91))/AVERAGE(per_seed!$F$82:$F$91)*100</f>
        <v>-7.7050538525269259</v>
      </c>
      <c r="E486">
        <v>-7.7050538525269259</v>
      </c>
    </row>
    <row r="487" spans="1:5">
      <c r="A487" t="s">
        <v>38</v>
      </c>
      <c r="B487" t="s">
        <v>46</v>
      </c>
      <c r="C487" t="s">
        <v>5</v>
      </c>
      <c r="D487">
        <f>_xlfn.T.TEST(per_seed!$F$82:$F$91,per_seed!$F$102:$F$111,2,1)</f>
        <v>2.4494894979533614E-2</v>
      </c>
      <c r="E487">
        <v>2.44948949795336E-2</v>
      </c>
    </row>
    <row r="488" spans="1:5">
      <c r="A488" t="s">
        <v>36</v>
      </c>
      <c r="B488" t="s">
        <v>46</v>
      </c>
      <c r="C488" t="s">
        <v>6</v>
      </c>
      <c r="D488">
        <f>(AVERAGE(per_seed!$G$102:$G$111)-AVERAGE(per_seed!$G$82:$G$91))/AVERAGE(per_seed!$G$82:$G$91)*100</f>
        <v>-31.774612283698573</v>
      </c>
      <c r="E488">
        <v>-31.774612283698559</v>
      </c>
    </row>
    <row r="489" spans="1:5">
      <c r="A489" t="s">
        <v>38</v>
      </c>
      <c r="B489" t="s">
        <v>46</v>
      </c>
      <c r="C489" t="s">
        <v>6</v>
      </c>
      <c r="D489">
        <f>_xlfn.T.TEST(per_seed!$G$82:$G$91,per_seed!$G$102:$G$111,2,1)</f>
        <v>1.3306609243873801E-8</v>
      </c>
      <c r="E489">
        <v>1.330660924387376E-8</v>
      </c>
    </row>
    <row r="490" spans="1:5">
      <c r="A490" t="s">
        <v>36</v>
      </c>
      <c r="B490" t="s">
        <v>46</v>
      </c>
      <c r="C490" t="s">
        <v>7</v>
      </c>
      <c r="D490">
        <f>(AVERAGE(per_seed!$H$102:$H$111)-AVERAGE(per_seed!$H$82:$H$91))/AVERAGE(per_seed!$H$82:$H$91)*100</f>
        <v>35.50847457627119</v>
      </c>
      <c r="E490">
        <v>35.50847457627119</v>
      </c>
    </row>
    <row r="491" spans="1:5">
      <c r="A491" t="s">
        <v>38</v>
      </c>
      <c r="B491" t="s">
        <v>46</v>
      </c>
      <c r="C491" t="s">
        <v>7</v>
      </c>
      <c r="D491">
        <f>_xlfn.T.TEST(per_seed!$H$82:$H$91,per_seed!$H$102:$H$111,2,1)</f>
        <v>2.108159236272046E-5</v>
      </c>
      <c r="E491">
        <v>2.1081592362720511E-5</v>
      </c>
    </row>
    <row r="492" spans="1:5">
      <c r="A492" t="s">
        <v>36</v>
      </c>
      <c r="B492" t="s">
        <v>46</v>
      </c>
      <c r="C492" t="s">
        <v>8</v>
      </c>
      <c r="D492">
        <f>(AVERAGE(per_seed!$I$102:$I$111)-AVERAGE(per_seed!$I$82:$I$91))/AVERAGE(per_seed!$I$82:$I$91)*100</f>
        <v>46.874553628913553</v>
      </c>
      <c r="E492">
        <v>46.874553628913553</v>
      </c>
    </row>
    <row r="493" spans="1:5">
      <c r="A493" t="s">
        <v>38</v>
      </c>
      <c r="B493" t="s">
        <v>46</v>
      </c>
      <c r="C493" t="s">
        <v>8</v>
      </c>
      <c r="D493">
        <f>_xlfn.T.TEST(per_seed!$I$82:$I$91,per_seed!$I$102:$I$111,2,1)</f>
        <v>8.1304459007903355E-8</v>
      </c>
      <c r="E493">
        <v>8.1304459007904877E-8</v>
      </c>
    </row>
    <row r="494" spans="1:5">
      <c r="A494" t="s">
        <v>36</v>
      </c>
      <c r="B494" t="s">
        <v>46</v>
      </c>
      <c r="C494" t="s">
        <v>9</v>
      </c>
      <c r="D494">
        <f>(AVERAGE(per_seed!$J$102:$J$111)-AVERAGE(per_seed!$J$82:$J$91))/AVERAGE(per_seed!$J$82:$J$91)*100</f>
        <v>28.892715418679593</v>
      </c>
      <c r="E494">
        <v>28.892715418679568</v>
      </c>
    </row>
    <row r="495" spans="1:5">
      <c r="A495" t="s">
        <v>38</v>
      </c>
      <c r="B495" t="s">
        <v>46</v>
      </c>
      <c r="C495" t="s">
        <v>9</v>
      </c>
      <c r="D495">
        <f>_xlfn.T.TEST(per_seed!$J$82:$J$91,per_seed!$J$102:$J$111,2,1)</f>
        <v>1.268963080010363E-8</v>
      </c>
      <c r="E495">
        <v>1.2689630800103549E-8</v>
      </c>
    </row>
    <row r="496" spans="1:5">
      <c r="A496" t="s">
        <v>36</v>
      </c>
      <c r="B496" t="s">
        <v>46</v>
      </c>
      <c r="C496" t="s">
        <v>10</v>
      </c>
      <c r="D496">
        <f>(AVERAGE(per_seed!$K$102:$K$111)-AVERAGE(per_seed!$K$82:$K$91))/AVERAGE(per_seed!$K$82:$K$91)*100</f>
        <v>28.678302587727948</v>
      </c>
      <c r="E496">
        <v>28.678302587727931</v>
      </c>
    </row>
    <row r="497" spans="1:5">
      <c r="A497" t="s">
        <v>38</v>
      </c>
      <c r="B497" t="s">
        <v>46</v>
      </c>
      <c r="C497" t="s">
        <v>10</v>
      </c>
      <c r="D497">
        <f>_xlfn.T.TEST(per_seed!$K$82:$K$91,per_seed!$K$102:$K$111,2,1)</f>
        <v>2.5210800232975753E-8</v>
      </c>
      <c r="E497">
        <v>2.5210800232976051E-8</v>
      </c>
    </row>
    <row r="498" spans="1:5">
      <c r="A498" t="s">
        <v>36</v>
      </c>
      <c r="B498" t="s">
        <v>46</v>
      </c>
      <c r="C498" t="s">
        <v>11</v>
      </c>
      <c r="D498">
        <f>(AVERAGE(per_seed!$L$102:$L$111)-AVERAGE(per_seed!$L$82:$L$91))/AVERAGE(per_seed!$L$82:$L$91)*100</f>
        <v>-27.329760225894873</v>
      </c>
      <c r="E498">
        <v>-27.329760225894869</v>
      </c>
    </row>
    <row r="499" spans="1:5">
      <c r="A499" t="s">
        <v>38</v>
      </c>
      <c r="B499" t="s">
        <v>46</v>
      </c>
      <c r="C499" t="s">
        <v>11</v>
      </c>
      <c r="D499">
        <f>_xlfn.T.TEST(per_seed!$L$82:$L$91,per_seed!$L$102:$L$111,2,1)</f>
        <v>1.8686490256362897E-6</v>
      </c>
      <c r="E499">
        <v>1.868649025636281E-6</v>
      </c>
    </row>
    <row r="500" spans="1:5">
      <c r="A500" t="s">
        <v>36</v>
      </c>
      <c r="B500" t="s">
        <v>46</v>
      </c>
      <c r="C500" t="s">
        <v>12</v>
      </c>
      <c r="D500">
        <f>(AVERAGE(per_seed!$M$102:$M$111)-AVERAGE(per_seed!$M$82:$M$91))/AVERAGE(per_seed!$M$82:$M$91)*100</f>
        <v>968.78020613441402</v>
      </c>
      <c r="E500">
        <v>968.78020613441402</v>
      </c>
    </row>
    <row r="501" spans="1:5">
      <c r="A501" t="s">
        <v>38</v>
      </c>
      <c r="B501" t="s">
        <v>46</v>
      </c>
      <c r="C501" t="s">
        <v>12</v>
      </c>
      <c r="D501">
        <f>_xlfn.T.TEST(per_seed!$M$82:$M$91,per_seed!$M$102:$M$111,2,1)</f>
        <v>1.5177201885177263E-2</v>
      </c>
      <c r="E501">
        <v>1.517720188517728E-2</v>
      </c>
    </row>
    <row r="502" spans="1:5">
      <c r="A502" t="s">
        <v>36</v>
      </c>
      <c r="B502" t="s">
        <v>47</v>
      </c>
      <c r="C502" t="s">
        <v>3</v>
      </c>
      <c r="D502">
        <f>(AVERAGE(per_seed!$D$112:$D$121)-AVERAGE(per_seed!$D$82:$D$91))/AVERAGE(per_seed!$D$82:$D$91)*100</f>
        <v>-1.8058374746272803</v>
      </c>
      <c r="E502">
        <v>-1.8058374746272801</v>
      </c>
    </row>
    <row r="503" spans="1:5">
      <c r="A503" t="s">
        <v>38</v>
      </c>
      <c r="B503" t="s">
        <v>47</v>
      </c>
      <c r="C503" t="s">
        <v>3</v>
      </c>
      <c r="D503">
        <f>_xlfn.T.TEST(per_seed!$D$82:$D$91,per_seed!$D$112:$D$121,2,1)</f>
        <v>7.9862205877133494E-4</v>
      </c>
      <c r="E503">
        <v>7.9862205877132485E-4</v>
      </c>
    </row>
    <row r="504" spans="1:5">
      <c r="A504" t="s">
        <v>36</v>
      </c>
      <c r="B504" t="s">
        <v>47</v>
      </c>
      <c r="C504" t="s">
        <v>4</v>
      </c>
      <c r="D504">
        <f>(AVERAGE(per_seed!$E$112:$E$121)-AVERAGE(per_seed!$E$82:$E$91))/AVERAGE(per_seed!$E$82:$E$91)*100</f>
        <v>-3.0455786599453893</v>
      </c>
      <c r="E504">
        <v>-3.0455786599453889</v>
      </c>
    </row>
    <row r="505" spans="1:5">
      <c r="A505" t="s">
        <v>38</v>
      </c>
      <c r="B505" t="s">
        <v>47</v>
      </c>
      <c r="C505" t="s">
        <v>4</v>
      </c>
      <c r="D505">
        <f>_xlfn.T.TEST(per_seed!$E$82:$E$91,per_seed!$E$112:$E$121,2,1)</f>
        <v>3.7404692481078992E-5</v>
      </c>
      <c r="E505">
        <v>3.7404692481079101E-5</v>
      </c>
    </row>
    <row r="506" spans="1:5">
      <c r="A506" t="s">
        <v>36</v>
      </c>
      <c r="B506" t="s">
        <v>47</v>
      </c>
      <c r="C506" t="s">
        <v>5</v>
      </c>
      <c r="D506">
        <f>(AVERAGE(per_seed!$F$112:$F$121)-AVERAGE(per_seed!$F$82:$F$91))/AVERAGE(per_seed!$F$82:$F$91)*100</f>
        <v>-2.3198011599005799</v>
      </c>
      <c r="E506">
        <v>-2.3198011599005799</v>
      </c>
    </row>
    <row r="507" spans="1:5">
      <c r="A507" t="s">
        <v>38</v>
      </c>
      <c r="B507" t="s">
        <v>47</v>
      </c>
      <c r="C507" t="s">
        <v>5</v>
      </c>
      <c r="D507">
        <f>_xlfn.T.TEST(per_seed!$F$82:$F$91,per_seed!$F$112:$F$121,2,1)</f>
        <v>2.9058069387355519E-3</v>
      </c>
      <c r="E507">
        <v>2.905806938735551E-3</v>
      </c>
    </row>
    <row r="508" spans="1:5">
      <c r="A508" t="s">
        <v>36</v>
      </c>
      <c r="B508" t="s">
        <v>47</v>
      </c>
      <c r="C508" t="s">
        <v>6</v>
      </c>
      <c r="D508">
        <f>(AVERAGE(per_seed!$G$112:$G$121)-AVERAGE(per_seed!$G$82:$G$91))/AVERAGE(per_seed!$G$82:$G$91)*100</f>
        <v>-36.832271899233263</v>
      </c>
      <c r="E508">
        <v>-36.832271899233263</v>
      </c>
    </row>
    <row r="509" spans="1:5">
      <c r="A509" t="s">
        <v>38</v>
      </c>
      <c r="B509" t="s">
        <v>47</v>
      </c>
      <c r="C509" t="s">
        <v>6</v>
      </c>
      <c r="D509">
        <f>_xlfn.T.TEST(per_seed!$G$82:$G$91,per_seed!$G$112:$G$121,2,1)</f>
        <v>3.8759211032724474E-10</v>
      </c>
      <c r="E509">
        <v>3.8759211032724779E-10</v>
      </c>
    </row>
    <row r="510" spans="1:5">
      <c r="A510" t="s">
        <v>36</v>
      </c>
      <c r="B510" t="s">
        <v>47</v>
      </c>
      <c r="C510" t="s">
        <v>7</v>
      </c>
      <c r="D510">
        <f>(AVERAGE(per_seed!$H$112:$H$121)-AVERAGE(per_seed!$H$82:$H$91))/AVERAGE(per_seed!$H$82:$H$91)*100</f>
        <v>54.66101694915254</v>
      </c>
      <c r="E510">
        <v>54.66101694915254</v>
      </c>
    </row>
    <row r="511" spans="1:5">
      <c r="A511" t="s">
        <v>38</v>
      </c>
      <c r="B511" t="s">
        <v>47</v>
      </c>
      <c r="C511" t="s">
        <v>7</v>
      </c>
      <c r="D511">
        <f>_xlfn.T.TEST(per_seed!$H$82:$H$91,per_seed!$H$112:$H$121,2,1)</f>
        <v>3.0146397968647571E-10</v>
      </c>
      <c r="E511">
        <v>3.0146397968647602E-10</v>
      </c>
    </row>
    <row r="512" spans="1:5">
      <c r="A512" t="s">
        <v>36</v>
      </c>
      <c r="B512" t="s">
        <v>47</v>
      </c>
      <c r="C512" t="s">
        <v>8</v>
      </c>
      <c r="D512">
        <f>(AVERAGE(per_seed!$I$112:$I$121)-AVERAGE(per_seed!$I$82:$I$91))/AVERAGE(per_seed!$I$82:$I$91)*100</f>
        <v>58.378839173479982</v>
      </c>
      <c r="E512">
        <v>58.378839173479982</v>
      </c>
    </row>
    <row r="513" spans="1:5">
      <c r="A513" t="s">
        <v>38</v>
      </c>
      <c r="B513" t="s">
        <v>47</v>
      </c>
      <c r="C513" t="s">
        <v>8</v>
      </c>
      <c r="D513">
        <f>_xlfn.T.TEST(per_seed!$I$82:$I$91,per_seed!$I$112:$I$121,2,1)</f>
        <v>8.8832868627144754E-10</v>
      </c>
      <c r="E513">
        <v>8.8832868627145157E-10</v>
      </c>
    </row>
    <row r="514" spans="1:5">
      <c r="A514" t="s">
        <v>36</v>
      </c>
      <c r="B514" t="s">
        <v>47</v>
      </c>
      <c r="C514" t="s">
        <v>9</v>
      </c>
      <c r="D514">
        <f>(AVERAGE(per_seed!$J$112:$J$121)-AVERAGE(per_seed!$J$82:$J$91))/AVERAGE(per_seed!$J$82:$J$91)*100</f>
        <v>36.974384323505717</v>
      </c>
      <c r="E514">
        <v>36.974384323505703</v>
      </c>
    </row>
    <row r="515" spans="1:5">
      <c r="A515" t="s">
        <v>38</v>
      </c>
      <c r="B515" t="s">
        <v>47</v>
      </c>
      <c r="C515" t="s">
        <v>9</v>
      </c>
      <c r="D515">
        <f>_xlfn.T.TEST(per_seed!$J$82:$J$91,per_seed!$J$112:$J$121,2,1)</f>
        <v>5.4782791212115719E-9</v>
      </c>
      <c r="E515">
        <v>5.4782791212116761E-9</v>
      </c>
    </row>
    <row r="516" spans="1:5">
      <c r="A516" t="s">
        <v>36</v>
      </c>
      <c r="B516" t="s">
        <v>47</v>
      </c>
      <c r="C516" t="s">
        <v>10</v>
      </c>
      <c r="D516">
        <f>(AVERAGE(per_seed!$K$112:$K$121)-AVERAGE(per_seed!$K$82:$K$91))/AVERAGE(per_seed!$K$82:$K$91)*100</f>
        <v>38.961436561383344</v>
      </c>
      <c r="E516">
        <v>38.961436561383387</v>
      </c>
    </row>
    <row r="517" spans="1:5">
      <c r="A517" t="s">
        <v>38</v>
      </c>
      <c r="B517" t="s">
        <v>47</v>
      </c>
      <c r="C517" t="s">
        <v>10</v>
      </c>
      <c r="D517">
        <f>_xlfn.T.TEST(per_seed!$K$82:$K$91,per_seed!$K$112:$K$121,2,1)</f>
        <v>3.2216953062329808E-9</v>
      </c>
      <c r="E517">
        <v>3.2216953062329708E-9</v>
      </c>
    </row>
    <row r="518" spans="1:5">
      <c r="A518" t="s">
        <v>36</v>
      </c>
      <c r="B518" t="s">
        <v>47</v>
      </c>
      <c r="C518" t="s">
        <v>11</v>
      </c>
      <c r="D518">
        <f>(AVERAGE(per_seed!$L$112:$L$121)-AVERAGE(per_seed!$L$82:$L$91))/AVERAGE(per_seed!$L$82:$L$91)*100</f>
        <v>-27.712270804141898</v>
      </c>
      <c r="E518">
        <v>-27.712270804141902</v>
      </c>
    </row>
    <row r="519" spans="1:5">
      <c r="A519" t="s">
        <v>38</v>
      </c>
      <c r="B519" t="s">
        <v>47</v>
      </c>
      <c r="C519" t="s">
        <v>11</v>
      </c>
      <c r="D519">
        <f>_xlfn.T.TEST(per_seed!$L$82:$L$91,per_seed!$L$112:$L$121,2,1)</f>
        <v>4.8841975271071086E-7</v>
      </c>
      <c r="E519">
        <v>4.8841975271070969E-7</v>
      </c>
    </row>
    <row r="520" spans="1:5">
      <c r="A520" t="s">
        <v>36</v>
      </c>
      <c r="B520" t="s">
        <v>47</v>
      </c>
      <c r="C520" t="s">
        <v>12</v>
      </c>
      <c r="D520">
        <f>(AVERAGE(per_seed!$M$112:$M$121)-AVERAGE(per_seed!$M$82:$M$91))/AVERAGE(per_seed!$M$82:$M$91)*100</f>
        <v>209.31977201909388</v>
      </c>
      <c r="E520">
        <v>209.3197720190939</v>
      </c>
    </row>
    <row r="521" spans="1:5">
      <c r="A521" t="s">
        <v>38</v>
      </c>
      <c r="B521" t="s">
        <v>47</v>
      </c>
      <c r="C521" t="s">
        <v>12</v>
      </c>
      <c r="D521">
        <f>_xlfn.T.TEST(per_seed!$M$82:$M$91,per_seed!$M$112:$M$121,2,1)</f>
        <v>8.2499178826252629E-4</v>
      </c>
      <c r="E521">
        <v>8.249917882625265E-4</v>
      </c>
    </row>
    <row r="522" spans="1:5">
      <c r="A522" t="s">
        <v>36</v>
      </c>
      <c r="B522" t="s">
        <v>48</v>
      </c>
      <c r="C522" t="s">
        <v>3</v>
      </c>
      <c r="D522">
        <f>(AVERAGE(per_seed!$D$122:$D$131)-AVERAGE(per_seed!$D$82:$D$91))/AVERAGE(per_seed!$D$82:$D$91)*100</f>
        <v>-0.18898299153076542</v>
      </c>
      <c r="E522">
        <v>-0.18898299153076539</v>
      </c>
    </row>
    <row r="523" spans="1:5">
      <c r="A523" t="s">
        <v>38</v>
      </c>
      <c r="B523" t="s">
        <v>48</v>
      </c>
      <c r="C523" t="s">
        <v>3</v>
      </c>
      <c r="D523">
        <f>_xlfn.T.TEST(per_seed!$D$82:$D$91,per_seed!$D$122:$D$131,2,1)</f>
        <v>5.8679923184829855E-2</v>
      </c>
      <c r="E523">
        <v>5.8679923184833331E-2</v>
      </c>
    </row>
    <row r="524" spans="1:5">
      <c r="A524" t="s">
        <v>36</v>
      </c>
      <c r="B524" t="s">
        <v>48</v>
      </c>
      <c r="C524" t="s">
        <v>4</v>
      </c>
      <c r="D524">
        <f>(AVERAGE(per_seed!$E$122:$E$131)-AVERAGE(per_seed!$E$82:$E$91))/AVERAGE(per_seed!$E$82:$E$91)*100</f>
        <v>-1.1657214870825481</v>
      </c>
      <c r="E524">
        <v>-1.1657214870825481</v>
      </c>
    </row>
    <row r="525" spans="1:5">
      <c r="A525" t="s">
        <v>38</v>
      </c>
      <c r="B525" t="s">
        <v>48</v>
      </c>
      <c r="C525" t="s">
        <v>4</v>
      </c>
      <c r="D525">
        <f>_xlfn.T.TEST(per_seed!$E$82:$E$91,per_seed!$E$122:$E$131,2,1)</f>
        <v>2.0328746595741298E-2</v>
      </c>
      <c r="E525">
        <v>2.032874659574151E-2</v>
      </c>
    </row>
    <row r="526" spans="1:5">
      <c r="A526" t="s">
        <v>36</v>
      </c>
      <c r="B526" t="s">
        <v>48</v>
      </c>
      <c r="C526" t="s">
        <v>5</v>
      </c>
      <c r="D526">
        <f>(AVERAGE(per_seed!$F$122:$F$131)-AVERAGE(per_seed!$F$82:$F$91))/AVERAGE(per_seed!$F$82:$F$91)*100</f>
        <v>-1.2427506213753108</v>
      </c>
      <c r="E526">
        <v>-1.242750621375311</v>
      </c>
    </row>
    <row r="527" spans="1:5">
      <c r="A527" t="s">
        <v>38</v>
      </c>
      <c r="B527" t="s">
        <v>48</v>
      </c>
      <c r="C527" t="s">
        <v>5</v>
      </c>
      <c r="D527">
        <f>_xlfn.T.TEST(per_seed!$F$82:$F$91,per_seed!$F$122:$F$131,2,1)</f>
        <v>1.2704641644358418E-2</v>
      </c>
      <c r="E527">
        <v>1.270464164435842E-2</v>
      </c>
    </row>
    <row r="528" spans="1:5">
      <c r="A528" t="s">
        <v>36</v>
      </c>
      <c r="B528" t="s">
        <v>48</v>
      </c>
      <c r="C528" t="s">
        <v>6</v>
      </c>
      <c r="D528">
        <f>(AVERAGE(per_seed!$G$122:$G$131)-AVERAGE(per_seed!$G$82:$G$91))/AVERAGE(per_seed!$G$82:$G$91)*100</f>
        <v>-39.386278233749053</v>
      </c>
      <c r="E528">
        <v>-39.386278233749053</v>
      </c>
    </row>
    <row r="529" spans="1:5">
      <c r="A529" t="s">
        <v>38</v>
      </c>
      <c r="B529" t="s">
        <v>48</v>
      </c>
      <c r="C529" t="s">
        <v>6</v>
      </c>
      <c r="D529">
        <f>_xlfn.T.TEST(per_seed!$G$82:$G$91,per_seed!$G$122:$G$131,2,1)</f>
        <v>1.664849518890859E-11</v>
      </c>
      <c r="E529">
        <v>1.664849518890878E-11</v>
      </c>
    </row>
    <row r="530" spans="1:5">
      <c r="A530" t="s">
        <v>36</v>
      </c>
      <c r="B530" t="s">
        <v>48</v>
      </c>
      <c r="C530" t="s">
        <v>7</v>
      </c>
      <c r="D530">
        <f>(AVERAGE(per_seed!$H$122:$H$131)-AVERAGE(per_seed!$H$82:$H$91))/AVERAGE(per_seed!$H$82:$H$91)*100</f>
        <v>62.881355932203377</v>
      </c>
      <c r="E530">
        <v>62.881355932203377</v>
      </c>
    </row>
    <row r="531" spans="1:5">
      <c r="A531" t="s">
        <v>38</v>
      </c>
      <c r="B531" t="s">
        <v>48</v>
      </c>
      <c r="C531" t="s">
        <v>7</v>
      </c>
      <c r="D531">
        <f>_xlfn.T.TEST(per_seed!$H$82:$H$91,per_seed!$H$122:$H$131,2,1)</f>
        <v>3.4446848196061473E-12</v>
      </c>
      <c r="E531">
        <v>3.444684819606138E-12</v>
      </c>
    </row>
    <row r="532" spans="1:5">
      <c r="A532" t="s">
        <v>36</v>
      </c>
      <c r="B532" t="s">
        <v>48</v>
      </c>
      <c r="C532" t="s">
        <v>8</v>
      </c>
      <c r="D532">
        <f>(AVERAGE(per_seed!$I$122:$I$131)-AVERAGE(per_seed!$I$82:$I$91))/AVERAGE(per_seed!$I$82:$I$91)*100</f>
        <v>64.934496324068363</v>
      </c>
      <c r="E532">
        <v>64.934496324068363</v>
      </c>
    </row>
    <row r="533" spans="1:5">
      <c r="A533" t="s">
        <v>38</v>
      </c>
      <c r="B533" t="s">
        <v>48</v>
      </c>
      <c r="C533" t="s">
        <v>8</v>
      </c>
      <c r="D533">
        <f>_xlfn.T.TEST(per_seed!$I$82:$I$91,per_seed!$I$122:$I$131,2,1)</f>
        <v>6.8598456456603973E-12</v>
      </c>
      <c r="E533">
        <v>6.8598456456605007E-12</v>
      </c>
    </row>
    <row r="534" spans="1:5">
      <c r="A534" t="s">
        <v>36</v>
      </c>
      <c r="B534" t="s">
        <v>48</v>
      </c>
      <c r="C534" t="s">
        <v>9</v>
      </c>
      <c r="D534">
        <f>(AVERAGE(per_seed!$J$122:$J$131)-AVERAGE(per_seed!$J$82:$J$91))/AVERAGE(per_seed!$J$82:$J$91)*100</f>
        <v>38.522872938194539</v>
      </c>
      <c r="E534">
        <v>38.522872938194517</v>
      </c>
    </row>
    <row r="535" spans="1:5">
      <c r="A535" t="s">
        <v>38</v>
      </c>
      <c r="B535" t="s">
        <v>48</v>
      </c>
      <c r="C535" t="s">
        <v>9</v>
      </c>
      <c r="D535">
        <f>_xlfn.T.TEST(per_seed!$J$82:$J$91,per_seed!$J$122:$J$131,2,1)</f>
        <v>2.3426985124639638E-10</v>
      </c>
      <c r="E535">
        <v>2.342698512463908E-10</v>
      </c>
    </row>
    <row r="536" spans="1:5">
      <c r="A536" t="s">
        <v>36</v>
      </c>
      <c r="B536" t="s">
        <v>48</v>
      </c>
      <c r="C536" t="s">
        <v>10</v>
      </c>
      <c r="D536">
        <f>(AVERAGE(per_seed!$K$122:$K$131)-AVERAGE(per_seed!$K$82:$K$91))/AVERAGE(per_seed!$K$82:$K$91)*100</f>
        <v>42.682375140131732</v>
      </c>
      <c r="E536">
        <v>42.682375140131732</v>
      </c>
    </row>
    <row r="537" spans="1:5">
      <c r="A537" t="s">
        <v>38</v>
      </c>
      <c r="B537" t="s">
        <v>48</v>
      </c>
      <c r="C537" t="s">
        <v>10</v>
      </c>
      <c r="D537">
        <f>_xlfn.T.TEST(per_seed!$K$82:$K$91,per_seed!$K$122:$K$131,2,1)</f>
        <v>1.0321416137752611E-10</v>
      </c>
      <c r="E537">
        <v>1.032141613775262E-10</v>
      </c>
    </row>
    <row r="538" spans="1:5">
      <c r="A538" t="s">
        <v>36</v>
      </c>
      <c r="B538" t="s">
        <v>48</v>
      </c>
      <c r="C538" t="s">
        <v>11</v>
      </c>
      <c r="D538">
        <f>(AVERAGE(per_seed!$L$122:$L$131)-AVERAGE(per_seed!$L$82:$L$91))/AVERAGE(per_seed!$L$82:$L$91)*100</f>
        <v>-21.473624823886198</v>
      </c>
      <c r="E538">
        <v>-21.473624823886201</v>
      </c>
    </row>
    <row r="539" spans="1:5">
      <c r="A539" t="s">
        <v>38</v>
      </c>
      <c r="B539" t="s">
        <v>48</v>
      </c>
      <c r="C539" t="s">
        <v>11</v>
      </c>
      <c r="D539">
        <f>_xlfn.T.TEST(per_seed!$L$82:$L$91,per_seed!$L$122:$L$131,2,1)</f>
        <v>9.2648381890557739E-6</v>
      </c>
      <c r="E539">
        <v>9.2648381890557807E-6</v>
      </c>
    </row>
    <row r="540" spans="1:5">
      <c r="A540" t="s">
        <v>36</v>
      </c>
      <c r="B540" t="s">
        <v>48</v>
      </c>
      <c r="C540" t="s">
        <v>12</v>
      </c>
      <c r="D540">
        <f>(AVERAGE(per_seed!$M$122:$M$131)-AVERAGE(per_seed!$M$82:$M$91))/AVERAGE(per_seed!$M$82:$M$91)*100</f>
        <v>21.265238400722748</v>
      </c>
      <c r="E540">
        <v>21.265238400722751</v>
      </c>
    </row>
    <row r="541" spans="1:5">
      <c r="A541" t="s">
        <v>38</v>
      </c>
      <c r="B541" t="s">
        <v>48</v>
      </c>
      <c r="C541" t="s">
        <v>12</v>
      </c>
      <c r="D541">
        <f>_xlfn.T.TEST(per_seed!$M$82:$M$91,per_seed!$M$122:$M$131,2,1)</f>
        <v>5.6194140601357488E-2</v>
      </c>
      <c r="E541">
        <v>5.6194140601357682E-2</v>
      </c>
    </row>
    <row r="542" spans="1:5">
      <c r="A542" t="s">
        <v>36</v>
      </c>
      <c r="B542" t="s">
        <v>49</v>
      </c>
      <c r="C542" t="s">
        <v>3</v>
      </c>
      <c r="D542">
        <f>(AVERAGE(per_seed!$D$132:$D$141)-AVERAGE(per_seed!$D$82:$D$91))/AVERAGE(per_seed!$D$82:$D$91)*100</f>
        <v>-0.2449779519843214</v>
      </c>
      <c r="E542">
        <v>-0.2449779519843214</v>
      </c>
    </row>
    <row r="543" spans="1:5">
      <c r="A543" t="s">
        <v>38</v>
      </c>
      <c r="B543" t="s">
        <v>49</v>
      </c>
      <c r="C543" t="s">
        <v>3</v>
      </c>
      <c r="D543">
        <f>_xlfn.T.TEST(per_seed!$D$82:$D$91,per_seed!$D$132:$D$141,2,1)</f>
        <v>8.5009167216628545E-2</v>
      </c>
      <c r="E543">
        <v>8.5009167216628601E-2</v>
      </c>
    </row>
    <row r="544" spans="1:5">
      <c r="A544" t="s">
        <v>36</v>
      </c>
      <c r="B544" t="s">
        <v>49</v>
      </c>
      <c r="C544" t="s">
        <v>4</v>
      </c>
      <c r="D544">
        <f>(AVERAGE(per_seed!$E$132:$E$141)-AVERAGE(per_seed!$E$82:$E$91))/AVERAGE(per_seed!$E$82:$E$91)*100</f>
        <v>-1.3232514177693786</v>
      </c>
      <c r="E544">
        <v>-1.323251417769379</v>
      </c>
    </row>
    <row r="545" spans="1:5">
      <c r="A545" t="s">
        <v>38</v>
      </c>
      <c r="B545" t="s">
        <v>49</v>
      </c>
      <c r="C545" t="s">
        <v>4</v>
      </c>
      <c r="D545">
        <f>_xlfn.T.TEST(per_seed!$E$82:$E$91,per_seed!$E$132:$E$141,2,1)</f>
        <v>5.3161009347906241E-3</v>
      </c>
      <c r="E545">
        <v>5.3161009347906848E-3</v>
      </c>
    </row>
    <row r="546" spans="1:5">
      <c r="A546" t="s">
        <v>36</v>
      </c>
      <c r="B546" t="s">
        <v>49</v>
      </c>
      <c r="C546" t="s">
        <v>5</v>
      </c>
      <c r="D546">
        <f>(AVERAGE(per_seed!$F$132:$F$141)-AVERAGE(per_seed!$F$82:$F$91))/AVERAGE(per_seed!$F$82:$F$91)*100</f>
        <v>-1.4084507042253522</v>
      </c>
      <c r="E546">
        <v>-1.408450704225352</v>
      </c>
    </row>
    <row r="547" spans="1:5">
      <c r="A547" t="s">
        <v>38</v>
      </c>
      <c r="B547" t="s">
        <v>49</v>
      </c>
      <c r="C547" t="s">
        <v>5</v>
      </c>
      <c r="D547">
        <f>_xlfn.T.TEST(per_seed!$F$82:$F$91,per_seed!$F$132:$F$141,2,1)</f>
        <v>6.7823487471592361E-3</v>
      </c>
      <c r="E547">
        <v>6.7823487471592343E-3</v>
      </c>
    </row>
    <row r="548" spans="1:5">
      <c r="A548" t="s">
        <v>36</v>
      </c>
      <c r="B548" t="s">
        <v>49</v>
      </c>
      <c r="C548" t="s">
        <v>6</v>
      </c>
      <c r="D548">
        <f>(AVERAGE(per_seed!$G$132:$G$141)-AVERAGE(per_seed!$G$82:$G$91))/AVERAGE(per_seed!$G$82:$G$91)*100</f>
        <v>-39.564242506056388</v>
      </c>
      <c r="E548">
        <v>-39.564242506056388</v>
      </c>
    </row>
    <row r="549" spans="1:5">
      <c r="A549" t="s">
        <v>38</v>
      </c>
      <c r="B549" t="s">
        <v>49</v>
      </c>
      <c r="C549" t="s">
        <v>6</v>
      </c>
      <c r="D549">
        <f>_xlfn.T.TEST(per_seed!$G$82:$G$91,per_seed!$G$132:$G$141,2,1)</f>
        <v>2.0009524045457601E-11</v>
      </c>
      <c r="E549">
        <v>2.0009524045457831E-11</v>
      </c>
    </row>
    <row r="550" spans="1:5">
      <c r="A550" t="s">
        <v>36</v>
      </c>
      <c r="B550" t="s">
        <v>49</v>
      </c>
      <c r="C550" t="s">
        <v>7</v>
      </c>
      <c r="D550">
        <f>(AVERAGE(per_seed!$H$132:$H$141)-AVERAGE(per_seed!$H$82:$H$91))/AVERAGE(per_seed!$H$82:$H$91)*100</f>
        <v>63.050847457627121</v>
      </c>
      <c r="E550">
        <v>63.050847457627121</v>
      </c>
    </row>
    <row r="551" spans="1:5">
      <c r="A551" t="s">
        <v>38</v>
      </c>
      <c r="B551" t="s">
        <v>49</v>
      </c>
      <c r="C551" t="s">
        <v>7</v>
      </c>
      <c r="D551">
        <f>_xlfn.T.TEST(per_seed!$H$82:$H$91,per_seed!$H$132:$H$141,2,1)</f>
        <v>5.3201586655929308E-12</v>
      </c>
      <c r="E551">
        <v>5.3201586655929372E-12</v>
      </c>
    </row>
    <row r="552" spans="1:5">
      <c r="A552" t="s">
        <v>36</v>
      </c>
      <c r="B552" t="s">
        <v>49</v>
      </c>
      <c r="C552" t="s">
        <v>8</v>
      </c>
      <c r="D552">
        <f>(AVERAGE(per_seed!$I$132:$I$141)-AVERAGE(per_seed!$I$82:$I$91))/AVERAGE(per_seed!$I$82:$I$91)*100</f>
        <v>65.35189892796943</v>
      </c>
      <c r="E552">
        <v>65.35189892796943</v>
      </c>
    </row>
    <row r="553" spans="1:5">
      <c r="A553" t="s">
        <v>38</v>
      </c>
      <c r="B553" t="s">
        <v>49</v>
      </c>
      <c r="C553" t="s">
        <v>8</v>
      </c>
      <c r="D553">
        <f>_xlfn.T.TEST(per_seed!$I$82:$I$91,per_seed!$I$132:$I$141,2,1)</f>
        <v>1.1259458484630452E-12</v>
      </c>
      <c r="E553">
        <v>1.125945848463026E-12</v>
      </c>
    </row>
    <row r="554" spans="1:5">
      <c r="A554" t="s">
        <v>36</v>
      </c>
      <c r="B554" t="s">
        <v>49</v>
      </c>
      <c r="C554" t="s">
        <v>9</v>
      </c>
      <c r="D554">
        <f>(AVERAGE(per_seed!$J$132:$J$141)-AVERAGE(per_seed!$J$82:$J$91))/AVERAGE(per_seed!$J$82:$J$91)*100</f>
        <v>40.85697880205452</v>
      </c>
      <c r="E554">
        <v>40.856978802054499</v>
      </c>
    </row>
    <row r="555" spans="1:5">
      <c r="A555" t="s">
        <v>38</v>
      </c>
      <c r="B555" t="s">
        <v>49</v>
      </c>
      <c r="C555" t="s">
        <v>9</v>
      </c>
      <c r="D555">
        <f>_xlfn.T.TEST(per_seed!$J$82:$J$91,per_seed!$J$132:$J$141,2,1)</f>
        <v>3.7129720400853486E-13</v>
      </c>
      <c r="E555">
        <v>3.7129720400855228E-13</v>
      </c>
    </row>
    <row r="556" spans="1:5">
      <c r="A556" t="s">
        <v>36</v>
      </c>
      <c r="B556" t="s">
        <v>49</v>
      </c>
      <c r="C556" t="s">
        <v>10</v>
      </c>
      <c r="D556">
        <f>(AVERAGE(per_seed!$K$132:$K$141)-AVERAGE(per_seed!$K$82:$K$91))/AVERAGE(per_seed!$K$82:$K$91)*100</f>
        <v>44.480059008889668</v>
      </c>
      <c r="E556">
        <v>44.480059008889668</v>
      </c>
    </row>
    <row r="557" spans="1:5">
      <c r="A557" t="s">
        <v>38</v>
      </c>
      <c r="B557" t="s">
        <v>49</v>
      </c>
      <c r="C557" t="s">
        <v>10</v>
      </c>
      <c r="D557">
        <f>_xlfn.T.TEST(per_seed!$K$82:$K$91,per_seed!$K$132:$K$141,2,1)</f>
        <v>9.9924984232236292E-13</v>
      </c>
      <c r="E557">
        <v>9.9924984232236757E-13</v>
      </c>
    </row>
    <row r="558" spans="1:5">
      <c r="A558" t="s">
        <v>36</v>
      </c>
      <c r="B558" t="s">
        <v>49</v>
      </c>
      <c r="C558" t="s">
        <v>11</v>
      </c>
      <c r="D558">
        <f>(AVERAGE(per_seed!$L$132:$L$141)-AVERAGE(per_seed!$L$82:$L$91))/AVERAGE(per_seed!$L$82:$L$91)*100</f>
        <v>-21.703808180591786</v>
      </c>
      <c r="E558">
        <v>-21.703808180591789</v>
      </c>
    </row>
    <row r="559" spans="1:5">
      <c r="A559" t="s">
        <v>38</v>
      </c>
      <c r="B559" t="s">
        <v>49</v>
      </c>
      <c r="C559" t="s">
        <v>11</v>
      </c>
      <c r="D559">
        <f>_xlfn.T.TEST(per_seed!$L$82:$L$91,per_seed!$L$132:$L$141,2,1)</f>
        <v>5.7385593720287695E-7</v>
      </c>
      <c r="E559">
        <v>5.7385593720287758E-7</v>
      </c>
    </row>
    <row r="560" spans="1:5">
      <c r="A560" t="s">
        <v>36</v>
      </c>
      <c r="B560" t="s">
        <v>49</v>
      </c>
      <c r="C560" t="s">
        <v>12</v>
      </c>
      <c r="D560">
        <f>(AVERAGE(per_seed!$M$132:$M$141)-AVERAGE(per_seed!$M$82:$M$91))/AVERAGE(per_seed!$M$82:$M$91)*100</f>
        <v>27.876361533106859</v>
      </c>
      <c r="E560">
        <v>27.876361533106859</v>
      </c>
    </row>
    <row r="561" spans="1:5">
      <c r="A561" t="s">
        <v>38</v>
      </c>
      <c r="B561" t="s">
        <v>49</v>
      </c>
      <c r="C561" t="s">
        <v>12</v>
      </c>
      <c r="D561">
        <f>_xlfn.T.TEST(per_seed!$M$82:$M$91,per_seed!$M$132:$M$141,2,1)</f>
        <v>8.6704328596542146E-2</v>
      </c>
      <c r="E561">
        <v>8.6704328596542299E-2</v>
      </c>
    </row>
    <row r="562" spans="1:5">
      <c r="A562" t="s">
        <v>36</v>
      </c>
      <c r="B562" t="s">
        <v>50</v>
      </c>
      <c r="C562" t="s">
        <v>3</v>
      </c>
      <c r="D562">
        <f>(AVERAGE(per_seed!$D$142:$D$151)-AVERAGE(per_seed!$D$82:$D$91))/AVERAGE(per_seed!$D$82:$D$91)*100</f>
        <v>-0.23097921187092843</v>
      </c>
      <c r="E562">
        <v>-0.2309792118709284</v>
      </c>
    </row>
    <row r="563" spans="1:5">
      <c r="A563" t="s">
        <v>38</v>
      </c>
      <c r="B563" t="s">
        <v>50</v>
      </c>
      <c r="C563" t="s">
        <v>3</v>
      </c>
      <c r="D563">
        <f>_xlfn.T.TEST(per_seed!$D$82:$D$91,per_seed!$D$142:$D$151,2,1)</f>
        <v>6.0072248052607954E-2</v>
      </c>
      <c r="E563">
        <v>6.0072248052605033E-2</v>
      </c>
    </row>
    <row r="564" spans="1:5">
      <c r="A564" t="s">
        <v>36</v>
      </c>
      <c r="B564" t="s">
        <v>50</v>
      </c>
      <c r="C564" t="s">
        <v>4</v>
      </c>
      <c r="D564">
        <f>(AVERAGE(per_seed!$E$142:$E$151)-AVERAGE(per_seed!$E$82:$E$91))/AVERAGE(per_seed!$E$82:$E$91)*100</f>
        <v>-1.3337534131485029</v>
      </c>
      <c r="E564">
        <v>-1.3337534131485029</v>
      </c>
    </row>
    <row r="565" spans="1:5">
      <c r="A565" t="s">
        <v>38</v>
      </c>
      <c r="B565" t="s">
        <v>50</v>
      </c>
      <c r="C565" t="s">
        <v>4</v>
      </c>
      <c r="D565">
        <f>_xlfn.T.TEST(per_seed!$E$82:$E$91,per_seed!$E$142:$E$151,2,1)</f>
        <v>2.0472509135316488E-3</v>
      </c>
      <c r="E565">
        <v>2.0472509135316861E-3</v>
      </c>
    </row>
    <row r="566" spans="1:5">
      <c r="A566" t="s">
        <v>36</v>
      </c>
      <c r="B566" t="s">
        <v>50</v>
      </c>
      <c r="C566" t="s">
        <v>5</v>
      </c>
      <c r="D566">
        <f>(AVERAGE(per_seed!$F$142:$F$151)-AVERAGE(per_seed!$F$82:$F$91))/AVERAGE(per_seed!$F$82:$F$91)*100</f>
        <v>-1.6238608119303986</v>
      </c>
      <c r="E566">
        <v>-1.623860811930399</v>
      </c>
    </row>
    <row r="567" spans="1:5">
      <c r="A567" t="s">
        <v>38</v>
      </c>
      <c r="B567" t="s">
        <v>50</v>
      </c>
      <c r="C567" t="s">
        <v>5</v>
      </c>
      <c r="D567">
        <f>_xlfn.T.TEST(per_seed!$F$82:$F$91,per_seed!$F$142:$F$151,2,1)</f>
        <v>3.9875878301198758E-4</v>
      </c>
      <c r="E567">
        <v>3.9875878301197468E-4</v>
      </c>
    </row>
    <row r="568" spans="1:5">
      <c r="A568" t="s">
        <v>36</v>
      </c>
      <c r="B568" t="s">
        <v>50</v>
      </c>
      <c r="C568" t="s">
        <v>6</v>
      </c>
      <c r="D568">
        <f>(AVERAGE(per_seed!$G$142:$G$151)-AVERAGE(per_seed!$G$82:$G$91))/AVERAGE(per_seed!$G$82:$G$91)*100</f>
        <v>-38.54050424054175</v>
      </c>
      <c r="E568">
        <v>-38.540504240541743</v>
      </c>
    </row>
    <row r="569" spans="1:5">
      <c r="A569" t="s">
        <v>38</v>
      </c>
      <c r="B569" t="s">
        <v>50</v>
      </c>
      <c r="C569" t="s">
        <v>6</v>
      </c>
      <c r="D569">
        <f>_xlfn.T.TEST(per_seed!$G$82:$G$91,per_seed!$G$142:$G$151,2,1)</f>
        <v>2.0247533687852005E-11</v>
      </c>
      <c r="E569">
        <v>2.0247533687852089E-11</v>
      </c>
    </row>
    <row r="570" spans="1:5">
      <c r="A570" t="s">
        <v>36</v>
      </c>
      <c r="B570" t="s">
        <v>50</v>
      </c>
      <c r="C570" t="s">
        <v>7</v>
      </c>
      <c r="D570">
        <f>(AVERAGE(per_seed!$H$142:$H$151)-AVERAGE(per_seed!$H$82:$H$91))/AVERAGE(per_seed!$H$82:$H$91)*100</f>
        <v>60.000000000000007</v>
      </c>
      <c r="E570">
        <v>60.000000000000007</v>
      </c>
    </row>
    <row r="571" spans="1:5">
      <c r="A571" t="s">
        <v>38</v>
      </c>
      <c r="B571" t="s">
        <v>50</v>
      </c>
      <c r="C571" t="s">
        <v>7</v>
      </c>
      <c r="D571">
        <f>_xlfn.T.TEST(per_seed!$H$82:$H$91,per_seed!$H$142:$H$151,2,1)</f>
        <v>4.611176130094138E-12</v>
      </c>
      <c r="E571">
        <v>4.6111761300941421E-12</v>
      </c>
    </row>
    <row r="572" spans="1:5">
      <c r="A572" t="s">
        <v>36</v>
      </c>
      <c r="B572" t="s">
        <v>50</v>
      </c>
      <c r="C572" t="s">
        <v>8</v>
      </c>
      <c r="D572">
        <f>(AVERAGE(per_seed!$I$142:$I$151)-AVERAGE(per_seed!$I$82:$I$91))/AVERAGE(per_seed!$I$82:$I$91)*100</f>
        <v>62.609505227863174</v>
      </c>
      <c r="E572">
        <v>62.609505227863167</v>
      </c>
    </row>
    <row r="573" spans="1:5">
      <c r="A573" t="s">
        <v>38</v>
      </c>
      <c r="B573" t="s">
        <v>50</v>
      </c>
      <c r="C573" t="s">
        <v>8</v>
      </c>
      <c r="D573">
        <f>_xlfn.T.TEST(per_seed!$I$82:$I$91,per_seed!$I$142:$I$151,2,1)</f>
        <v>1.545513287771948E-12</v>
      </c>
      <c r="E573">
        <v>1.5455132877719601E-12</v>
      </c>
    </row>
    <row r="574" spans="1:5">
      <c r="A574" t="s">
        <v>36</v>
      </c>
      <c r="B574" t="s">
        <v>50</v>
      </c>
      <c r="C574" t="s">
        <v>9</v>
      </c>
      <c r="D574">
        <f>(AVERAGE(per_seed!$J$142:$J$151)-AVERAGE(per_seed!$J$82:$J$91))/AVERAGE(per_seed!$J$82:$J$91)*100</f>
        <v>41.010932866393162</v>
      </c>
      <c r="E574">
        <v>41.010932866393127</v>
      </c>
    </row>
    <row r="575" spans="1:5">
      <c r="A575" t="s">
        <v>38</v>
      </c>
      <c r="B575" t="s">
        <v>50</v>
      </c>
      <c r="C575" t="s">
        <v>9</v>
      </c>
      <c r="D575">
        <f>_xlfn.T.TEST(per_seed!$J$82:$J$91,per_seed!$J$142:$J$151,2,1)</f>
        <v>1.6590261360885462E-12</v>
      </c>
      <c r="E575">
        <v>1.659026136088654E-12</v>
      </c>
    </row>
    <row r="576" spans="1:5">
      <c r="A576" t="s">
        <v>36</v>
      </c>
      <c r="B576" t="s">
        <v>50</v>
      </c>
      <c r="C576" t="s">
        <v>10</v>
      </c>
      <c r="D576">
        <f>(AVERAGE(per_seed!$K$142:$K$151)-AVERAGE(per_seed!$K$82:$K$91))/AVERAGE(per_seed!$K$82:$K$91)*100</f>
        <v>45.05744966580675</v>
      </c>
      <c r="E576">
        <v>45.05744966580675</v>
      </c>
    </row>
    <row r="577" spans="1:5">
      <c r="A577" t="s">
        <v>38</v>
      </c>
      <c r="B577" t="s">
        <v>50</v>
      </c>
      <c r="C577" t="s">
        <v>10</v>
      </c>
      <c r="D577">
        <f>_xlfn.T.TEST(per_seed!$K$82:$K$91,per_seed!$K$142:$K$151,2,1)</f>
        <v>4.8166248302491307E-12</v>
      </c>
      <c r="E577">
        <v>4.8166248302491517E-12</v>
      </c>
    </row>
    <row r="578" spans="1:5">
      <c r="A578" t="s">
        <v>36</v>
      </c>
      <c r="B578" t="s">
        <v>50</v>
      </c>
      <c r="C578" t="s">
        <v>11</v>
      </c>
      <c r="D578">
        <f>(AVERAGE(per_seed!$L$142:$L$151)-AVERAGE(per_seed!$L$82:$L$91))/AVERAGE(per_seed!$L$82:$L$91)*100</f>
        <v>-19.107475317532284</v>
      </c>
      <c r="E578">
        <v>-19.10747531753227</v>
      </c>
    </row>
    <row r="579" spans="1:5">
      <c r="A579" t="s">
        <v>38</v>
      </c>
      <c r="B579" t="s">
        <v>50</v>
      </c>
      <c r="C579" t="s">
        <v>11</v>
      </c>
      <c r="D579">
        <f>_xlfn.T.TEST(per_seed!$L$82:$L$91,per_seed!$L$142:$L$151,2,1)</f>
        <v>8.8765269875542793E-5</v>
      </c>
      <c r="E579">
        <v>8.8765269875542467E-5</v>
      </c>
    </row>
    <row r="580" spans="1:5">
      <c r="A580" t="s">
        <v>36</v>
      </c>
      <c r="B580" t="s">
        <v>50</v>
      </c>
      <c r="C580" t="s">
        <v>12</v>
      </c>
      <c r="D580">
        <f>(AVERAGE(per_seed!$M$142:$M$151)-AVERAGE(per_seed!$M$82:$M$91))/AVERAGE(per_seed!$M$82:$M$91)*100</f>
        <v>26.830411883142403</v>
      </c>
      <c r="E580">
        <v>26.8304118831424</v>
      </c>
    </row>
    <row r="581" spans="1:5">
      <c r="A581" t="s">
        <v>38</v>
      </c>
      <c r="B581" t="s">
        <v>50</v>
      </c>
      <c r="C581" t="s">
        <v>12</v>
      </c>
      <c r="D581">
        <f>_xlfn.T.TEST(per_seed!$M$82:$M$91,per_seed!$M$142:$M$151,2,1)</f>
        <v>5.0096431034436811E-2</v>
      </c>
      <c r="E581">
        <v>5.0096431034436582E-2</v>
      </c>
    </row>
    <row r="582" spans="1:5">
      <c r="A582" t="s">
        <v>36</v>
      </c>
      <c r="B582" t="s">
        <v>51</v>
      </c>
      <c r="C582" t="s">
        <v>3</v>
      </c>
      <c r="D582">
        <f>(AVERAGE(per_seed!$D$152:$D$161)-AVERAGE(per_seed!$D$82:$D$91))/AVERAGE(per_seed!$D$82:$D$91)*100</f>
        <v>-0.28697417232450034</v>
      </c>
      <c r="E582">
        <v>-0.28697417232450029</v>
      </c>
    </row>
    <row r="583" spans="1:5">
      <c r="A583" t="s">
        <v>38</v>
      </c>
      <c r="B583" t="s">
        <v>51</v>
      </c>
      <c r="C583" t="s">
        <v>3</v>
      </c>
      <c r="D583">
        <f>_xlfn.T.TEST(per_seed!$D$82:$D$91,per_seed!$D$152:$D$161,2,1)</f>
        <v>3.1446527017769065E-3</v>
      </c>
      <c r="E583">
        <v>3.144652701777534E-3</v>
      </c>
    </row>
    <row r="584" spans="1:5">
      <c r="A584" t="s">
        <v>36</v>
      </c>
      <c r="B584" t="s">
        <v>51</v>
      </c>
      <c r="C584" t="s">
        <v>4</v>
      </c>
      <c r="D584">
        <f>(AVERAGE(per_seed!$E$152:$E$161)-AVERAGE(per_seed!$E$82:$E$91))/AVERAGE(per_seed!$E$82:$E$91)*100</f>
        <v>-1.5437933207309436</v>
      </c>
      <c r="E584">
        <v>-1.543793320730944</v>
      </c>
    </row>
    <row r="585" spans="1:5">
      <c r="A585" t="s">
        <v>38</v>
      </c>
      <c r="B585" t="s">
        <v>51</v>
      </c>
      <c r="C585" t="s">
        <v>4</v>
      </c>
      <c r="D585">
        <f>_xlfn.T.TEST(per_seed!$E$82:$E$91,per_seed!$E$152:$E$161,2,1)</f>
        <v>7.2765216512718986E-3</v>
      </c>
      <c r="E585">
        <v>7.2765216512720469E-3</v>
      </c>
    </row>
    <row r="586" spans="1:5">
      <c r="A586" t="s">
        <v>36</v>
      </c>
      <c r="B586" t="s">
        <v>51</v>
      </c>
      <c r="C586" t="s">
        <v>5</v>
      </c>
      <c r="D586">
        <f>(AVERAGE(per_seed!$F$152:$F$161)-AVERAGE(per_seed!$F$82:$F$91))/AVERAGE(per_seed!$F$82:$F$91)*100</f>
        <v>-1.8889809444904686</v>
      </c>
      <c r="E586">
        <v>-1.888980944490469</v>
      </c>
    </row>
    <row r="587" spans="1:5">
      <c r="A587" t="s">
        <v>38</v>
      </c>
      <c r="B587" t="s">
        <v>51</v>
      </c>
      <c r="C587" t="s">
        <v>5</v>
      </c>
      <c r="D587">
        <f>_xlfn.T.TEST(per_seed!$F$82:$F$91,per_seed!$F$152:$F$161,2,1)</f>
        <v>5.3944119123946702E-3</v>
      </c>
      <c r="E587">
        <v>5.3944119123946069E-3</v>
      </c>
    </row>
    <row r="588" spans="1:5">
      <c r="A588" t="s">
        <v>36</v>
      </c>
      <c r="B588" t="s">
        <v>51</v>
      </c>
      <c r="C588" t="s">
        <v>6</v>
      </c>
      <c r="D588">
        <f>(AVERAGE(per_seed!$G$152:$G$161)-AVERAGE(per_seed!$G$82:$G$91))/AVERAGE(per_seed!$G$82:$G$91)*100</f>
        <v>-38.368710204433029</v>
      </c>
      <c r="E588">
        <v>-38.368710204433008</v>
      </c>
    </row>
    <row r="589" spans="1:5">
      <c r="A589" t="s">
        <v>38</v>
      </c>
      <c r="B589" t="s">
        <v>51</v>
      </c>
      <c r="C589" t="s">
        <v>6</v>
      </c>
      <c r="D589">
        <f>_xlfn.T.TEST(per_seed!$G$82:$G$91,per_seed!$G$152:$G$161,2,1)</f>
        <v>3.3289408453896785E-11</v>
      </c>
      <c r="E589">
        <v>3.3289408453896927E-11</v>
      </c>
    </row>
    <row r="590" spans="1:5">
      <c r="A590" t="s">
        <v>36</v>
      </c>
      <c r="B590" t="s">
        <v>51</v>
      </c>
      <c r="C590" t="s">
        <v>7</v>
      </c>
      <c r="D590">
        <f>(AVERAGE(per_seed!$H$152:$H$161)-AVERAGE(per_seed!$H$82:$H$91))/AVERAGE(per_seed!$H$82:$H$91)*100</f>
        <v>59.152542372881371</v>
      </c>
      <c r="E590">
        <v>59.152542372881371</v>
      </c>
    </row>
    <row r="591" spans="1:5">
      <c r="A591" t="s">
        <v>38</v>
      </c>
      <c r="B591" t="s">
        <v>51</v>
      </c>
      <c r="C591" t="s">
        <v>7</v>
      </c>
      <c r="D591">
        <f>_xlfn.T.TEST(per_seed!$H$82:$H$91,per_seed!$H$152:$H$161,2,1)</f>
        <v>3.4703497033225102E-11</v>
      </c>
      <c r="E591">
        <v>3.4703497033225263E-11</v>
      </c>
    </row>
    <row r="592" spans="1:5">
      <c r="A592" t="s">
        <v>36</v>
      </c>
      <c r="B592" t="s">
        <v>51</v>
      </c>
      <c r="C592" t="s">
        <v>8</v>
      </c>
      <c r="D592">
        <f>(AVERAGE(per_seed!$I$152:$I$161)-AVERAGE(per_seed!$I$82:$I$91))/AVERAGE(per_seed!$I$82:$I$91)*100</f>
        <v>62.195185097908833</v>
      </c>
      <c r="E592">
        <v>62.195185097908812</v>
      </c>
    </row>
    <row r="593" spans="1:5">
      <c r="A593" t="s">
        <v>38</v>
      </c>
      <c r="B593" t="s">
        <v>51</v>
      </c>
      <c r="C593" t="s">
        <v>8</v>
      </c>
      <c r="D593">
        <f>_xlfn.T.TEST(per_seed!$I$82:$I$91,per_seed!$I$152:$I$161,2,1)</f>
        <v>1.1170018973858642E-11</v>
      </c>
      <c r="E593">
        <v>1.1170018973858769E-11</v>
      </c>
    </row>
    <row r="594" spans="1:5">
      <c r="A594" t="s">
        <v>36</v>
      </c>
      <c r="B594" t="s">
        <v>51</v>
      </c>
      <c r="C594" t="s">
        <v>9</v>
      </c>
      <c r="D594">
        <f>(AVERAGE(per_seed!$J$152:$J$161)-AVERAGE(per_seed!$J$82:$J$91))/AVERAGE(per_seed!$J$82:$J$91)*100</f>
        <v>44.360975501557618</v>
      </c>
      <c r="E594">
        <v>44.36097550155759</v>
      </c>
    </row>
    <row r="595" spans="1:5">
      <c r="A595" t="s">
        <v>38</v>
      </c>
      <c r="B595" t="s">
        <v>51</v>
      </c>
      <c r="C595" t="s">
        <v>9</v>
      </c>
      <c r="D595">
        <f>_xlfn.T.TEST(per_seed!$J$82:$J$91,per_seed!$J$152:$J$161,2,1)</f>
        <v>1.4683408854020421E-11</v>
      </c>
      <c r="E595">
        <v>1.468340885402022E-11</v>
      </c>
    </row>
    <row r="596" spans="1:5">
      <c r="A596" t="s">
        <v>36</v>
      </c>
      <c r="B596" t="s">
        <v>51</v>
      </c>
      <c r="C596" t="s">
        <v>10</v>
      </c>
      <c r="D596">
        <f>(AVERAGE(per_seed!$K$152:$K$161)-AVERAGE(per_seed!$K$82:$K$91))/AVERAGE(per_seed!$K$82:$K$91)*100</f>
        <v>48.357432199453662</v>
      </c>
      <c r="E596">
        <v>48.357432199453662</v>
      </c>
    </row>
    <row r="597" spans="1:5">
      <c r="A597" t="s">
        <v>38</v>
      </c>
      <c r="B597" t="s">
        <v>51</v>
      </c>
      <c r="C597" t="s">
        <v>10</v>
      </c>
      <c r="D597">
        <f>_xlfn.T.TEST(per_seed!$K$82:$K$91,per_seed!$K$152:$K$161,2,1)</f>
        <v>2.9722904084929649E-12</v>
      </c>
      <c r="E597">
        <v>2.972290408492967E-12</v>
      </c>
    </row>
    <row r="598" spans="1:5">
      <c r="A598" t="s">
        <v>36</v>
      </c>
      <c r="B598" t="s">
        <v>51</v>
      </c>
      <c r="C598" t="s">
        <v>11</v>
      </c>
      <c r="D598">
        <f>(AVERAGE(per_seed!$L$152:$L$161)-AVERAGE(per_seed!$L$82:$L$91))/AVERAGE(per_seed!$L$82:$L$91)*100</f>
        <v>-22.032157968941188</v>
      </c>
      <c r="E598">
        <v>-22.032157968941171</v>
      </c>
    </row>
    <row r="599" spans="1:5">
      <c r="A599" t="s">
        <v>38</v>
      </c>
      <c r="B599" t="s">
        <v>51</v>
      </c>
      <c r="C599" t="s">
        <v>11</v>
      </c>
      <c r="D599">
        <f>_xlfn.T.TEST(per_seed!$L$82:$L$91,per_seed!$L$152:$L$161,2,1)</f>
        <v>1.2654856197657184E-6</v>
      </c>
      <c r="E599">
        <v>1.2654856197657309E-6</v>
      </c>
    </row>
    <row r="600" spans="1:5">
      <c r="A600" t="s">
        <v>36</v>
      </c>
      <c r="B600" t="s">
        <v>51</v>
      </c>
      <c r="C600" t="s">
        <v>12</v>
      </c>
      <c r="D600">
        <f>(AVERAGE(per_seed!$M$152:$M$161)-AVERAGE(per_seed!$M$82:$M$91))/AVERAGE(per_seed!$M$82:$M$91)*100</f>
        <v>33.996970346892212</v>
      </c>
      <c r="E600">
        <v>33.996970346892212</v>
      </c>
    </row>
    <row r="601" spans="1:5">
      <c r="A601" t="s">
        <v>38</v>
      </c>
      <c r="B601" t="s">
        <v>51</v>
      </c>
      <c r="C601" t="s">
        <v>12</v>
      </c>
      <c r="D601">
        <f>_xlfn.T.TEST(per_seed!$M$82:$M$91,per_seed!$M$152:$M$161,2,1)</f>
        <v>3.6996460803770822E-3</v>
      </c>
      <c r="E601">
        <v>3.6996460803770778E-3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2026-09-16T11:47:09Z</dcterms:created>
  <dcterms:modified xsi:type="dcterms:W3CDTF">2026-09-16T11:47:12Z</dcterms:modified>
</cp:coreProperties>
</file>