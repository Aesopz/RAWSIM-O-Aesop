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m4g_legacy_objective_vs_m4g\"/>
    </mc:Choice>
  </mc:AlternateContent>
  <xr:revisionPtr revIDLastSave="0" documentId="13_ncr:1_{E6D889EE-059A-4007-BE73-AC16EA428ED1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<sst xmlns="http://schemas.openxmlformats.org/spreadsheetml/2006/main" count="418" uniqueCount="28">
  <si>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</si>
  <si>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</si>
  <si>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</si>
  <si>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</si>
  <si>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</si>
  <si>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</si>
  <si>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</si>
  <si>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</si>
  <si>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</si>
  <si>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</si>
  <si>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</si>
  <si>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</si>
  <si>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</si>
  <si>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m4g_6b</t>
  </si>
  <si>
    <t>m4g_legacy_6b</t>
  </si>
  <si>
    <t>m4g_10b</t>
  </si>
  <si>
    <t>m4g_legacy_10b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</si>
  <si>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</si>
  <si>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</si>
  <si>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</si>
  <si>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</si>
  <si>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</si>
  <si>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</si>
  <si>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</si>
  <si>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</si>
  <si>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m4g_6b vs m4g_legacy_6b</t>
  </si>
  <si>
    <t>p</t>
  </si>
  <si>
    <t>m4g_10b vs m4g_legacy_10b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</si>
</sst>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1388</v>
      </c>
      <c r="E12">
        <v>931</v>
      </c>
      <c r="F12">
        <v>612</v>
      </c>
      <c r="G12">
        <v>4.4671532846715332</v>
      </c>
      <c r="H12">
        <v>137</v>
      </c>
      <c r="I12">
        <v>0.22385620915032681</v>
      </c>
      <c r="J12">
        <v>11.5108101685565</v>
      </c>
      <c r="K12">
        <v>1.3937758101337601</v>
      </c>
      <c r="L12">
        <v>822.26666667152801</v>
      </c>
      <c r="M12">
        <v>3.6493827161964369</v>
      </c>
    </row>
    <row r="13" spans="1:13">
      <c r="A13" t="s">
        <v>14</v>
      </c>
      <c r="B13">
        <v>6</v>
      </c>
      <c r="C13">
        <v>1</v>
      </c>
      <c r="D13">
        <v>1410</v>
      </c>
      <c r="E13">
        <v>925</v>
      </c>
      <c r="F13">
        <v>574</v>
      </c>
      <c r="G13">
        <v>4.2835820895522394</v>
      </c>
      <c r="H13">
        <v>134</v>
      </c>
      <c r="I13">
        <v>0.2334494773519164</v>
      </c>
      <c r="J13">
        <v>11.322123023016539</v>
      </c>
      <c r="K13">
        <v>1.47210129822623</v>
      </c>
      <c r="L13">
        <v>935.37777777448002</v>
      </c>
      <c r="M13">
        <v>2.155864197678111</v>
      </c>
    </row>
    <row r="14" spans="1:13">
      <c r="A14" t="s">
        <v>14</v>
      </c>
      <c r="B14">
        <v>6</v>
      </c>
      <c r="C14">
        <v>2</v>
      </c>
      <c r="D14">
        <v>1409</v>
      </c>
      <c r="E14">
        <v>963</v>
      </c>
      <c r="F14">
        <v>598</v>
      </c>
      <c r="G14">
        <v>4.3970588235294121</v>
      </c>
      <c r="H14">
        <v>136</v>
      </c>
      <c r="I14">
        <v>0.22742474916387961</v>
      </c>
      <c r="J14">
        <v>11.130016890356069</v>
      </c>
      <c r="K14">
        <v>1.4594262800340601</v>
      </c>
      <c r="L14">
        <v>876.53333333617604</v>
      </c>
      <c r="M14">
        <v>2.2475308643449101</v>
      </c>
    </row>
    <row r="15" spans="1:13">
      <c r="A15" t="s">
        <v>14</v>
      </c>
      <c r="B15">
        <v>6</v>
      </c>
      <c r="C15">
        <v>3</v>
      </c>
      <c r="D15">
        <v>1399</v>
      </c>
      <c r="E15">
        <v>931</v>
      </c>
      <c r="F15">
        <v>587</v>
      </c>
      <c r="G15">
        <v>4.4135338345864659</v>
      </c>
      <c r="H15">
        <v>133</v>
      </c>
      <c r="I15">
        <v>0.22657580919931861</v>
      </c>
      <c r="J15">
        <v>11.11385606874329</v>
      </c>
      <c r="K15">
        <v>1.40783876424345</v>
      </c>
      <c r="L15">
        <v>956.97777777803799</v>
      </c>
      <c r="M15">
        <v>2.8805555557025762</v>
      </c>
    </row>
    <row r="16" spans="1:13">
      <c r="A16" t="s">
        <v>14</v>
      </c>
      <c r="B16">
        <v>6</v>
      </c>
      <c r="C16">
        <v>4</v>
      </c>
      <c r="D16">
        <v>1406</v>
      </c>
      <c r="E16">
        <v>935</v>
      </c>
      <c r="F16">
        <v>585</v>
      </c>
      <c r="G16">
        <v>4.4656488549618318</v>
      </c>
      <c r="H16">
        <v>131</v>
      </c>
      <c r="I16">
        <v>0.22393162393162391</v>
      </c>
      <c r="J16">
        <v>10.99567238146909</v>
      </c>
      <c r="K16">
        <v>1.42583206874049</v>
      </c>
      <c r="L16">
        <v>856.66666666684705</v>
      </c>
      <c r="M16">
        <v>2.446604938418937</v>
      </c>
    </row>
    <row r="17" spans="1:13">
      <c r="A17" t="s">
        <v>14</v>
      </c>
      <c r="B17">
        <v>6</v>
      </c>
      <c r="C17">
        <v>5</v>
      </c>
      <c r="D17">
        <v>1415</v>
      </c>
      <c r="E17">
        <v>939</v>
      </c>
      <c r="F17">
        <v>575</v>
      </c>
      <c r="G17">
        <v>4.2910447761194028</v>
      </c>
      <c r="H17">
        <v>134</v>
      </c>
      <c r="I17">
        <v>0.2330434782608696</v>
      </c>
      <c r="J17">
        <v>11.230031948881789</v>
      </c>
      <c r="K17">
        <v>1.46552371381826</v>
      </c>
      <c r="L17">
        <v>820.13333333818196</v>
      </c>
      <c r="M17">
        <v>1.8484567902709419</v>
      </c>
    </row>
    <row r="18" spans="1:13">
      <c r="A18" t="s">
        <v>14</v>
      </c>
      <c r="B18">
        <v>6</v>
      </c>
      <c r="C18">
        <v>6</v>
      </c>
      <c r="D18">
        <v>1412</v>
      </c>
      <c r="E18">
        <v>938</v>
      </c>
      <c r="F18">
        <v>590</v>
      </c>
      <c r="G18">
        <v>4.3382352941176467</v>
      </c>
      <c r="H18">
        <v>136</v>
      </c>
      <c r="I18">
        <v>0.23050847457627119</v>
      </c>
      <c r="J18">
        <v>11.488648029677719</v>
      </c>
      <c r="K18">
        <v>1.4581089668068099</v>
      </c>
      <c r="L18">
        <v>903.60000000043999</v>
      </c>
      <c r="M18">
        <v>2.075000000147591</v>
      </c>
    </row>
    <row r="19" spans="1:13">
      <c r="A19" t="s">
        <v>14</v>
      </c>
      <c r="B19">
        <v>6</v>
      </c>
      <c r="C19">
        <v>7</v>
      </c>
      <c r="D19">
        <v>1409</v>
      </c>
      <c r="E19">
        <v>943</v>
      </c>
      <c r="F19">
        <v>594</v>
      </c>
      <c r="G19">
        <v>4.5</v>
      </c>
      <c r="H19">
        <v>132</v>
      </c>
      <c r="I19">
        <v>0.22222222222222221</v>
      </c>
      <c r="J19">
        <v>11.054881284931181</v>
      </c>
      <c r="K19">
        <v>1.40311513411985</v>
      </c>
      <c r="L19">
        <v>856.80000000018003</v>
      </c>
      <c r="M19">
        <v>2.2475308643449101</v>
      </c>
    </row>
    <row r="20" spans="1:13">
      <c r="A20" t="s">
        <v>14</v>
      </c>
      <c r="B20">
        <v>6</v>
      </c>
      <c r="C20">
        <v>8</v>
      </c>
      <c r="D20">
        <v>1412</v>
      </c>
      <c r="E20">
        <v>953</v>
      </c>
      <c r="F20">
        <v>604</v>
      </c>
      <c r="G20">
        <v>4.5074626865671643</v>
      </c>
      <c r="H20">
        <v>134</v>
      </c>
      <c r="I20">
        <v>0.22185430463576161</v>
      </c>
      <c r="J20">
        <v>10.900336457764009</v>
      </c>
      <c r="K20">
        <v>1.3769804856988499</v>
      </c>
      <c r="L20">
        <v>743.42222222281396</v>
      </c>
      <c r="M20">
        <v>2.0496913581721321</v>
      </c>
    </row>
    <row r="21" spans="1:13">
      <c r="A21" t="s">
        <v>14</v>
      </c>
      <c r="B21">
        <v>6</v>
      </c>
      <c r="C21">
        <v>9</v>
      </c>
      <c r="D21">
        <v>1418</v>
      </c>
      <c r="E21">
        <v>937</v>
      </c>
      <c r="F21">
        <v>578</v>
      </c>
      <c r="G21">
        <v>4.4806201550387597</v>
      </c>
      <c r="H21">
        <v>129</v>
      </c>
      <c r="I21">
        <v>0.22318339100346021</v>
      </c>
      <c r="J21">
        <v>10.97115231403917</v>
      </c>
      <c r="K21">
        <v>1.4292886612959099</v>
      </c>
      <c r="L21">
        <v>816.75555555478502</v>
      </c>
      <c r="M21">
        <v>1.556790123603784</v>
      </c>
    </row>
    <row r="22" spans="1:13">
      <c r="A22" t="s">
        <v>15</v>
      </c>
      <c r="B22">
        <v>10</v>
      </c>
      <c r="C22">
        <v>0</v>
      </c>
      <c r="D22">
        <v>1424</v>
      </c>
      <c r="E22">
        <v>944</v>
      </c>
      <c r="F22">
        <v>620</v>
      </c>
      <c r="G22">
        <v>5.081967213114754</v>
      </c>
      <c r="H22">
        <v>122</v>
      </c>
      <c r="I22">
        <v>0.1967741935483871</v>
      </c>
      <c r="J22">
        <v>10.591101694915301</v>
      </c>
      <c r="K22">
        <v>1.29946112931366</v>
      </c>
      <c r="L22">
        <v>795.73333332989603</v>
      </c>
      <c r="M22">
        <v>1.188888889036176</v>
      </c>
    </row>
    <row r="23" spans="1:13">
      <c r="A23" t="s">
        <v>15</v>
      </c>
      <c r="B23">
        <v>10</v>
      </c>
      <c r="C23">
        <v>1</v>
      </c>
      <c r="D23">
        <v>1430</v>
      </c>
      <c r="E23">
        <v>935</v>
      </c>
      <c r="F23">
        <v>584</v>
      </c>
      <c r="G23">
        <v>4.9075630252100844</v>
      </c>
      <c r="H23">
        <v>119</v>
      </c>
      <c r="I23">
        <v>0.20376712328767119</v>
      </c>
      <c r="J23">
        <v>10.34438502673801</v>
      </c>
      <c r="K23">
        <v>1.3347944831168801</v>
      </c>
      <c r="L23">
        <v>833.77777777938104</v>
      </c>
      <c r="M23">
        <v>0.71820987669017078</v>
      </c>
    </row>
    <row r="24" spans="1:13">
      <c r="A24" t="s">
        <v>15</v>
      </c>
      <c r="B24">
        <v>10</v>
      </c>
      <c r="C24">
        <v>2</v>
      </c>
      <c r="D24">
        <v>1430</v>
      </c>
      <c r="E24">
        <v>987</v>
      </c>
      <c r="F24">
        <v>617</v>
      </c>
      <c r="G24">
        <v>5.0991735537190079</v>
      </c>
      <c r="H24">
        <v>121</v>
      </c>
      <c r="I24">
        <v>0.19611021069692061</v>
      </c>
      <c r="J24">
        <v>10.13779128672746</v>
      </c>
      <c r="K24">
        <v>1.3103632125460101</v>
      </c>
      <c r="L24">
        <v>762.40000000450698</v>
      </c>
      <c r="M24">
        <v>0.73271604952975911</v>
      </c>
    </row>
    <row r="25" spans="1:13">
      <c r="A25" t="s">
        <v>15</v>
      </c>
      <c r="B25">
        <v>10</v>
      </c>
      <c r="C25">
        <v>3</v>
      </c>
      <c r="D25">
        <v>1428</v>
      </c>
      <c r="E25">
        <v>940</v>
      </c>
      <c r="F25">
        <v>607</v>
      </c>
      <c r="G25">
        <v>5.1880341880341883</v>
      </c>
      <c r="H25">
        <v>117</v>
      </c>
      <c r="I25">
        <v>0.1927512355848435</v>
      </c>
      <c r="J25">
        <v>10.42021276595751</v>
      </c>
      <c r="K25">
        <v>1.31301350242091</v>
      </c>
      <c r="L25">
        <v>766.48888889342004</v>
      </c>
      <c r="M25">
        <v>0.88580246928293405</v>
      </c>
    </row>
    <row r="26" spans="1:13">
      <c r="A26" t="s">
        <v>15</v>
      </c>
      <c r="B26">
        <v>10</v>
      </c>
      <c r="C26">
        <v>4</v>
      </c>
      <c r="D26">
        <v>1431</v>
      </c>
      <c r="E26">
        <v>950</v>
      </c>
      <c r="F26">
        <v>597</v>
      </c>
      <c r="G26">
        <v>5.0168067226890756</v>
      </c>
      <c r="H26">
        <v>119</v>
      </c>
      <c r="I26">
        <v>0.19932998324958121</v>
      </c>
      <c r="J26">
        <v>10.676155323210949</v>
      </c>
      <c r="K26">
        <v>1.3667976693759201</v>
      </c>
      <c r="L26">
        <v>772.00000000456396</v>
      </c>
      <c r="M26">
        <v>0.70154321002381459</v>
      </c>
    </row>
    <row r="27" spans="1:13">
      <c r="A27" t="s">
        <v>15</v>
      </c>
      <c r="B27">
        <v>10</v>
      </c>
      <c r="C27">
        <v>5</v>
      </c>
      <c r="D27">
        <v>1430</v>
      </c>
      <c r="E27">
        <v>953</v>
      </c>
      <c r="F27">
        <v>600</v>
      </c>
      <c r="G27">
        <v>4.8780487804878048</v>
      </c>
      <c r="H27">
        <v>123</v>
      </c>
      <c r="I27">
        <v>0.20499999999999999</v>
      </c>
      <c r="J27">
        <v>10.73377750814816</v>
      </c>
      <c r="K27">
        <v>1.3544387784605201</v>
      </c>
      <c r="L27">
        <v>781.99999999687202</v>
      </c>
      <c r="M27">
        <v>0.81388888903642154</v>
      </c>
    </row>
    <row r="28" spans="1:13">
      <c r="A28" t="s">
        <v>15</v>
      </c>
      <c r="B28">
        <v>10</v>
      </c>
      <c r="C28">
        <v>6</v>
      </c>
      <c r="D28">
        <v>1428</v>
      </c>
      <c r="E28">
        <v>966</v>
      </c>
      <c r="F28">
        <v>606</v>
      </c>
      <c r="G28">
        <v>5.1794871794871797</v>
      </c>
      <c r="H28">
        <v>117</v>
      </c>
      <c r="I28">
        <v>0.1930693069306931</v>
      </c>
      <c r="J28">
        <v>10.004140786749529</v>
      </c>
      <c r="K28">
        <v>1.2918463715397599</v>
      </c>
      <c r="L28">
        <v>772.04444444455703</v>
      </c>
      <c r="M28">
        <v>0.9370370371844674</v>
      </c>
    </row>
    <row r="29" spans="1:13">
      <c r="A29" t="s">
        <v>15</v>
      </c>
      <c r="B29">
        <v>10</v>
      </c>
      <c r="C29">
        <v>7</v>
      </c>
      <c r="D29">
        <v>1431</v>
      </c>
      <c r="E29">
        <v>958</v>
      </c>
      <c r="F29">
        <v>611</v>
      </c>
      <c r="G29">
        <v>5.3596491228070171</v>
      </c>
      <c r="H29">
        <v>114</v>
      </c>
      <c r="I29">
        <v>0.18657937806873981</v>
      </c>
      <c r="J29">
        <v>9.9624204070976212</v>
      </c>
      <c r="K29">
        <v>1.2660103568502099</v>
      </c>
      <c r="L29">
        <v>879.73333333853395</v>
      </c>
      <c r="M29">
        <v>0.70493827175223189</v>
      </c>
    </row>
    <row r="30" spans="1:13">
      <c r="A30" t="s">
        <v>15</v>
      </c>
      <c r="B30">
        <v>10</v>
      </c>
      <c r="C30">
        <v>8</v>
      </c>
      <c r="D30">
        <v>1429</v>
      </c>
      <c r="E30">
        <v>958</v>
      </c>
      <c r="F30">
        <v>601</v>
      </c>
      <c r="G30">
        <v>5.2260869565217387</v>
      </c>
      <c r="H30">
        <v>115</v>
      </c>
      <c r="I30">
        <v>0.1913477537437604</v>
      </c>
      <c r="J30">
        <v>10.174321503131569</v>
      </c>
      <c r="K30">
        <v>1.3178763564051901</v>
      </c>
      <c r="L30">
        <v>741.77777778216296</v>
      </c>
      <c r="M30">
        <v>0.87839506187589045</v>
      </c>
    </row>
    <row r="31" spans="1:13">
      <c r="A31" t="s">
        <v>15</v>
      </c>
      <c r="B31">
        <v>10</v>
      </c>
      <c r="C31">
        <v>9</v>
      </c>
      <c r="D31">
        <v>1426</v>
      </c>
      <c r="E31">
        <v>931</v>
      </c>
      <c r="F31">
        <v>592</v>
      </c>
      <c r="G31">
        <v>5.2389380530973453</v>
      </c>
      <c r="H31">
        <v>113</v>
      </c>
      <c r="I31">
        <v>0.1908783783783784</v>
      </c>
      <c r="J31">
        <v>10.459717656914499</v>
      </c>
      <c r="K31">
        <v>1.31724954228765</v>
      </c>
      <c r="L31">
        <v>771.82222222678502</v>
      </c>
      <c r="M31">
        <v>0.99598765446795334</v>
      </c>
    </row>
    <row r="32" spans="1:13">
      <c r="A32" t="s">
        <v>16</v>
      </c>
      <c r="B32">
        <v>10</v>
      </c>
      <c r="C32">
        <v>0</v>
      </c>
      <c r="D32">
        <v>1422</v>
      </c>
      <c r="E32">
        <v>946</v>
      </c>
      <c r="F32">
        <v>615</v>
      </c>
      <c r="G32">
        <v>2.9009433962264151</v>
      </c>
      <c r="H32">
        <v>212</v>
      </c>
      <c r="I32">
        <v>0.34471544715447161</v>
      </c>
      <c r="J32">
        <v>16.12854524731025</v>
      </c>
      <c r="K32">
        <v>2.0383227945843001</v>
      </c>
      <c r="L32">
        <v>640.40000000378598</v>
      </c>
      <c r="M32">
        <v>1.3101851853323601</v>
      </c>
    </row>
    <row r="33" spans="1:13">
      <c r="A33" t="s">
        <v>16</v>
      </c>
      <c r="B33">
        <v>10</v>
      </c>
      <c r="C33">
        <v>1</v>
      </c>
      <c r="D33">
        <v>1429</v>
      </c>
      <c r="E33">
        <v>936</v>
      </c>
      <c r="F33">
        <v>579</v>
      </c>
      <c r="G33">
        <v>2.8663366336633662</v>
      </c>
      <c r="H33">
        <v>202</v>
      </c>
      <c r="I33">
        <v>0.34887737478411052</v>
      </c>
      <c r="J33">
        <v>16.495120691037609</v>
      </c>
      <c r="K33">
        <v>2.16664908089682</v>
      </c>
      <c r="L33">
        <v>874.13333333189098</v>
      </c>
      <c r="M33">
        <v>0.85061728409794934</v>
      </c>
    </row>
    <row r="34" spans="1:13">
      <c r="A34" t="s">
        <v>16</v>
      </c>
      <c r="B34">
        <v>10</v>
      </c>
      <c r="C34">
        <v>2</v>
      </c>
      <c r="D34">
        <v>1429</v>
      </c>
      <c r="E34">
        <v>979</v>
      </c>
      <c r="F34">
        <v>609</v>
      </c>
      <c r="G34">
        <v>2.9</v>
      </c>
      <c r="H34">
        <v>210</v>
      </c>
      <c r="I34">
        <v>0.34482758620689657</v>
      </c>
      <c r="J34">
        <v>15.74387536013483</v>
      </c>
      <c r="K34">
        <v>2.0514354316251899</v>
      </c>
      <c r="L34">
        <v>722.04444444871297</v>
      </c>
      <c r="M34">
        <v>0.82191358039407636</v>
      </c>
    </row>
    <row r="35" spans="1:13">
      <c r="A35" t="s">
        <v>16</v>
      </c>
      <c r="B35">
        <v>10</v>
      </c>
      <c r="C35">
        <v>3</v>
      </c>
      <c r="D35">
        <v>1429</v>
      </c>
      <c r="E35">
        <v>958</v>
      </c>
      <c r="F35">
        <v>602</v>
      </c>
      <c r="G35">
        <v>3.0558375634517772</v>
      </c>
      <c r="H35">
        <v>197</v>
      </c>
      <c r="I35">
        <v>0.3272425249169435</v>
      </c>
      <c r="J35">
        <v>15.10693107021566</v>
      </c>
      <c r="K35">
        <v>1.99064181524702</v>
      </c>
      <c r="L35">
        <v>831.55555555513001</v>
      </c>
      <c r="M35">
        <v>0.83086419767808062</v>
      </c>
    </row>
    <row r="36" spans="1:13">
      <c r="A36" t="s">
        <v>16</v>
      </c>
      <c r="B36">
        <v>10</v>
      </c>
      <c r="C36">
        <v>4</v>
      </c>
      <c r="D36">
        <v>1429</v>
      </c>
      <c r="E36">
        <v>955</v>
      </c>
      <c r="F36">
        <v>592</v>
      </c>
      <c r="G36">
        <v>2.8599033816425119</v>
      </c>
      <c r="H36">
        <v>207</v>
      </c>
      <c r="I36">
        <v>0.34966216216216223</v>
      </c>
      <c r="J36">
        <v>15.495610856572251</v>
      </c>
      <c r="K36">
        <v>2.0397237548702098</v>
      </c>
      <c r="L36">
        <v>689.42222222267606</v>
      </c>
      <c r="M36">
        <v>0.84351851866580763</v>
      </c>
    </row>
    <row r="37" spans="1:13">
      <c r="A37" t="s">
        <v>16</v>
      </c>
      <c r="B37">
        <v>10</v>
      </c>
      <c r="C37">
        <v>5</v>
      </c>
      <c r="D37">
        <v>1427</v>
      </c>
      <c r="E37">
        <v>958</v>
      </c>
      <c r="F37">
        <v>606</v>
      </c>
      <c r="G37">
        <v>2.9134615384615379</v>
      </c>
      <c r="H37">
        <v>208</v>
      </c>
      <c r="I37">
        <v>0.34323432343234322</v>
      </c>
      <c r="J37">
        <v>15.797572994112111</v>
      </c>
      <c r="K37">
        <v>2.0335441467432198</v>
      </c>
      <c r="L37">
        <v>749.02222222231705</v>
      </c>
      <c r="M37">
        <v>0.99290123471525482</v>
      </c>
    </row>
    <row r="38" spans="1:13">
      <c r="A38" t="s">
        <v>16</v>
      </c>
      <c r="B38">
        <v>10</v>
      </c>
      <c r="C38">
        <v>6</v>
      </c>
      <c r="D38">
        <v>1429</v>
      </c>
      <c r="E38">
        <v>965</v>
      </c>
      <c r="F38">
        <v>599</v>
      </c>
      <c r="G38">
        <v>2.866028708133971</v>
      </c>
      <c r="H38">
        <v>209</v>
      </c>
      <c r="I38">
        <v>0.34891485809682798</v>
      </c>
      <c r="J38">
        <v>16.266294185342801</v>
      </c>
      <c r="K38">
        <v>2.1399867957583001</v>
      </c>
      <c r="L38">
        <v>722.00000000426803</v>
      </c>
      <c r="M38">
        <v>0.84753086434484515</v>
      </c>
    </row>
    <row r="39" spans="1:13">
      <c r="A39" t="s">
        <v>16</v>
      </c>
      <c r="B39">
        <v>10</v>
      </c>
      <c r="C39">
        <v>7</v>
      </c>
      <c r="D39">
        <v>1430</v>
      </c>
      <c r="E39">
        <v>969</v>
      </c>
      <c r="F39">
        <v>610</v>
      </c>
      <c r="G39">
        <v>3.112244897959183</v>
      </c>
      <c r="H39">
        <v>196</v>
      </c>
      <c r="I39">
        <v>0.32131147540983612</v>
      </c>
      <c r="J39">
        <v>14.268515846959129</v>
      </c>
      <c r="K39">
        <v>1.8618384936650101</v>
      </c>
      <c r="L39">
        <v>721.82222222648898</v>
      </c>
      <c r="M39">
        <v>0.77716049397447495</v>
      </c>
    </row>
    <row r="40" spans="1:13">
      <c r="A40" t="s">
        <v>16</v>
      </c>
      <c r="B40">
        <v>10</v>
      </c>
      <c r="C40">
        <v>8</v>
      </c>
      <c r="D40">
        <v>1430</v>
      </c>
      <c r="E40">
        <v>970</v>
      </c>
      <c r="F40">
        <v>609</v>
      </c>
      <c r="G40">
        <v>3</v>
      </c>
      <c r="H40">
        <v>203</v>
      </c>
      <c r="I40">
        <v>0.33333333333333331</v>
      </c>
      <c r="J40">
        <v>15.7542310996401</v>
      </c>
      <c r="K40">
        <v>2.0420056186339899</v>
      </c>
      <c r="L40">
        <v>658.88888888891199</v>
      </c>
      <c r="M40">
        <v>0.81111111125861668</v>
      </c>
    </row>
    <row r="41" spans="1:13">
      <c r="A41" t="s">
        <v>16</v>
      </c>
      <c r="B41">
        <v>10</v>
      </c>
      <c r="C41">
        <v>9</v>
      </c>
      <c r="D41">
        <v>1427</v>
      </c>
      <c r="E41">
        <v>956</v>
      </c>
      <c r="F41">
        <v>604</v>
      </c>
      <c r="G41">
        <v>2.9178743961352658</v>
      </c>
      <c r="H41">
        <v>207</v>
      </c>
      <c r="I41">
        <v>0.34271523178807939</v>
      </c>
      <c r="J41">
        <v>15.81799163179927</v>
      </c>
      <c r="K41">
        <v>2.0274976964497098</v>
      </c>
      <c r="L41">
        <v>752.22222222666903</v>
      </c>
      <c r="M41">
        <v>1.0185185186660179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1407.8</v>
      </c>
      <c r="E22">
        <v>1407.8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8.6384154925670362</v>
      </c>
      <c r="E23">
        <v>8.6384154925670362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939.5</v>
      </c>
      <c r="E24">
        <v>939.5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11.207636285636285</v>
      </c>
      <c r="E25">
        <v>11.207636285636291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589.70000000000005</v>
      </c>
      <c r="E26">
        <v>589.70000000000005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12.552556180581972</v>
      </c>
      <c r="E27">
        <v>12.55255618058197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4.4144339799144454</v>
      </c>
      <c r="E28">
        <v>4.4144339799144454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8.4468824765411454E-2</v>
      </c>
      <c r="E29">
        <v>8.4468824765411607E-2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133.6</v>
      </c>
      <c r="E30">
        <v>133.6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2.4585451886114362</v>
      </c>
      <c r="E31">
        <v>2.4585451886114358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0.22660497394956503</v>
      </c>
      <c r="E32">
        <v>0.226604973949565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4.3766917167157712E-3</v>
      </c>
      <c r="E33">
        <v>4.3766917167157634E-3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11.171752856743536</v>
      </c>
      <c r="E34">
        <v>11.17175285674354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0.2121463638356928</v>
      </c>
      <c r="E35">
        <v>0.2121463638356931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1.4291991183117672</v>
      </c>
      <c r="E36">
        <v>1.4291991183117669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3.3398460174354723E-2</v>
      </c>
      <c r="E37">
        <v>3.3398460174354723E-2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858.85333333434687</v>
      </c>
      <c r="E38">
        <v>858.85333333434698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63.019069728104078</v>
      </c>
      <c r="E39">
        <v>63.019069728104078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2.3157407408880331</v>
      </c>
      <c r="E40">
        <v>2.3157407408880331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0.58430457462933638</v>
      </c>
      <c r="E41">
        <v>0.58430457462933716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1428.7</v>
      </c>
      <c r="E42">
        <v>1428.7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2.263232692902394</v>
      </c>
      <c r="E43">
        <v>2.263232692902394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952.2</v>
      </c>
      <c r="E44">
        <v>952.2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16.45059944871986</v>
      </c>
      <c r="E45">
        <v>16.45059944871986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603.5</v>
      </c>
      <c r="E46">
        <v>603.5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11.067971810589327</v>
      </c>
      <c r="E47">
        <v>11.067971810589331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5.1175754795168205</v>
      </c>
      <c r="E48">
        <v>5.1175754795168196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0.15170876494723376</v>
      </c>
      <c r="E49">
        <v>0.15170876494723379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118</v>
      </c>
      <c r="E50">
        <v>118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3.39934634239519</v>
      </c>
      <c r="E51">
        <v>3.39934634239519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0.19556075634889752</v>
      </c>
      <c r="E52">
        <v>0.1955607563488975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5.8391886587596444E-3</v>
      </c>
      <c r="E53">
        <v>5.8391886587596644E-3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10.35040239595906</v>
      </c>
      <c r="E54">
        <v>10.35040239595906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0.27376433738760975</v>
      </c>
      <c r="E55">
        <v>0.27376433738760908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1.317185140231671</v>
      </c>
      <c r="E56">
        <v>1.317185140231671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2.9436940075360178E-2</v>
      </c>
      <c r="E57">
        <v>2.9436940075360182E-2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787.77777778006782</v>
      </c>
      <c r="E58">
        <v>787.77777778006782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40.322039707109951</v>
      </c>
      <c r="E59">
        <v>40.322039707109951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0.8557407408879818</v>
      </c>
      <c r="E60">
        <v>0.8557407408879818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0.15670302874636355</v>
      </c>
      <c r="E61">
        <v>0.15670302874636341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1428.1</v>
      </c>
      <c r="E62">
        <v>1428.1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2.3781411975649296</v>
      </c>
      <c r="E63">
        <v>2.3781411975649291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959.2</v>
      </c>
      <c r="E64">
        <v>959.2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12.389960093200909</v>
      </c>
      <c r="E65">
        <v>12.38996009320091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602.5</v>
      </c>
      <c r="E66">
        <v>602.5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10.469532516359607</v>
      </c>
      <c r="E67">
        <v>10.46953251635961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2.9392630515674028</v>
      </c>
      <c r="E68">
        <v>2.9392630515674019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8.7123142395439765E-2</v>
      </c>
      <c r="E69">
        <v>8.7123142395439723E-2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205.1</v>
      </c>
      <c r="E70">
        <v>205.1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5.425249610233001</v>
      </c>
      <c r="E71">
        <v>5.4252496102330019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0.34048343172850049</v>
      </c>
      <c r="E72">
        <v>0.34048343172850049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9.8270359592916284E-3</v>
      </c>
      <c r="E73">
        <v>9.8270359592916405E-3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15.6874688983124</v>
      </c>
      <c r="E74">
        <v>15.6874688983124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0.63297778556333295</v>
      </c>
      <c r="E75">
        <v>0.63297778556333184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2.0391645628473771</v>
      </c>
      <c r="E76">
        <v>2.0391645628473771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8.2018824922221137E-2</v>
      </c>
      <c r="E77">
        <v>8.2018824922221123E-2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736.15111111308511</v>
      </c>
      <c r="E78">
        <v>736.15111111308511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71.872519973971023</v>
      </c>
      <c r="E79">
        <v>71.872519973971023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0.91043209891274834</v>
      </c>
      <c r="E80">
        <v>0.91043209891274834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0.1605859844095652</v>
      </c>
      <c r="E81">
        <v>0.16058598440956531</v>
      </c>
    </row>
    <row r="82" spans="1:5">
      <c r="A82" t="s">
        <v>24</v>
      </c>
      <c r="B82" t="s">
        <v>25</v>
      </c>
      <c r="C82" t="s">
        <v>3</v>
      </c>
      <c r="D82">
        <f>(AVERAGE(per_seed!$D$2:$D$11)-AVERAGE(per_seed!$D$12:$D$21))/AVERAGE(per_seed!$D$12:$D$21)*100</f>
        <v>0.85949708765450605</v>
      </c>
      <c r="E82">
        <v>0.85949708765450605</v>
      </c>
    </row>
    <row r="83" spans="1:5">
      <c r="A83" t="s">
        <v>26</v>
      </c>
      <c r="B83" t="s">
        <v>25</v>
      </c>
      <c r="C83" t="s">
        <v>3</v>
      </c>
      <c r="D83">
        <f>_xlfn.T.TEST(per_seed!$D$12:$D$21,per_seed!$D$2:$D$11,2,1)</f>
        <v>5.0144682897346939E-3</v>
      </c>
      <c r="E83">
        <v>5.0144682897350131E-3</v>
      </c>
    </row>
    <row r="84" spans="1:5">
      <c r="A84" t="s">
        <v>24</v>
      </c>
      <c r="B84" t="s">
        <v>25</v>
      </c>
      <c r="C84" t="s">
        <v>4</v>
      </c>
      <c r="D84">
        <f>(AVERAGE(per_seed!$E$2:$E$11)-AVERAGE(per_seed!$E$12:$E$21))/AVERAGE(per_seed!$E$12:$E$21)*100</f>
        <v>0.70250133049494656</v>
      </c>
      <c r="E84">
        <v>0.70250133049494656</v>
      </c>
    </row>
    <row r="85" spans="1:5">
      <c r="A85" t="s">
        <v>26</v>
      </c>
      <c r="B85" t="s">
        <v>25</v>
      </c>
      <c r="C85" t="s">
        <v>4</v>
      </c>
      <c r="D85">
        <f>_xlfn.T.TEST(per_seed!$E$12:$E$21,per_seed!$E$2:$E$11,2,1)</f>
        <v>8.4654207578646126E-2</v>
      </c>
      <c r="E85">
        <v>8.4654207578647014E-2</v>
      </c>
    </row>
    <row r="86" spans="1:5">
      <c r="A86" t="s">
        <v>24</v>
      </c>
      <c r="B86" t="s">
        <v>25</v>
      </c>
      <c r="C86" t="s">
        <v>5</v>
      </c>
      <c r="D86">
        <f>(AVERAGE(per_seed!$F$2:$F$11)-AVERAGE(per_seed!$F$12:$F$21))/AVERAGE(per_seed!$F$12:$F$21)*100</f>
        <v>1.5940308631507507</v>
      </c>
      <c r="E86">
        <v>1.5940308631507509</v>
      </c>
    </row>
    <row r="87" spans="1:5">
      <c r="A87" t="s">
        <v>26</v>
      </c>
      <c r="B87" t="s">
        <v>25</v>
      </c>
      <c r="C87" t="s">
        <v>5</v>
      </c>
      <c r="D87">
        <f>_xlfn.T.TEST(per_seed!$F$12:$F$21,per_seed!$F$2:$F$11,2,1)</f>
        <v>5.7164769285828728E-3</v>
      </c>
      <c r="E87">
        <v>5.716476928582819E-3</v>
      </c>
    </row>
    <row r="88" spans="1:5">
      <c r="A88" t="s">
        <v>24</v>
      </c>
      <c r="B88" t="s">
        <v>25</v>
      </c>
      <c r="C88" t="s">
        <v>6</v>
      </c>
      <c r="D88">
        <f>(AVERAGE(per_seed!$G$2:$G$11)-AVERAGE(per_seed!$G$12:$G$21))/AVERAGE(per_seed!$G$12:$G$21)*100</f>
        <v>20.913978716250821</v>
      </c>
      <c r="E88">
        <v>20.913978716250821</v>
      </c>
    </row>
    <row r="89" spans="1:5">
      <c r="A89" t="s">
        <v>26</v>
      </c>
      <c r="B89" t="s">
        <v>25</v>
      </c>
      <c r="C89" t="s">
        <v>6</v>
      </c>
      <c r="D89">
        <f>_xlfn.T.TEST(per_seed!$G$12:$G$21,per_seed!$G$2:$G$11,2,1)</f>
        <v>3.3106514670468232E-8</v>
      </c>
      <c r="E89">
        <v>3.3106514670468258E-8</v>
      </c>
    </row>
    <row r="90" spans="1:5">
      <c r="A90" t="s">
        <v>24</v>
      </c>
      <c r="B90" t="s">
        <v>25</v>
      </c>
      <c r="C90" t="s">
        <v>7</v>
      </c>
      <c r="D90">
        <f>(AVERAGE(per_seed!$H$2:$H$11)-AVERAGE(per_seed!$H$12:$H$21))/AVERAGE(per_seed!$H$12:$H$21)*100</f>
        <v>-15.943113772455089</v>
      </c>
      <c r="E90">
        <v>-15.94311377245509</v>
      </c>
    </row>
    <row r="91" spans="1:5">
      <c r="A91" t="s">
        <v>26</v>
      </c>
      <c r="B91" t="s">
        <v>25</v>
      </c>
      <c r="C91" t="s">
        <v>7</v>
      </c>
      <c r="D91">
        <f>_xlfn.T.TEST(per_seed!$H$12:$H$21,per_seed!$H$2:$H$11,2,1)</f>
        <v>2.1447763710947723E-8</v>
      </c>
      <c r="E91">
        <v>2.1447763710947739E-8</v>
      </c>
    </row>
    <row r="92" spans="1:5">
      <c r="A92" t="s">
        <v>24</v>
      </c>
      <c r="B92" t="s">
        <v>25</v>
      </c>
      <c r="C92" t="s">
        <v>8</v>
      </c>
      <c r="D92">
        <f>(AVERAGE(per_seed!$I$2:$I$11)-AVERAGE(per_seed!$I$12:$I$21))/AVERAGE(per_seed!$I$12:$I$21)*100</f>
        <v>-17.241591248632165</v>
      </c>
      <c r="E92">
        <v>-17.241591248632169</v>
      </c>
    </row>
    <row r="93" spans="1:5">
      <c r="A93" t="s">
        <v>26</v>
      </c>
      <c r="B93" t="s">
        <v>25</v>
      </c>
      <c r="C93" t="s">
        <v>8</v>
      </c>
      <c r="D93">
        <f>_xlfn.T.TEST(per_seed!$I$12:$I$21,per_seed!$I$2:$I$11,2,1)</f>
        <v>1.0660970776793037E-8</v>
      </c>
      <c r="E93">
        <v>1.066097077679301E-8</v>
      </c>
    </row>
    <row r="94" spans="1:5">
      <c r="A94" t="s">
        <v>24</v>
      </c>
      <c r="B94" t="s">
        <v>25</v>
      </c>
      <c r="C94" t="s">
        <v>9</v>
      </c>
      <c r="D94">
        <f>(AVERAGE(per_seed!$J$2:$J$11)-AVERAGE(per_seed!$J$12:$J$21))/AVERAGE(per_seed!$J$12:$J$21)*100</f>
        <v>-16.095763018234717</v>
      </c>
      <c r="E94">
        <v>-16.09576301823472</v>
      </c>
    </row>
    <row r="95" spans="1:5">
      <c r="A95" t="s">
        <v>26</v>
      </c>
      <c r="B95" t="s">
        <v>25</v>
      </c>
      <c r="C95" t="s">
        <v>9</v>
      </c>
      <c r="D95">
        <f>_xlfn.T.TEST(per_seed!$J$12:$J$21,per_seed!$J$2:$J$11,2,1)</f>
        <v>4.3703755550499315E-8</v>
      </c>
      <c r="E95">
        <v>4.3703755550499818E-8</v>
      </c>
    </row>
    <row r="96" spans="1:5">
      <c r="A96" t="s">
        <v>24</v>
      </c>
      <c r="B96" t="s">
        <v>25</v>
      </c>
      <c r="C96" t="s">
        <v>10</v>
      </c>
      <c r="D96">
        <f>(AVERAGE(per_seed!$K$2:$K$11)-AVERAGE(per_seed!$K$12:$K$21))/AVERAGE(per_seed!$K$12:$K$21)*100</f>
        <v>-16.769851731115491</v>
      </c>
      <c r="E96">
        <v>-16.76985173111548</v>
      </c>
    </row>
    <row r="97" spans="1:5">
      <c r="A97" t="s">
        <v>26</v>
      </c>
      <c r="B97" t="s">
        <v>25</v>
      </c>
      <c r="C97" t="s">
        <v>10</v>
      </c>
      <c r="D97">
        <f>_xlfn.T.TEST(per_seed!$K$12:$K$21,per_seed!$K$2:$K$11,2,1)</f>
        <v>2.8909143603452427E-8</v>
      </c>
      <c r="E97">
        <v>2.8909143603452659E-8</v>
      </c>
    </row>
    <row r="98" spans="1:5">
      <c r="A98" t="s">
        <v>24</v>
      </c>
      <c r="B98" t="s">
        <v>25</v>
      </c>
      <c r="C98" t="s">
        <v>11</v>
      </c>
      <c r="D98">
        <f>(AVERAGE(per_seed!$L$2:$L$11)-AVERAGE(per_seed!$L$12:$L$21))/AVERAGE(per_seed!$L$12:$L$21)*100</f>
        <v>-3.2679231221435505</v>
      </c>
      <c r="E98">
        <v>-3.267923122143563</v>
      </c>
    </row>
    <row r="99" spans="1:5">
      <c r="A99" t="s">
        <v>26</v>
      </c>
      <c r="B99" t="s">
        <v>25</v>
      </c>
      <c r="C99" t="s">
        <v>11</v>
      </c>
      <c r="D99">
        <f>_xlfn.T.TEST(per_seed!$L$12:$L$21,per_seed!$L$2:$L$11,2,1)</f>
        <v>9.2412748280785023E-2</v>
      </c>
      <c r="E99">
        <v>9.2412748280783372E-2</v>
      </c>
    </row>
    <row r="100" spans="1:5">
      <c r="A100" t="s">
        <v>24</v>
      </c>
      <c r="B100" t="s">
        <v>25</v>
      </c>
      <c r="C100" t="s">
        <v>12</v>
      </c>
      <c r="D100">
        <f>(AVERAGE(per_seed!$M$2:$M$11)-AVERAGE(per_seed!$M$12:$M$21))/AVERAGE(per_seed!$M$12:$M$21)*100</f>
        <v>-37.253098758132012</v>
      </c>
      <c r="E100">
        <v>-37.253098758132033</v>
      </c>
    </row>
    <row r="101" spans="1:5">
      <c r="A101" t="s">
        <v>26</v>
      </c>
      <c r="B101" t="s">
        <v>25</v>
      </c>
      <c r="C101" t="s">
        <v>12</v>
      </c>
      <c r="D101">
        <f>_xlfn.T.TEST(per_seed!$M$12:$M$21,per_seed!$M$2:$M$11,2,1)</f>
        <v>3.8759212815652521E-3</v>
      </c>
      <c r="E101">
        <v>3.8759212815652399E-3</v>
      </c>
    </row>
    <row r="102" spans="1:5">
      <c r="A102" t="s">
        <v>24</v>
      </c>
      <c r="B102" t="s">
        <v>27</v>
      </c>
      <c r="C102" t="s">
        <v>3</v>
      </c>
      <c r="D102">
        <f>(AVERAGE(per_seed!$D$22:$D$31)-AVERAGE(per_seed!$D$32:$D$41))/AVERAGE(per_seed!$D$32:$D$41)*100</f>
        <v>4.2013864575319408E-2</v>
      </c>
      <c r="E102">
        <v>4.2013864575319408E-2</v>
      </c>
    </row>
    <row r="103" spans="1:5">
      <c r="A103" t="s">
        <v>26</v>
      </c>
      <c r="B103" t="s">
        <v>27</v>
      </c>
      <c r="C103" t="s">
        <v>3</v>
      </c>
      <c r="D103">
        <f>_xlfn.T.TEST(per_seed!$D$32:$D$41,per_seed!$D$22:$D$31,2,1)</f>
        <v>0.23927242482687974</v>
      </c>
      <c r="E103">
        <v>0.2392724248269783</v>
      </c>
    </row>
    <row r="104" spans="1:5">
      <c r="A104" t="s">
        <v>24</v>
      </c>
      <c r="B104" t="s">
        <v>27</v>
      </c>
      <c r="C104" t="s">
        <v>4</v>
      </c>
      <c r="D104">
        <f>(AVERAGE(per_seed!$E$22:$E$31)-AVERAGE(per_seed!$E$32:$E$41))/AVERAGE(per_seed!$E$32:$E$41)*100</f>
        <v>-0.72977481234361963</v>
      </c>
      <c r="E104">
        <v>-0.72977481234361963</v>
      </c>
    </row>
    <row r="105" spans="1:5">
      <c r="A105" t="s">
        <v>26</v>
      </c>
      <c r="B105" t="s">
        <v>27</v>
      </c>
      <c r="C105" t="s">
        <v>4</v>
      </c>
      <c r="D105">
        <f>_xlfn.T.TEST(per_seed!$E$32:$E$41,per_seed!$E$22:$E$31,2,1)</f>
        <v>4.809992609518389E-2</v>
      </c>
      <c r="E105">
        <v>4.8099926095183917E-2</v>
      </c>
    </row>
    <row r="106" spans="1:5">
      <c r="A106" t="s">
        <v>24</v>
      </c>
      <c r="B106" t="s">
        <v>27</v>
      </c>
      <c r="C106" t="s">
        <v>5</v>
      </c>
      <c r="D106">
        <f>(AVERAGE(per_seed!$F$22:$F$31)-AVERAGE(per_seed!$F$32:$F$41))/AVERAGE(per_seed!$F$32:$F$41)*100</f>
        <v>0.16597510373443983</v>
      </c>
      <c r="E106">
        <v>0.1659751037344398</v>
      </c>
    </row>
    <row r="107" spans="1:5">
      <c r="A107" t="s">
        <v>26</v>
      </c>
      <c r="B107" t="s">
        <v>27</v>
      </c>
      <c r="C107" t="s">
        <v>5</v>
      </c>
      <c r="D107">
        <f>_xlfn.T.TEST(per_seed!$F$32:$F$41,per_seed!$F$22:$F$31,2,1)</f>
        <v>0.6645965211678122</v>
      </c>
      <c r="E107">
        <v>0.66459652116781276</v>
      </c>
    </row>
    <row r="108" spans="1:5">
      <c r="A108" t="s">
        <v>24</v>
      </c>
      <c r="B108" t="s">
        <v>27</v>
      </c>
      <c r="C108" t="s">
        <v>6</v>
      </c>
      <c r="D108">
        <f>(AVERAGE(per_seed!$G$22:$G$31)-AVERAGE(per_seed!$G$32:$G$41))/AVERAGE(per_seed!$G$32:$G$41)*100</f>
        <v>74.110836278767309</v>
      </c>
      <c r="E108">
        <v>74.110836278767295</v>
      </c>
    </row>
    <row r="109" spans="1:5">
      <c r="A109" t="s">
        <v>26</v>
      </c>
      <c r="B109" t="s">
        <v>27</v>
      </c>
      <c r="C109" t="s">
        <v>6</v>
      </c>
      <c r="D109">
        <f>_xlfn.T.TEST(per_seed!$G$32:$G$41,per_seed!$G$22:$G$31,2,1)</f>
        <v>4.0524944590379313E-13</v>
      </c>
      <c r="E109">
        <v>4.0524944590379489E-13</v>
      </c>
    </row>
    <row r="110" spans="1:5">
      <c r="A110" t="s">
        <v>24</v>
      </c>
      <c r="B110" t="s">
        <v>27</v>
      </c>
      <c r="C110" t="s">
        <v>7</v>
      </c>
      <c r="D110">
        <f>(AVERAGE(per_seed!$H$22:$H$31)-AVERAGE(per_seed!$H$32:$H$41))/AVERAGE(per_seed!$H$32:$H$41)*100</f>
        <v>-42.467089224768408</v>
      </c>
      <c r="E110">
        <v>-42.467089224768408</v>
      </c>
    </row>
    <row r="111" spans="1:5">
      <c r="A111" t="s">
        <v>26</v>
      </c>
      <c r="B111" t="s">
        <v>27</v>
      </c>
      <c r="C111" t="s">
        <v>7</v>
      </c>
      <c r="D111">
        <f>_xlfn.T.TEST(per_seed!$H$32:$H$41,per_seed!$H$22:$H$31,2,1)</f>
        <v>4.2491256271178668E-13</v>
      </c>
      <c r="E111">
        <v>4.2491256271178698E-13</v>
      </c>
    </row>
    <row r="112" spans="1:5">
      <c r="A112" t="s">
        <v>24</v>
      </c>
      <c r="B112" t="s">
        <v>27</v>
      </c>
      <c r="C112" t="s">
        <v>8</v>
      </c>
      <c r="D112">
        <f>(AVERAGE(per_seed!$I$22:$I$31)-AVERAGE(per_seed!$I$32:$I$41))/AVERAGE(per_seed!$I$32:$I$41)*100</f>
        <v>-42.563796612330748</v>
      </c>
      <c r="E112">
        <v>-42.563796612330748</v>
      </c>
    </row>
    <row r="113" spans="1:5">
      <c r="A113" t="s">
        <v>26</v>
      </c>
      <c r="B113" t="s">
        <v>27</v>
      </c>
      <c r="C113" t="s">
        <v>8</v>
      </c>
      <c r="D113">
        <f>_xlfn.T.TEST(per_seed!$I$32:$I$41,per_seed!$I$22:$I$31,2,1)</f>
        <v>3.5326107046292264E-13</v>
      </c>
      <c r="E113">
        <v>3.5326107046293299E-13</v>
      </c>
    </row>
    <row r="114" spans="1:5">
      <c r="A114" t="s">
        <v>24</v>
      </c>
      <c r="B114" t="s">
        <v>27</v>
      </c>
      <c r="C114" t="s">
        <v>9</v>
      </c>
      <c r="D114">
        <f>(AVERAGE(per_seed!$J$22:$J$31)-AVERAGE(per_seed!$J$32:$J$41))/AVERAGE(per_seed!$J$32:$J$41)*100</f>
        <v>-34.021208500547097</v>
      </c>
      <c r="E114">
        <v>-34.021208500547083</v>
      </c>
    </row>
    <row r="115" spans="1:5">
      <c r="A115" t="s">
        <v>26</v>
      </c>
      <c r="B115" t="s">
        <v>27</v>
      </c>
      <c r="C115" t="s">
        <v>9</v>
      </c>
      <c r="D115">
        <f>_xlfn.T.TEST(per_seed!$J$32:$J$41,per_seed!$J$22:$J$31,2,1)</f>
        <v>6.3636812037022862E-10</v>
      </c>
      <c r="E115">
        <v>6.3636812037021579E-10</v>
      </c>
    </row>
    <row r="116" spans="1:5">
      <c r="A116" t="s">
        <v>24</v>
      </c>
      <c r="B116" t="s">
        <v>27</v>
      </c>
      <c r="C116" t="s">
        <v>10</v>
      </c>
      <c r="D116">
        <f>(AVERAGE(per_seed!$K$22:$K$31)-AVERAGE(per_seed!$K$32:$K$41))/AVERAGE(per_seed!$K$32:$K$41)*100</f>
        <v>-35.405647772123586</v>
      </c>
      <c r="E116">
        <v>-35.405647772123579</v>
      </c>
    </row>
    <row r="117" spans="1:5">
      <c r="A117" t="s">
        <v>26</v>
      </c>
      <c r="B117" t="s">
        <v>27</v>
      </c>
      <c r="C117" t="s">
        <v>10</v>
      </c>
      <c r="D117">
        <f>_xlfn.T.TEST(per_seed!$K$32:$K$41,per_seed!$K$22:$K$31,2,1)</f>
        <v>2.2349537002738599E-10</v>
      </c>
      <c r="E117">
        <v>2.234953700273862E-10</v>
      </c>
    </row>
    <row r="118" spans="1:5">
      <c r="A118" t="s">
        <v>24</v>
      </c>
      <c r="B118" t="s">
        <v>27</v>
      </c>
      <c r="C118" t="s">
        <v>11</v>
      </c>
      <c r="D118">
        <f>(AVERAGE(per_seed!$L$22:$L$31)-AVERAGE(per_seed!$L$32:$L$41))/AVERAGE(per_seed!$L$32:$L$41)*100</f>
        <v>7.013052875641451</v>
      </c>
      <c r="E118">
        <v>7.013052875641451</v>
      </c>
    </row>
    <row r="119" spans="1:5">
      <c r="A119" t="s">
        <v>26</v>
      </c>
      <c r="B119" t="s">
        <v>27</v>
      </c>
      <c r="C119" t="s">
        <v>11</v>
      </c>
      <c r="D119">
        <f>_xlfn.T.TEST(per_seed!$L$32:$L$41,per_seed!$L$22:$L$31,2,1)</f>
        <v>5.1368517816091031E-2</v>
      </c>
      <c r="E119">
        <v>5.1368517816090607E-2</v>
      </c>
    </row>
    <row r="120" spans="1:5">
      <c r="A120" t="s">
        <v>24</v>
      </c>
      <c r="B120" t="s">
        <v>27</v>
      </c>
      <c r="C120" t="s">
        <v>12</v>
      </c>
      <c r="D120">
        <f>(AVERAGE(per_seed!$M$22:$M$31)-AVERAGE(per_seed!$M$32:$M$41))/AVERAGE(per_seed!$M$32:$M$41)*100</f>
        <v>-6.0071869269635574</v>
      </c>
      <c r="E120">
        <v>-6.0071869269635574</v>
      </c>
    </row>
    <row r="121" spans="1:5">
      <c r="A121" t="s">
        <v>26</v>
      </c>
      <c r="B121" t="s">
        <v>27</v>
      </c>
      <c r="C121" t="s">
        <v>12</v>
      </c>
      <c r="D121">
        <f>_xlfn.T.TEST(per_seed!$M$32:$M$41,per_seed!$M$22:$M$31,2,1)</f>
        <v>0.10662690795831921</v>
      </c>
      <c r="E121">
        <v>0.1066269079583196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2026-09-15T18:09:09Z</dcterms:created>
  <dcterms:modified xsi:type="dcterms:W3CDTF">2026-09-15T18:09:17Z</dcterms:modified>
</cp:coreProperties>
</file>