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6_m4g_legacy_no_distance\"/>
    </mc:Choice>
  </mc:AlternateContent>
  <xr:revisionPtr revIDLastSave="0" documentId="13_ncr:1_{471A51C4-1443-4FC5-B4C9-6F5D7843C207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1" i="2" l="1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<sst xmlns="http://schemas.openxmlformats.org/spreadsheetml/2006/main" count="678" uniqueCount="32">
  <si>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</si>
  <si>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</si>
  <si>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</si>
  <si>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</si>
  <si>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</si>
  <si>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</si>
  <si>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</si>
  <si>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</si>
  <si>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</si>
  <si>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</si>
  <si>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</si>
  <si>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</si>
  <si>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</si>
  <si>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m4g_6b</t>
  </si>
  <si>
    <t>m4g_legacy_6b</t>
  </si>
  <si>
    <t>m4g_legacy_nodist_6b</t>
  </si>
  <si>
    <t>m4g_10b</t>
  </si>
  <si>
    <t>m4g_legacy_10b</t>
  </si>
  <si>
    <t>m4g_legacy_nodist_10b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</si>
  <si>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</si>
  <si>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</si>
  <si>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</si>
  <si>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</si>
  <si>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</si>
  <si>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</si>
  <si>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</si>
  <si>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</si>
  <si>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m4g_legacy_nodist_6b vs m4g_legacy_6b</t>
  </si>
  <si>
    <t>p</t>
  </si>
  <si>
    <t>m4g_legacy_nodist_6b vs m4g_6b</t>
  </si>
  <si>
    <t>m4g_legacy_nodist_10b vs m4g_legacy_10b</t>
  </si>
  <si>
    <t>m4g_legacy_nodist_10b vs m4g_10b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</si>
</sst>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1426</v>
      </c>
      <c r="E2">
        <v>945</v>
      </c>
      <c r="F2">
        <v>616</v>
      </c>
      <c r="G2">
        <v>5.5</v>
      </c>
      <c r="H2">
        <v>112</v>
      </c>
      <c r="I2">
        <v>0.1818181818181818</v>
      </c>
      <c r="J2">
        <v>9.8725978182668577</v>
      </c>
      <c r="K2">
        <v>1.1974569373233299</v>
      </c>
      <c r="L2">
        <v>803.95555555617</v>
      </c>
      <c r="M2">
        <v>1.0283950618755491</v>
      </c>
    </row>
    <row r="3" spans="1:13">
      <c r="A3" t="s">
        <v>13</v>
      </c>
      <c r="B3">
        <v>6</v>
      </c>
      <c r="C3">
        <v>1</v>
      </c>
      <c r="D3">
        <v>1412</v>
      </c>
      <c r="E3">
        <v>925</v>
      </c>
      <c r="F3">
        <v>580</v>
      </c>
      <c r="G3">
        <v>5.1785714285714288</v>
      </c>
      <c r="H3">
        <v>112</v>
      </c>
      <c r="I3">
        <v>0.19310344827586209</v>
      </c>
      <c r="J3">
        <v>9.5592068693461716</v>
      </c>
      <c r="K3">
        <v>1.21062116644577</v>
      </c>
      <c r="L3">
        <v>908.75555555162998</v>
      </c>
      <c r="M3">
        <v>1.996296296443431</v>
      </c>
    </row>
    <row r="4" spans="1:13">
      <c r="A4" t="s">
        <v>13</v>
      </c>
      <c r="B4">
        <v>6</v>
      </c>
      <c r="C4">
        <v>2</v>
      </c>
      <c r="D4">
        <v>1425</v>
      </c>
      <c r="E4">
        <v>976</v>
      </c>
      <c r="F4">
        <v>613</v>
      </c>
      <c r="G4">
        <v>5.4247787610619467</v>
      </c>
      <c r="H4">
        <v>113</v>
      </c>
      <c r="I4">
        <v>0.1843393148450245</v>
      </c>
      <c r="J4">
        <v>9.0215083888306253</v>
      </c>
      <c r="K4">
        <v>1.16862993264843</v>
      </c>
      <c r="L4">
        <v>809.86666667145403</v>
      </c>
      <c r="M4">
        <v>1.106790123603995</v>
      </c>
    </row>
    <row r="5" spans="1:13">
      <c r="A5" t="s">
        <v>13</v>
      </c>
      <c r="B5">
        <v>6</v>
      </c>
      <c r="C5">
        <v>3</v>
      </c>
      <c r="D5">
        <v>1410</v>
      </c>
      <c r="E5">
        <v>940</v>
      </c>
      <c r="F5">
        <v>599</v>
      </c>
      <c r="G5">
        <v>5.5462962962962967</v>
      </c>
      <c r="H5">
        <v>108</v>
      </c>
      <c r="I5">
        <v>0.18030050083472449</v>
      </c>
      <c r="J5">
        <v>8.9386356341706179</v>
      </c>
      <c r="K5">
        <v>1.1279478797790099</v>
      </c>
      <c r="L5">
        <v>901.33333333510495</v>
      </c>
      <c r="M5">
        <v>2.1598765433571532</v>
      </c>
    </row>
    <row r="6" spans="1:13">
      <c r="A6" t="s">
        <v>13</v>
      </c>
      <c r="B6">
        <v>6</v>
      </c>
      <c r="C6">
        <v>4</v>
      </c>
      <c r="D6">
        <v>1417</v>
      </c>
      <c r="E6">
        <v>940</v>
      </c>
      <c r="F6">
        <v>583</v>
      </c>
      <c r="G6">
        <v>5.1592920353982299</v>
      </c>
      <c r="H6">
        <v>113</v>
      </c>
      <c r="I6">
        <v>0.19382504288164659</v>
      </c>
      <c r="J6">
        <v>9.2539613704728616</v>
      </c>
      <c r="K6">
        <v>1.20812989813963</v>
      </c>
      <c r="L6">
        <v>783.20000000463006</v>
      </c>
      <c r="M6">
        <v>1.6629629631101741</v>
      </c>
    </row>
    <row r="7" spans="1:13">
      <c r="A7" t="s">
        <v>13</v>
      </c>
      <c r="B7">
        <v>6</v>
      </c>
      <c r="C7">
        <v>5</v>
      </c>
      <c r="D7">
        <v>1418</v>
      </c>
      <c r="E7">
        <v>929</v>
      </c>
      <c r="F7">
        <v>587</v>
      </c>
      <c r="G7">
        <v>5.017094017094017</v>
      </c>
      <c r="H7">
        <v>117</v>
      </c>
      <c r="I7">
        <v>0.19931856899488931</v>
      </c>
      <c r="J7">
        <v>9.9289558665231752</v>
      </c>
      <c r="K7">
        <v>1.2554113688972199</v>
      </c>
      <c r="L7">
        <v>763.42222222405405</v>
      </c>
      <c r="M7">
        <v>1.6024691359497361</v>
      </c>
    </row>
    <row r="8" spans="1:13">
      <c r="A8" t="s">
        <v>13</v>
      </c>
      <c r="B8">
        <v>6</v>
      </c>
      <c r="C8">
        <v>6</v>
      </c>
      <c r="D8">
        <v>1429</v>
      </c>
      <c r="E8">
        <v>964</v>
      </c>
      <c r="F8">
        <v>603</v>
      </c>
      <c r="G8">
        <v>5.5321100917431192</v>
      </c>
      <c r="H8">
        <v>109</v>
      </c>
      <c r="I8">
        <v>0.18076285240464349</v>
      </c>
      <c r="J8">
        <v>9.089077627922677</v>
      </c>
      <c r="K8">
        <v>1.1630018002040301</v>
      </c>
      <c r="L8">
        <v>844.75555555523499</v>
      </c>
      <c r="M8">
        <v>0.82870370385090908</v>
      </c>
    </row>
    <row r="9" spans="1:13">
      <c r="A9" t="s">
        <v>13</v>
      </c>
      <c r="B9">
        <v>6</v>
      </c>
      <c r="C9">
        <v>7</v>
      </c>
      <c r="D9">
        <v>1414</v>
      </c>
      <c r="E9">
        <v>937</v>
      </c>
      <c r="F9">
        <v>603</v>
      </c>
      <c r="G9">
        <v>5.3839285714285712</v>
      </c>
      <c r="H9">
        <v>112</v>
      </c>
      <c r="I9">
        <v>0.18573797678275289</v>
      </c>
      <c r="J9">
        <v>9.3416919023414184</v>
      </c>
      <c r="K9">
        <v>1.1725442354937201</v>
      </c>
      <c r="L9">
        <v>822.48888889375098</v>
      </c>
      <c r="M9">
        <v>1.822222222369138</v>
      </c>
    </row>
    <row r="10" spans="1:13">
      <c r="A10" t="s">
        <v>13</v>
      </c>
      <c r="B10">
        <v>6</v>
      </c>
      <c r="C10">
        <v>8</v>
      </c>
      <c r="D10">
        <v>1420</v>
      </c>
      <c r="E10">
        <v>954</v>
      </c>
      <c r="F10">
        <v>603</v>
      </c>
      <c r="G10">
        <v>5.2894736842105274</v>
      </c>
      <c r="H10">
        <v>114</v>
      </c>
      <c r="I10">
        <v>0.1890547263681592</v>
      </c>
      <c r="J10">
        <v>9.4916142557652297</v>
      </c>
      <c r="K10">
        <v>1.212232267933</v>
      </c>
      <c r="L10">
        <v>797.60000000439095</v>
      </c>
      <c r="M10">
        <v>1.4277777779248251</v>
      </c>
    </row>
    <row r="11" spans="1:13">
      <c r="A11" t="s">
        <v>13</v>
      </c>
      <c r="B11">
        <v>6</v>
      </c>
      <c r="C11">
        <v>9</v>
      </c>
      <c r="D11">
        <v>1428</v>
      </c>
      <c r="E11">
        <v>951</v>
      </c>
      <c r="F11">
        <v>604</v>
      </c>
      <c r="G11">
        <v>5.3451327433628322</v>
      </c>
      <c r="H11">
        <v>113</v>
      </c>
      <c r="I11">
        <v>0.1870860927152318</v>
      </c>
      <c r="J11">
        <v>9.23849018575266</v>
      </c>
      <c r="K11">
        <v>1.1792699654206</v>
      </c>
      <c r="L11">
        <v>872.48888889371096</v>
      </c>
      <c r="M11">
        <v>0.89506172854224864</v>
      </c>
    </row>
    <row r="12" spans="1:13">
      <c r="A12" t="s">
        <v>14</v>
      </c>
      <c r="B12">
        <v>6</v>
      </c>
      <c r="C12">
        <v>0</v>
      </c>
      <c r="D12">
        <v>1388</v>
      </c>
      <c r="E12">
        <v>931</v>
      </c>
      <c r="F12">
        <v>612</v>
      </c>
      <c r="G12">
        <v>4.4671532846715332</v>
      </c>
      <c r="H12">
        <v>137</v>
      </c>
      <c r="I12">
        <v>0.22385620915032681</v>
      </c>
      <c r="J12">
        <v>11.5108101685565</v>
      </c>
      <c r="K12">
        <v>1.3937758101337601</v>
      </c>
      <c r="L12">
        <v>822.26666667152801</v>
      </c>
      <c r="M12">
        <v>3.6493827161964369</v>
      </c>
    </row>
    <row r="13" spans="1:13">
      <c r="A13" t="s">
        <v>14</v>
      </c>
      <c r="B13">
        <v>6</v>
      </c>
      <c r="C13">
        <v>1</v>
      </c>
      <c r="D13">
        <v>1410</v>
      </c>
      <c r="E13">
        <v>925</v>
      </c>
      <c r="F13">
        <v>574</v>
      </c>
      <c r="G13">
        <v>4.2835820895522394</v>
      </c>
      <c r="H13">
        <v>134</v>
      </c>
      <c r="I13">
        <v>0.2334494773519164</v>
      </c>
      <c r="J13">
        <v>11.322123023016539</v>
      </c>
      <c r="K13">
        <v>1.47210129822623</v>
      </c>
      <c r="L13">
        <v>935.37777777448002</v>
      </c>
      <c r="M13">
        <v>2.155864197678111</v>
      </c>
    </row>
    <row r="14" spans="1:13">
      <c r="A14" t="s">
        <v>14</v>
      </c>
      <c r="B14">
        <v>6</v>
      </c>
      <c r="C14">
        <v>2</v>
      </c>
      <c r="D14">
        <v>1409</v>
      </c>
      <c r="E14">
        <v>963</v>
      </c>
      <c r="F14">
        <v>598</v>
      </c>
      <c r="G14">
        <v>4.3970588235294121</v>
      </c>
      <c r="H14">
        <v>136</v>
      </c>
      <c r="I14">
        <v>0.22742474916387961</v>
      </c>
      <c r="J14">
        <v>11.130016890356069</v>
      </c>
      <c r="K14">
        <v>1.4594262800340601</v>
      </c>
      <c r="L14">
        <v>876.53333333617604</v>
      </c>
      <c r="M14">
        <v>2.2475308643449101</v>
      </c>
    </row>
    <row r="15" spans="1:13">
      <c r="A15" t="s">
        <v>14</v>
      </c>
      <c r="B15">
        <v>6</v>
      </c>
      <c r="C15">
        <v>3</v>
      </c>
      <c r="D15">
        <v>1399</v>
      </c>
      <c r="E15">
        <v>931</v>
      </c>
      <c r="F15">
        <v>587</v>
      </c>
      <c r="G15">
        <v>4.4135338345864659</v>
      </c>
      <c r="H15">
        <v>133</v>
      </c>
      <c r="I15">
        <v>0.22657580919931861</v>
      </c>
      <c r="J15">
        <v>11.11385606874329</v>
      </c>
      <c r="K15">
        <v>1.40783876424345</v>
      </c>
      <c r="L15">
        <v>956.97777777803799</v>
      </c>
      <c r="M15">
        <v>2.8805555557025762</v>
      </c>
    </row>
    <row r="16" spans="1:13">
      <c r="A16" t="s">
        <v>14</v>
      </c>
      <c r="B16">
        <v>6</v>
      </c>
      <c r="C16">
        <v>4</v>
      </c>
      <c r="D16">
        <v>1406</v>
      </c>
      <c r="E16">
        <v>935</v>
      </c>
      <c r="F16">
        <v>585</v>
      </c>
      <c r="G16">
        <v>4.4656488549618318</v>
      </c>
      <c r="H16">
        <v>131</v>
      </c>
      <c r="I16">
        <v>0.22393162393162391</v>
      </c>
      <c r="J16">
        <v>10.99567238146909</v>
      </c>
      <c r="K16">
        <v>1.42583206874049</v>
      </c>
      <c r="L16">
        <v>856.66666666684705</v>
      </c>
      <c r="M16">
        <v>2.446604938418937</v>
      </c>
    </row>
    <row r="17" spans="1:13">
      <c r="A17" t="s">
        <v>14</v>
      </c>
      <c r="B17">
        <v>6</v>
      </c>
      <c r="C17">
        <v>5</v>
      </c>
      <c r="D17">
        <v>1415</v>
      </c>
      <c r="E17">
        <v>939</v>
      </c>
      <c r="F17">
        <v>575</v>
      </c>
      <c r="G17">
        <v>4.2910447761194028</v>
      </c>
      <c r="H17">
        <v>134</v>
      </c>
      <c r="I17">
        <v>0.2330434782608696</v>
      </c>
      <c r="J17">
        <v>11.230031948881789</v>
      </c>
      <c r="K17">
        <v>1.46552371381826</v>
      </c>
      <c r="L17">
        <v>820.13333333818196</v>
      </c>
      <c r="M17">
        <v>1.8484567902709419</v>
      </c>
    </row>
    <row r="18" spans="1:13">
      <c r="A18" t="s">
        <v>14</v>
      </c>
      <c r="B18">
        <v>6</v>
      </c>
      <c r="C18">
        <v>6</v>
      </c>
      <c r="D18">
        <v>1412</v>
      </c>
      <c r="E18">
        <v>938</v>
      </c>
      <c r="F18">
        <v>590</v>
      </c>
      <c r="G18">
        <v>4.3382352941176467</v>
      </c>
      <c r="H18">
        <v>136</v>
      </c>
      <c r="I18">
        <v>0.23050847457627119</v>
      </c>
      <c r="J18">
        <v>11.488648029677719</v>
      </c>
      <c r="K18">
        <v>1.4581089668068099</v>
      </c>
      <c r="L18">
        <v>903.60000000043999</v>
      </c>
      <c r="M18">
        <v>2.075000000147591</v>
      </c>
    </row>
    <row r="19" spans="1:13">
      <c r="A19" t="s">
        <v>14</v>
      </c>
      <c r="B19">
        <v>6</v>
      </c>
      <c r="C19">
        <v>7</v>
      </c>
      <c r="D19">
        <v>1409</v>
      </c>
      <c r="E19">
        <v>943</v>
      </c>
      <c r="F19">
        <v>594</v>
      </c>
      <c r="G19">
        <v>4.5</v>
      </c>
      <c r="H19">
        <v>132</v>
      </c>
      <c r="I19">
        <v>0.22222222222222221</v>
      </c>
      <c r="J19">
        <v>11.054881284931181</v>
      </c>
      <c r="K19">
        <v>1.40311513411985</v>
      </c>
      <c r="L19">
        <v>856.80000000018003</v>
      </c>
      <c r="M19">
        <v>2.2475308643449101</v>
      </c>
    </row>
    <row r="20" spans="1:13">
      <c r="A20" t="s">
        <v>14</v>
      </c>
      <c r="B20">
        <v>6</v>
      </c>
      <c r="C20">
        <v>8</v>
      </c>
      <c r="D20">
        <v>1412</v>
      </c>
      <c r="E20">
        <v>953</v>
      </c>
      <c r="F20">
        <v>604</v>
      </c>
      <c r="G20">
        <v>4.5074626865671643</v>
      </c>
      <c r="H20">
        <v>134</v>
      </c>
      <c r="I20">
        <v>0.22185430463576161</v>
      </c>
      <c r="J20">
        <v>10.900336457764009</v>
      </c>
      <c r="K20">
        <v>1.3769804856988499</v>
      </c>
      <c r="L20">
        <v>743.42222222281396</v>
      </c>
      <c r="M20">
        <v>2.0496913581721321</v>
      </c>
    </row>
    <row r="21" spans="1:13">
      <c r="A21" t="s">
        <v>14</v>
      </c>
      <c r="B21">
        <v>6</v>
      </c>
      <c r="C21">
        <v>9</v>
      </c>
      <c r="D21">
        <v>1418</v>
      </c>
      <c r="E21">
        <v>937</v>
      </c>
      <c r="F21">
        <v>578</v>
      </c>
      <c r="G21">
        <v>4.4806201550387597</v>
      </c>
      <c r="H21">
        <v>129</v>
      </c>
      <c r="I21">
        <v>0.22318339100346021</v>
      </c>
      <c r="J21">
        <v>10.97115231403917</v>
      </c>
      <c r="K21">
        <v>1.4292886612959099</v>
      </c>
      <c r="L21">
        <v>816.75555555478502</v>
      </c>
      <c r="M21">
        <v>1.556790123603784</v>
      </c>
    </row>
    <row r="22" spans="1:13">
      <c r="A22" t="s">
        <v>15</v>
      </c>
      <c r="B22">
        <v>6</v>
      </c>
      <c r="C22">
        <v>0</v>
      </c>
      <c r="D22">
        <v>1387</v>
      </c>
      <c r="E22">
        <v>927</v>
      </c>
      <c r="F22">
        <v>604</v>
      </c>
      <c r="G22">
        <v>4.3768115942028976</v>
      </c>
      <c r="H22">
        <v>138</v>
      </c>
      <c r="I22">
        <v>0.22847682119205301</v>
      </c>
      <c r="J22">
        <v>12.08825932746322</v>
      </c>
      <c r="K22">
        <v>1.4765907368108799</v>
      </c>
      <c r="L22">
        <v>796.71111111326104</v>
      </c>
      <c r="M22">
        <v>3.742592592739785</v>
      </c>
    </row>
    <row r="23" spans="1:13">
      <c r="A23" t="s">
        <v>15</v>
      </c>
      <c r="B23">
        <v>6</v>
      </c>
      <c r="C23">
        <v>1</v>
      </c>
      <c r="D23">
        <v>1400</v>
      </c>
      <c r="E23">
        <v>921</v>
      </c>
      <c r="F23">
        <v>574</v>
      </c>
      <c r="G23">
        <v>4.3157894736842106</v>
      </c>
      <c r="H23">
        <v>133</v>
      </c>
      <c r="I23">
        <v>0.23170731707317069</v>
      </c>
      <c r="J23">
        <v>12.020007334832901</v>
      </c>
      <c r="K23">
        <v>1.5098794242056901</v>
      </c>
      <c r="L23">
        <v>902.53333333866897</v>
      </c>
      <c r="M23">
        <v>2.831481481628618</v>
      </c>
    </row>
    <row r="24" spans="1:13">
      <c r="A24" t="s">
        <v>15</v>
      </c>
      <c r="B24">
        <v>6</v>
      </c>
      <c r="C24">
        <v>2</v>
      </c>
      <c r="D24">
        <v>1410</v>
      </c>
      <c r="E24">
        <v>968</v>
      </c>
      <c r="F24">
        <v>604</v>
      </c>
      <c r="G24">
        <v>4.4740740740740739</v>
      </c>
      <c r="H24">
        <v>135</v>
      </c>
      <c r="I24">
        <v>0.22350993377483441</v>
      </c>
      <c r="J24">
        <v>11.21316287875506</v>
      </c>
      <c r="K24">
        <v>1.4444237397859701</v>
      </c>
      <c r="L24">
        <v>821.60000000015202</v>
      </c>
      <c r="M24">
        <v>2.118827160640854</v>
      </c>
    </row>
    <row r="25" spans="1:13">
      <c r="A25" t="s">
        <v>15</v>
      </c>
      <c r="B25">
        <v>6</v>
      </c>
      <c r="C25">
        <v>3</v>
      </c>
      <c r="D25">
        <v>1412</v>
      </c>
      <c r="E25">
        <v>941</v>
      </c>
      <c r="F25">
        <v>588</v>
      </c>
      <c r="G25">
        <v>4.4885496183206106</v>
      </c>
      <c r="H25">
        <v>131</v>
      </c>
      <c r="I25">
        <v>0.2227891156462585</v>
      </c>
      <c r="J25">
        <v>11.231652472091501</v>
      </c>
      <c r="K25">
        <v>1.4486479809526001</v>
      </c>
      <c r="L25">
        <v>939.82222222048495</v>
      </c>
      <c r="M25">
        <v>2.020679012492951</v>
      </c>
    </row>
    <row r="26" spans="1:13">
      <c r="A26" t="s">
        <v>15</v>
      </c>
      <c r="B26">
        <v>6</v>
      </c>
      <c r="C26">
        <v>4</v>
      </c>
      <c r="D26">
        <v>1390</v>
      </c>
      <c r="E26">
        <v>931</v>
      </c>
      <c r="F26">
        <v>577</v>
      </c>
      <c r="G26">
        <v>4.1811594202898554</v>
      </c>
      <c r="H26">
        <v>138</v>
      </c>
      <c r="I26">
        <v>0.2391681109185442</v>
      </c>
      <c r="J26">
        <v>11.860307017492589</v>
      </c>
      <c r="K26">
        <v>1.5259597239228799</v>
      </c>
      <c r="L26">
        <v>876.57777777399099</v>
      </c>
      <c r="M26">
        <v>3.5873456791598399</v>
      </c>
    </row>
    <row r="27" spans="1:13">
      <c r="A27" t="s">
        <v>15</v>
      </c>
      <c r="B27">
        <v>6</v>
      </c>
      <c r="C27">
        <v>5</v>
      </c>
      <c r="D27">
        <v>1408</v>
      </c>
      <c r="E27">
        <v>929</v>
      </c>
      <c r="F27">
        <v>590</v>
      </c>
      <c r="G27">
        <v>4.3382352941176467</v>
      </c>
      <c r="H27">
        <v>136</v>
      </c>
      <c r="I27">
        <v>0.23050847457627119</v>
      </c>
      <c r="J27">
        <v>12.005284265185679</v>
      </c>
      <c r="K27">
        <v>1.4955296926069701</v>
      </c>
      <c r="L27">
        <v>892.04444444465298</v>
      </c>
      <c r="M27">
        <v>2.3336419754561182</v>
      </c>
    </row>
    <row r="28" spans="1:13">
      <c r="A28" t="s">
        <v>15</v>
      </c>
      <c r="B28">
        <v>6</v>
      </c>
      <c r="C28">
        <v>6</v>
      </c>
      <c r="D28">
        <v>1402</v>
      </c>
      <c r="E28">
        <v>938</v>
      </c>
      <c r="F28">
        <v>593</v>
      </c>
      <c r="G28">
        <v>4.4924242424242422</v>
      </c>
      <c r="H28">
        <v>132</v>
      </c>
      <c r="I28">
        <v>0.22259696458684661</v>
      </c>
      <c r="J28">
        <v>11.32226364455224</v>
      </c>
      <c r="K28">
        <v>1.4141205794430001</v>
      </c>
      <c r="L28">
        <v>831.60000000015998</v>
      </c>
      <c r="M28">
        <v>2.6833333334804168</v>
      </c>
    </row>
    <row r="29" spans="1:13">
      <c r="A29" t="s">
        <v>15</v>
      </c>
      <c r="B29">
        <v>6</v>
      </c>
      <c r="C29">
        <v>7</v>
      </c>
      <c r="D29">
        <v>1342</v>
      </c>
      <c r="E29">
        <v>903</v>
      </c>
      <c r="F29">
        <v>578</v>
      </c>
      <c r="G29">
        <v>3.9589041095890409</v>
      </c>
      <c r="H29">
        <v>146</v>
      </c>
      <c r="I29">
        <v>0.25259515570934249</v>
      </c>
      <c r="J29">
        <v>12.472616078243851</v>
      </c>
      <c r="K29">
        <v>1.53693161153584</v>
      </c>
      <c r="L29">
        <v>792.71111111407299</v>
      </c>
      <c r="M29">
        <v>6.8083333334067717</v>
      </c>
    </row>
    <row r="30" spans="1:13">
      <c r="A30" t="s">
        <v>15</v>
      </c>
      <c r="B30">
        <v>6</v>
      </c>
      <c r="C30">
        <v>8</v>
      </c>
      <c r="D30">
        <v>1398</v>
      </c>
      <c r="E30">
        <v>933</v>
      </c>
      <c r="F30">
        <v>594</v>
      </c>
      <c r="G30">
        <v>4.335766423357664</v>
      </c>
      <c r="H30">
        <v>137</v>
      </c>
      <c r="I30">
        <v>0.23063973063973059</v>
      </c>
      <c r="J30">
        <v>12.019415763559911</v>
      </c>
      <c r="K30">
        <v>1.49677455826283</v>
      </c>
      <c r="L30">
        <v>896.62222222243395</v>
      </c>
      <c r="M30">
        <v>2.985185185332409</v>
      </c>
    </row>
    <row r="31" spans="1:13">
      <c r="A31" t="s">
        <v>15</v>
      </c>
      <c r="B31">
        <v>6</v>
      </c>
      <c r="C31">
        <v>9</v>
      </c>
      <c r="D31">
        <v>1410</v>
      </c>
      <c r="E31">
        <v>940</v>
      </c>
      <c r="F31">
        <v>594</v>
      </c>
      <c r="G31">
        <v>4.6046511627906979</v>
      </c>
      <c r="H31">
        <v>129</v>
      </c>
      <c r="I31">
        <v>0.21717171717171721</v>
      </c>
      <c r="J31">
        <v>11.41320704457255</v>
      </c>
      <c r="K31">
        <v>1.42887618095927</v>
      </c>
      <c r="L31">
        <v>805.91111110762904</v>
      </c>
      <c r="M31">
        <v>2.1882716050857152</v>
      </c>
    </row>
    <row r="32" spans="1:13">
      <c r="A32" t="s">
        <v>16</v>
      </c>
      <c r="B32">
        <v>10</v>
      </c>
      <c r="C32">
        <v>0</v>
      </c>
      <c r="D32">
        <v>1424</v>
      </c>
      <c r="E32">
        <v>944</v>
      </c>
      <c r="F32">
        <v>620</v>
      </c>
      <c r="G32">
        <v>5.081967213114754</v>
      </c>
      <c r="H32">
        <v>122</v>
      </c>
      <c r="I32">
        <v>0.1967741935483871</v>
      </c>
      <c r="J32">
        <v>10.591101694915301</v>
      </c>
      <c r="K32">
        <v>1.29946112931366</v>
      </c>
      <c r="L32">
        <v>795.73333332989603</v>
      </c>
      <c r="M32">
        <v>1.188888889036176</v>
      </c>
    </row>
    <row r="33" spans="1:13">
      <c r="A33" t="s">
        <v>16</v>
      </c>
      <c r="B33">
        <v>10</v>
      </c>
      <c r="C33">
        <v>1</v>
      </c>
      <c r="D33">
        <v>1430</v>
      </c>
      <c r="E33">
        <v>935</v>
      </c>
      <c r="F33">
        <v>584</v>
      </c>
      <c r="G33">
        <v>4.9075630252100844</v>
      </c>
      <c r="H33">
        <v>119</v>
      </c>
      <c r="I33">
        <v>0.20376712328767119</v>
      </c>
      <c r="J33">
        <v>10.34438502673801</v>
      </c>
      <c r="K33">
        <v>1.3347944831168801</v>
      </c>
      <c r="L33">
        <v>833.77777777938104</v>
      </c>
      <c r="M33">
        <v>0.71820987669017078</v>
      </c>
    </row>
    <row r="34" spans="1:13">
      <c r="A34" t="s">
        <v>16</v>
      </c>
      <c r="B34">
        <v>10</v>
      </c>
      <c r="C34">
        <v>2</v>
      </c>
      <c r="D34">
        <v>1430</v>
      </c>
      <c r="E34">
        <v>987</v>
      </c>
      <c r="F34">
        <v>617</v>
      </c>
      <c r="G34">
        <v>5.0991735537190079</v>
      </c>
      <c r="H34">
        <v>121</v>
      </c>
      <c r="I34">
        <v>0.19611021069692061</v>
      </c>
      <c r="J34">
        <v>10.13779128672746</v>
      </c>
      <c r="K34">
        <v>1.3103632125460101</v>
      </c>
      <c r="L34">
        <v>762.40000000450698</v>
      </c>
      <c r="M34">
        <v>0.73271604952975911</v>
      </c>
    </row>
    <row r="35" spans="1:13">
      <c r="A35" t="s">
        <v>16</v>
      </c>
      <c r="B35">
        <v>10</v>
      </c>
      <c r="C35">
        <v>3</v>
      </c>
      <c r="D35">
        <v>1428</v>
      </c>
      <c r="E35">
        <v>940</v>
      </c>
      <c r="F35">
        <v>607</v>
      </c>
      <c r="G35">
        <v>5.1880341880341883</v>
      </c>
      <c r="H35">
        <v>117</v>
      </c>
      <c r="I35">
        <v>0.1927512355848435</v>
      </c>
      <c r="J35">
        <v>10.42021276595751</v>
      </c>
      <c r="K35">
        <v>1.31301350242091</v>
      </c>
      <c r="L35">
        <v>766.48888889342004</v>
      </c>
      <c r="M35">
        <v>0.88580246928293405</v>
      </c>
    </row>
    <row r="36" spans="1:13">
      <c r="A36" t="s">
        <v>16</v>
      </c>
      <c r="B36">
        <v>10</v>
      </c>
      <c r="C36">
        <v>4</v>
      </c>
      <c r="D36">
        <v>1431</v>
      </c>
      <c r="E36">
        <v>950</v>
      </c>
      <c r="F36">
        <v>597</v>
      </c>
      <c r="G36">
        <v>5.0168067226890756</v>
      </c>
      <c r="H36">
        <v>119</v>
      </c>
      <c r="I36">
        <v>0.19932998324958121</v>
      </c>
      <c r="J36">
        <v>10.676155323210949</v>
      </c>
      <c r="K36">
        <v>1.3667976693759201</v>
      </c>
      <c r="L36">
        <v>772.00000000456396</v>
      </c>
      <c r="M36">
        <v>0.70154321002381459</v>
      </c>
    </row>
    <row r="37" spans="1:13">
      <c r="A37" t="s">
        <v>16</v>
      </c>
      <c r="B37">
        <v>10</v>
      </c>
      <c r="C37">
        <v>5</v>
      </c>
      <c r="D37">
        <v>1430</v>
      </c>
      <c r="E37">
        <v>953</v>
      </c>
      <c r="F37">
        <v>600</v>
      </c>
      <c r="G37">
        <v>4.8780487804878048</v>
      </c>
      <c r="H37">
        <v>123</v>
      </c>
      <c r="I37">
        <v>0.20499999999999999</v>
      </c>
      <c r="J37">
        <v>10.73377750814816</v>
      </c>
      <c r="K37">
        <v>1.3544387784605201</v>
      </c>
      <c r="L37">
        <v>781.99999999687202</v>
      </c>
      <c r="M37">
        <v>0.81388888903642154</v>
      </c>
    </row>
    <row r="38" spans="1:13">
      <c r="A38" t="s">
        <v>16</v>
      </c>
      <c r="B38">
        <v>10</v>
      </c>
      <c r="C38">
        <v>6</v>
      </c>
      <c r="D38">
        <v>1428</v>
      </c>
      <c r="E38">
        <v>966</v>
      </c>
      <c r="F38">
        <v>606</v>
      </c>
      <c r="G38">
        <v>5.1794871794871797</v>
      </c>
      <c r="H38">
        <v>117</v>
      </c>
      <c r="I38">
        <v>0.1930693069306931</v>
      </c>
      <c r="J38">
        <v>10.004140786749529</v>
      </c>
      <c r="K38">
        <v>1.2918463715397599</v>
      </c>
      <c r="L38">
        <v>772.04444444455703</v>
      </c>
      <c r="M38">
        <v>0.9370370371844674</v>
      </c>
    </row>
    <row r="39" spans="1:13">
      <c r="A39" t="s">
        <v>16</v>
      </c>
      <c r="B39">
        <v>10</v>
      </c>
      <c r="C39">
        <v>7</v>
      </c>
      <c r="D39">
        <v>1431</v>
      </c>
      <c r="E39">
        <v>958</v>
      </c>
      <c r="F39">
        <v>611</v>
      </c>
      <c r="G39">
        <v>5.3596491228070171</v>
      </c>
      <c r="H39">
        <v>114</v>
      </c>
      <c r="I39">
        <v>0.18657937806873981</v>
      </c>
      <c r="J39">
        <v>9.9624204070976212</v>
      </c>
      <c r="K39">
        <v>1.2660103568502099</v>
      </c>
      <c r="L39">
        <v>879.73333333853395</v>
      </c>
      <c r="M39">
        <v>0.70493827175223189</v>
      </c>
    </row>
    <row r="40" spans="1:13">
      <c r="A40" t="s">
        <v>16</v>
      </c>
      <c r="B40">
        <v>10</v>
      </c>
      <c r="C40">
        <v>8</v>
      </c>
      <c r="D40">
        <v>1429</v>
      </c>
      <c r="E40">
        <v>958</v>
      </c>
      <c r="F40">
        <v>601</v>
      </c>
      <c r="G40">
        <v>5.2260869565217387</v>
      </c>
      <c r="H40">
        <v>115</v>
      </c>
      <c r="I40">
        <v>0.1913477537437604</v>
      </c>
      <c r="J40">
        <v>10.174321503131569</v>
      </c>
      <c r="K40">
        <v>1.3178763564051901</v>
      </c>
      <c r="L40">
        <v>741.77777778216296</v>
      </c>
      <c r="M40">
        <v>0.87839506187589045</v>
      </c>
    </row>
    <row r="41" spans="1:13">
      <c r="A41" t="s">
        <v>16</v>
      </c>
      <c r="B41">
        <v>10</v>
      </c>
      <c r="C41">
        <v>9</v>
      </c>
      <c r="D41">
        <v>1426</v>
      </c>
      <c r="E41">
        <v>931</v>
      </c>
      <c r="F41">
        <v>592</v>
      </c>
      <c r="G41">
        <v>5.2389380530973453</v>
      </c>
      <c r="H41">
        <v>113</v>
      </c>
      <c r="I41">
        <v>0.1908783783783784</v>
      </c>
      <c r="J41">
        <v>10.459717656914499</v>
      </c>
      <c r="K41">
        <v>1.31724954228765</v>
      </c>
      <c r="L41">
        <v>771.82222222678502</v>
      </c>
      <c r="M41">
        <v>0.99598765446795334</v>
      </c>
    </row>
    <row r="42" spans="1:13">
      <c r="A42" t="s">
        <v>17</v>
      </c>
      <c r="B42">
        <v>10</v>
      </c>
      <c r="C42">
        <v>0</v>
      </c>
      <c r="D42">
        <v>1422</v>
      </c>
      <c r="E42">
        <v>946</v>
      </c>
      <c r="F42">
        <v>615</v>
      </c>
      <c r="G42">
        <v>2.9009433962264151</v>
      </c>
      <c r="H42">
        <v>212</v>
      </c>
      <c r="I42">
        <v>0.34471544715447161</v>
      </c>
      <c r="J42">
        <v>16.12854524731025</v>
      </c>
      <c r="K42">
        <v>2.0383227945843001</v>
      </c>
      <c r="L42">
        <v>640.40000000378598</v>
      </c>
      <c r="M42">
        <v>1.3101851853323601</v>
      </c>
    </row>
    <row r="43" spans="1:13">
      <c r="A43" t="s">
        <v>17</v>
      </c>
      <c r="B43">
        <v>10</v>
      </c>
      <c r="C43">
        <v>1</v>
      </c>
      <c r="D43">
        <v>1429</v>
      </c>
      <c r="E43">
        <v>936</v>
      </c>
      <c r="F43">
        <v>579</v>
      </c>
      <c r="G43">
        <v>2.8663366336633662</v>
      </c>
      <c r="H43">
        <v>202</v>
      </c>
      <c r="I43">
        <v>0.34887737478411052</v>
      </c>
      <c r="J43">
        <v>16.495120691037609</v>
      </c>
      <c r="K43">
        <v>2.16664908089682</v>
      </c>
      <c r="L43">
        <v>874.13333333189098</v>
      </c>
      <c r="M43">
        <v>0.85061728409794934</v>
      </c>
    </row>
    <row r="44" spans="1:13">
      <c r="A44" t="s">
        <v>17</v>
      </c>
      <c r="B44">
        <v>10</v>
      </c>
      <c r="C44">
        <v>2</v>
      </c>
      <c r="D44">
        <v>1429</v>
      </c>
      <c r="E44">
        <v>979</v>
      </c>
      <c r="F44">
        <v>609</v>
      </c>
      <c r="G44">
        <v>2.9</v>
      </c>
      <c r="H44">
        <v>210</v>
      </c>
      <c r="I44">
        <v>0.34482758620689657</v>
      </c>
      <c r="J44">
        <v>15.74387536013483</v>
      </c>
      <c r="K44">
        <v>2.0514354316251899</v>
      </c>
      <c r="L44">
        <v>722.04444444871297</v>
      </c>
      <c r="M44">
        <v>0.82191358039407636</v>
      </c>
    </row>
    <row r="45" spans="1:13">
      <c r="A45" t="s">
        <v>17</v>
      </c>
      <c r="B45">
        <v>10</v>
      </c>
      <c r="C45">
        <v>3</v>
      </c>
      <c r="D45">
        <v>1429</v>
      </c>
      <c r="E45">
        <v>958</v>
      </c>
      <c r="F45">
        <v>602</v>
      </c>
      <c r="G45">
        <v>3.0558375634517772</v>
      </c>
      <c r="H45">
        <v>197</v>
      </c>
      <c r="I45">
        <v>0.3272425249169435</v>
      </c>
      <c r="J45">
        <v>15.10693107021566</v>
      </c>
      <c r="K45">
        <v>1.99064181524702</v>
      </c>
      <c r="L45">
        <v>831.55555555513001</v>
      </c>
      <c r="M45">
        <v>0.83086419767808062</v>
      </c>
    </row>
    <row r="46" spans="1:13">
      <c r="A46" t="s">
        <v>17</v>
      </c>
      <c r="B46">
        <v>10</v>
      </c>
      <c r="C46">
        <v>4</v>
      </c>
      <c r="D46">
        <v>1429</v>
      </c>
      <c r="E46">
        <v>955</v>
      </c>
      <c r="F46">
        <v>592</v>
      </c>
      <c r="G46">
        <v>2.8599033816425119</v>
      </c>
      <c r="H46">
        <v>207</v>
      </c>
      <c r="I46">
        <v>0.34966216216216223</v>
      </c>
      <c r="J46">
        <v>15.495610856572251</v>
      </c>
      <c r="K46">
        <v>2.0397237548702098</v>
      </c>
      <c r="L46">
        <v>689.42222222267606</v>
      </c>
      <c r="M46">
        <v>0.84351851866580763</v>
      </c>
    </row>
    <row r="47" spans="1:13">
      <c r="A47" t="s">
        <v>17</v>
      </c>
      <c r="B47">
        <v>10</v>
      </c>
      <c r="C47">
        <v>5</v>
      </c>
      <c r="D47">
        <v>1427</v>
      </c>
      <c r="E47">
        <v>958</v>
      </c>
      <c r="F47">
        <v>606</v>
      </c>
      <c r="G47">
        <v>2.9134615384615379</v>
      </c>
      <c r="H47">
        <v>208</v>
      </c>
      <c r="I47">
        <v>0.34323432343234322</v>
      </c>
      <c r="J47">
        <v>15.797572994112111</v>
      </c>
      <c r="K47">
        <v>2.0335441467432198</v>
      </c>
      <c r="L47">
        <v>749.02222222231705</v>
      </c>
      <c r="M47">
        <v>0.99290123471525482</v>
      </c>
    </row>
    <row r="48" spans="1:13">
      <c r="A48" t="s">
        <v>17</v>
      </c>
      <c r="B48">
        <v>10</v>
      </c>
      <c r="C48">
        <v>6</v>
      </c>
      <c r="D48">
        <v>1429</v>
      </c>
      <c r="E48">
        <v>965</v>
      </c>
      <c r="F48">
        <v>599</v>
      </c>
      <c r="G48">
        <v>2.866028708133971</v>
      </c>
      <c r="H48">
        <v>209</v>
      </c>
      <c r="I48">
        <v>0.34891485809682798</v>
      </c>
      <c r="J48">
        <v>16.266294185342801</v>
      </c>
      <c r="K48">
        <v>2.1399867957583001</v>
      </c>
      <c r="L48">
        <v>722.00000000426803</v>
      </c>
      <c r="M48">
        <v>0.84753086434484515</v>
      </c>
    </row>
    <row r="49" spans="1:13">
      <c r="A49" t="s">
        <v>17</v>
      </c>
      <c r="B49">
        <v>10</v>
      </c>
      <c r="C49">
        <v>7</v>
      </c>
      <c r="D49">
        <v>1430</v>
      </c>
      <c r="E49">
        <v>969</v>
      </c>
      <c r="F49">
        <v>610</v>
      </c>
      <c r="G49">
        <v>3.112244897959183</v>
      </c>
      <c r="H49">
        <v>196</v>
      </c>
      <c r="I49">
        <v>0.32131147540983612</v>
      </c>
      <c r="J49">
        <v>14.268515846959129</v>
      </c>
      <c r="K49">
        <v>1.8618384936650101</v>
      </c>
      <c r="L49">
        <v>721.82222222648898</v>
      </c>
      <c r="M49">
        <v>0.77716049397447495</v>
      </c>
    </row>
    <row r="50" spans="1:13">
      <c r="A50" t="s">
        <v>17</v>
      </c>
      <c r="B50">
        <v>10</v>
      </c>
      <c r="C50">
        <v>8</v>
      </c>
      <c r="D50">
        <v>1430</v>
      </c>
      <c r="E50">
        <v>970</v>
      </c>
      <c r="F50">
        <v>609</v>
      </c>
      <c r="G50">
        <v>3</v>
      </c>
      <c r="H50">
        <v>203</v>
      </c>
      <c r="I50">
        <v>0.33333333333333331</v>
      </c>
      <c r="J50">
        <v>15.7542310996401</v>
      </c>
      <c r="K50">
        <v>2.0420056186339899</v>
      </c>
      <c r="L50">
        <v>658.88888888891199</v>
      </c>
      <c r="M50">
        <v>0.81111111125861668</v>
      </c>
    </row>
    <row r="51" spans="1:13">
      <c r="A51" t="s">
        <v>17</v>
      </c>
      <c r="B51">
        <v>10</v>
      </c>
      <c r="C51">
        <v>9</v>
      </c>
      <c r="D51">
        <v>1427</v>
      </c>
      <c r="E51">
        <v>956</v>
      </c>
      <c r="F51">
        <v>604</v>
      </c>
      <c r="G51">
        <v>2.9178743961352658</v>
      </c>
      <c r="H51">
        <v>207</v>
      </c>
      <c r="I51">
        <v>0.34271523178807939</v>
      </c>
      <c r="J51">
        <v>15.81799163179927</v>
      </c>
      <c r="K51">
        <v>2.0274976964497098</v>
      </c>
      <c r="L51">
        <v>752.22222222666903</v>
      </c>
      <c r="M51">
        <v>1.0185185186660179</v>
      </c>
    </row>
    <row r="52" spans="1:13">
      <c r="A52" t="s">
        <v>18</v>
      </c>
      <c r="B52">
        <v>10</v>
      </c>
      <c r="C52">
        <v>0</v>
      </c>
      <c r="D52">
        <v>1417</v>
      </c>
      <c r="E52">
        <v>962</v>
      </c>
      <c r="F52">
        <v>615</v>
      </c>
      <c r="G52">
        <v>3.044554455445545</v>
      </c>
      <c r="H52">
        <v>202</v>
      </c>
      <c r="I52">
        <v>0.32845528455284551</v>
      </c>
      <c r="J52">
        <v>16.666182175742829</v>
      </c>
      <c r="K52">
        <v>2.0972368180082599</v>
      </c>
      <c r="L52">
        <v>694.75555555560697</v>
      </c>
      <c r="M52">
        <v>1.626234568048222</v>
      </c>
    </row>
    <row r="53" spans="1:13">
      <c r="A53" t="s">
        <v>18</v>
      </c>
      <c r="B53">
        <v>10</v>
      </c>
      <c r="C53">
        <v>1</v>
      </c>
      <c r="D53">
        <v>1421</v>
      </c>
      <c r="E53">
        <v>928</v>
      </c>
      <c r="F53">
        <v>578</v>
      </c>
      <c r="G53">
        <v>2.9793814432989691</v>
      </c>
      <c r="H53">
        <v>194</v>
      </c>
      <c r="I53">
        <v>0.33564013840830448</v>
      </c>
      <c r="J53">
        <v>16.56632197209397</v>
      </c>
      <c r="K53">
        <v>2.1078798936561598</v>
      </c>
      <c r="L53">
        <v>784.977777777901</v>
      </c>
      <c r="M53">
        <v>1.40987654335723</v>
      </c>
    </row>
    <row r="54" spans="1:13">
      <c r="A54" t="s">
        <v>18</v>
      </c>
      <c r="B54">
        <v>10</v>
      </c>
      <c r="C54">
        <v>2</v>
      </c>
      <c r="D54">
        <v>1424</v>
      </c>
      <c r="E54">
        <v>986</v>
      </c>
      <c r="F54">
        <v>617</v>
      </c>
      <c r="G54">
        <v>2.9806763285024149</v>
      </c>
      <c r="H54">
        <v>207</v>
      </c>
      <c r="I54">
        <v>0.3354943273905997</v>
      </c>
      <c r="J54">
        <v>16.083777045284791</v>
      </c>
      <c r="K54">
        <v>2.07069012404994</v>
      </c>
      <c r="L54">
        <v>694.62222222227399</v>
      </c>
      <c r="M54">
        <v>1.1737654322459581</v>
      </c>
    </row>
    <row r="55" spans="1:13">
      <c r="A55" t="s">
        <v>18</v>
      </c>
      <c r="B55">
        <v>10</v>
      </c>
      <c r="C55">
        <v>3</v>
      </c>
      <c r="D55">
        <v>1423</v>
      </c>
      <c r="E55">
        <v>947</v>
      </c>
      <c r="F55">
        <v>603</v>
      </c>
      <c r="G55">
        <v>3.0150000000000001</v>
      </c>
      <c r="H55">
        <v>200</v>
      </c>
      <c r="I55">
        <v>0.33167495854063023</v>
      </c>
      <c r="J55">
        <v>16.44198345243538</v>
      </c>
      <c r="K55">
        <v>2.0731338888845299</v>
      </c>
      <c r="L55">
        <v>676.04444444844103</v>
      </c>
      <c r="M55">
        <v>1.2475308643447509</v>
      </c>
    </row>
    <row r="56" spans="1:13">
      <c r="A56" t="s">
        <v>18</v>
      </c>
      <c r="B56">
        <v>10</v>
      </c>
      <c r="C56">
        <v>4</v>
      </c>
      <c r="D56">
        <v>1422</v>
      </c>
      <c r="E56">
        <v>953</v>
      </c>
      <c r="F56">
        <v>588</v>
      </c>
      <c r="G56">
        <v>3</v>
      </c>
      <c r="H56">
        <v>196</v>
      </c>
      <c r="I56">
        <v>0.33333333333333331</v>
      </c>
      <c r="J56">
        <v>15.71353620146915</v>
      </c>
      <c r="K56">
        <v>2.0456316516686099</v>
      </c>
      <c r="L56">
        <v>645.95555555937403</v>
      </c>
      <c r="M56">
        <v>1.345061728542444</v>
      </c>
    </row>
    <row r="57" spans="1:13">
      <c r="A57" t="s">
        <v>18</v>
      </c>
      <c r="B57">
        <v>10</v>
      </c>
      <c r="C57">
        <v>5</v>
      </c>
      <c r="D57">
        <v>1424</v>
      </c>
      <c r="E57">
        <v>964</v>
      </c>
      <c r="F57">
        <v>601</v>
      </c>
      <c r="G57">
        <v>2.9460784313725492</v>
      </c>
      <c r="H57">
        <v>204</v>
      </c>
      <c r="I57">
        <v>0.33943427620632283</v>
      </c>
      <c r="J57">
        <v>16.39001780532033</v>
      </c>
      <c r="K57">
        <v>2.0911153834496199</v>
      </c>
      <c r="L57">
        <v>671.82222222619396</v>
      </c>
      <c r="M57">
        <v>1.192283950764587</v>
      </c>
    </row>
    <row r="58" spans="1:13">
      <c r="A58" t="s">
        <v>18</v>
      </c>
      <c r="B58">
        <v>10</v>
      </c>
      <c r="C58">
        <v>6</v>
      </c>
      <c r="D58">
        <v>1418</v>
      </c>
      <c r="E58">
        <v>964</v>
      </c>
      <c r="F58">
        <v>598</v>
      </c>
      <c r="G58">
        <v>3.0824742268041239</v>
      </c>
      <c r="H58">
        <v>194</v>
      </c>
      <c r="I58">
        <v>0.32441471571906361</v>
      </c>
      <c r="J58">
        <v>15.55418741354149</v>
      </c>
      <c r="K58">
        <v>2.0216302822687302</v>
      </c>
      <c r="L58">
        <v>664.84444444447195</v>
      </c>
      <c r="M58">
        <v>1.555864197677854</v>
      </c>
    </row>
    <row r="59" spans="1:13">
      <c r="A59" t="s">
        <v>18</v>
      </c>
      <c r="B59">
        <v>10</v>
      </c>
      <c r="C59">
        <v>7</v>
      </c>
      <c r="D59">
        <v>1425</v>
      </c>
      <c r="E59">
        <v>950</v>
      </c>
      <c r="F59">
        <v>593</v>
      </c>
      <c r="G59">
        <v>2.9068627450980391</v>
      </c>
      <c r="H59">
        <v>204</v>
      </c>
      <c r="I59">
        <v>0.34401349072512649</v>
      </c>
      <c r="J59">
        <v>16.714151169567689</v>
      </c>
      <c r="K59">
        <v>2.15945282001617</v>
      </c>
      <c r="L59">
        <v>735.33333333015696</v>
      </c>
      <c r="M59">
        <v>1.1182098766904831</v>
      </c>
    </row>
    <row r="60" spans="1:13">
      <c r="A60" t="s">
        <v>18</v>
      </c>
      <c r="B60">
        <v>10</v>
      </c>
      <c r="C60">
        <v>8</v>
      </c>
      <c r="D60">
        <v>1421</v>
      </c>
      <c r="E60">
        <v>956</v>
      </c>
      <c r="F60">
        <v>595</v>
      </c>
      <c r="G60">
        <v>2.8743961352656999</v>
      </c>
      <c r="H60">
        <v>207</v>
      </c>
      <c r="I60">
        <v>0.34789915966386548</v>
      </c>
      <c r="J60">
        <v>16.486073882778449</v>
      </c>
      <c r="K60">
        <v>2.1356115751993801</v>
      </c>
      <c r="L60">
        <v>663.95555555268697</v>
      </c>
      <c r="M60">
        <v>1.414197531011574</v>
      </c>
    </row>
    <row r="61" spans="1:13">
      <c r="A61" t="s">
        <v>18</v>
      </c>
      <c r="B61">
        <v>10</v>
      </c>
      <c r="C61">
        <v>9</v>
      </c>
      <c r="D61">
        <v>1426</v>
      </c>
      <c r="E61">
        <v>944</v>
      </c>
      <c r="F61">
        <v>586</v>
      </c>
      <c r="G61">
        <v>2.989795918367347</v>
      </c>
      <c r="H61">
        <v>196</v>
      </c>
      <c r="I61">
        <v>0.33447098976109207</v>
      </c>
      <c r="J61">
        <v>16.540254237288242</v>
      </c>
      <c r="K61">
        <v>2.1092222508787799</v>
      </c>
      <c r="L61">
        <v>771.91111110813199</v>
      </c>
      <c r="M61">
        <v>1.0719135803943241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/>
  </sheetViews>
  <sheetFormatPr defaultRowHeight="15.75"/>
  <cols>
    <col min="1" max="5" width="18" customWidth="1"/>
  </cols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13</v>
      </c>
      <c r="C2" t="s">
        <v>3</v>
      </c>
      <c r="D2">
        <f>AVERAGE(per_seed!$D$2:$D$11)</f>
        <v>1419.9</v>
      </c>
      <c r="E2">
        <v>1419.9</v>
      </c>
    </row>
    <row r="3" spans="1:5">
      <c r="A3" t="s">
        <v>25</v>
      </c>
      <c r="B3" t="s">
        <v>13</v>
      </c>
      <c r="C3" t="s">
        <v>3</v>
      </c>
      <c r="D3">
        <f>_xlfn.STDEV.S(per_seed!$D$2:$D$11)</f>
        <v>6.8223488949513902</v>
      </c>
      <c r="E3">
        <v>6.8223488949513893</v>
      </c>
    </row>
    <row r="4" spans="1:5">
      <c r="A4" t="s">
        <v>24</v>
      </c>
      <c r="B4" t="s">
        <v>13</v>
      </c>
      <c r="C4" t="s">
        <v>4</v>
      </c>
      <c r="D4">
        <f>AVERAGE(per_seed!$E$2:$E$11)</f>
        <v>946.1</v>
      </c>
      <c r="E4">
        <v>946.1</v>
      </c>
    </row>
    <row r="5" spans="1:5">
      <c r="A5" t="s">
        <v>25</v>
      </c>
      <c r="B5" t="s">
        <v>13</v>
      </c>
      <c r="C5" t="s">
        <v>4</v>
      </c>
      <c r="D5">
        <f>_xlfn.STDEV.S(per_seed!$E$2:$E$11)</f>
        <v>15.623699945915501</v>
      </c>
      <c r="E5">
        <v>15.623699945915501</v>
      </c>
    </row>
    <row r="6" spans="1:5">
      <c r="A6" t="s">
        <v>24</v>
      </c>
      <c r="B6" t="s">
        <v>13</v>
      </c>
      <c r="C6" t="s">
        <v>5</v>
      </c>
      <c r="D6">
        <f>AVERAGE(per_seed!$F$2:$F$11)</f>
        <v>599.1</v>
      </c>
      <c r="E6">
        <v>599.1</v>
      </c>
    </row>
    <row r="7" spans="1:5">
      <c r="A7" t="s">
        <v>25</v>
      </c>
      <c r="B7" t="s">
        <v>13</v>
      </c>
      <c r="C7" t="s">
        <v>5</v>
      </c>
      <c r="D7">
        <f>_xlfn.STDEV.S(per_seed!$F$2:$F$11)</f>
        <v>12.10555428076073</v>
      </c>
      <c r="E7">
        <v>12.10555428076073</v>
      </c>
    </row>
    <row r="8" spans="1:5">
      <c r="A8" t="s">
        <v>24</v>
      </c>
      <c r="B8" t="s">
        <v>13</v>
      </c>
      <c r="C8" t="s">
        <v>6</v>
      </c>
      <c r="D8">
        <f>AVERAGE(per_seed!$G$2:$G$11)</f>
        <v>5.3376677629166966</v>
      </c>
      <c r="E8">
        <v>5.3376677629166966</v>
      </c>
    </row>
    <row r="9" spans="1:5">
      <c r="A9" t="s">
        <v>25</v>
      </c>
      <c r="B9" t="s">
        <v>13</v>
      </c>
      <c r="C9" t="s">
        <v>6</v>
      </c>
      <c r="D9">
        <f>_xlfn.STDEV.S(per_seed!$G$2:$G$11)</f>
        <v>0.17628553013477707</v>
      </c>
      <c r="E9">
        <v>0.1762855301347771</v>
      </c>
    </row>
    <row r="10" spans="1:5">
      <c r="A10" t="s">
        <v>24</v>
      </c>
      <c r="B10" t="s">
        <v>13</v>
      </c>
      <c r="C10" t="s">
        <v>7</v>
      </c>
      <c r="D10">
        <f>AVERAGE(per_seed!$H$2:$H$11)</f>
        <v>112.3</v>
      </c>
      <c r="E10">
        <v>112.3</v>
      </c>
    </row>
    <row r="11" spans="1:5">
      <c r="A11" t="s">
        <v>25</v>
      </c>
      <c r="B11" t="s">
        <v>13</v>
      </c>
      <c r="C11" t="s">
        <v>7</v>
      </c>
      <c r="D11">
        <f>_xlfn.STDEV.S(per_seed!$H$2:$H$11)</f>
        <v>2.496664441476534</v>
      </c>
      <c r="E11">
        <v>2.496664441476534</v>
      </c>
    </row>
    <row r="12" spans="1:5">
      <c r="A12" t="s">
        <v>24</v>
      </c>
      <c r="B12" t="s">
        <v>13</v>
      </c>
      <c r="C12" t="s">
        <v>8</v>
      </c>
      <c r="D12">
        <f>AVERAGE(per_seed!$I$2:$I$11)</f>
        <v>0.18753467059211162</v>
      </c>
      <c r="E12">
        <v>0.1875346705921116</v>
      </c>
    </row>
    <row r="13" spans="1:5">
      <c r="A13" t="s">
        <v>25</v>
      </c>
      <c r="B13" t="s">
        <v>13</v>
      </c>
      <c r="C13" t="s">
        <v>8</v>
      </c>
      <c r="D13">
        <f>_xlfn.STDEV.S(per_seed!$I$2:$I$11)</f>
        <v>6.2916126374122543E-3</v>
      </c>
      <c r="E13">
        <v>6.2916126374122404E-3</v>
      </c>
    </row>
    <row r="14" spans="1:5">
      <c r="A14" t="s">
        <v>24</v>
      </c>
      <c r="B14" t="s">
        <v>13</v>
      </c>
      <c r="C14" t="s">
        <v>9</v>
      </c>
      <c r="D14">
        <f>AVERAGE(per_seed!$J$2:$J$11)</f>
        <v>9.3735739919392298</v>
      </c>
      <c r="E14">
        <v>9.3735739919392298</v>
      </c>
    </row>
    <row r="15" spans="1:5">
      <c r="A15" t="s">
        <v>25</v>
      </c>
      <c r="B15" t="s">
        <v>13</v>
      </c>
      <c r="C15" t="s">
        <v>9</v>
      </c>
      <c r="D15">
        <f>_xlfn.STDEV.S(per_seed!$J$2:$J$11)</f>
        <v>0.33887032943654422</v>
      </c>
      <c r="E15">
        <v>0.33887032943654422</v>
      </c>
    </row>
    <row r="16" spans="1:5">
      <c r="A16" t="s">
        <v>24</v>
      </c>
      <c r="B16" t="s">
        <v>13</v>
      </c>
      <c r="C16" t="s">
        <v>10</v>
      </c>
      <c r="D16">
        <f>AVERAGE(per_seed!$K$2:$K$11)</f>
        <v>1.189524545228474</v>
      </c>
      <c r="E16">
        <v>1.189524545228474</v>
      </c>
    </row>
    <row r="17" spans="1:5">
      <c r="A17" t="s">
        <v>25</v>
      </c>
      <c r="B17" t="s">
        <v>13</v>
      </c>
      <c r="C17" t="s">
        <v>10</v>
      </c>
      <c r="D17">
        <f>_xlfn.STDEV.S(per_seed!$K$2:$K$11)</f>
        <v>3.5017578956487584E-2</v>
      </c>
      <c r="E17">
        <v>3.5017578956487591E-2</v>
      </c>
    </row>
    <row r="18" spans="1:5">
      <c r="A18" t="s">
        <v>24</v>
      </c>
      <c r="B18" t="s">
        <v>13</v>
      </c>
      <c r="C18" t="s">
        <v>11</v>
      </c>
      <c r="D18">
        <f>AVERAGE(per_seed!$L$2:$L$11)</f>
        <v>830.78666666901313</v>
      </c>
      <c r="E18">
        <v>830.78666666901313</v>
      </c>
    </row>
    <row r="19" spans="1:5">
      <c r="A19" t="s">
        <v>25</v>
      </c>
      <c r="B19" t="s">
        <v>13</v>
      </c>
      <c r="C19" t="s">
        <v>11</v>
      </c>
      <c r="D19">
        <f>_xlfn.STDEV.S(per_seed!$L$2:$L$11)</f>
        <v>49.576436057924504</v>
      </c>
      <c r="E19">
        <v>49.576436057924496</v>
      </c>
    </row>
    <row r="20" spans="1:5">
      <c r="A20" t="s">
        <v>24</v>
      </c>
      <c r="B20" t="s">
        <v>13</v>
      </c>
      <c r="C20" t="s">
        <v>12</v>
      </c>
      <c r="D20">
        <f>AVERAGE(per_seed!$M$2:$M$11)</f>
        <v>1.4530555557027163</v>
      </c>
      <c r="E20">
        <v>1.4530555557027161</v>
      </c>
    </row>
    <row r="21" spans="1:5">
      <c r="A21" t="s">
        <v>25</v>
      </c>
      <c r="B21" t="s">
        <v>13</v>
      </c>
      <c r="C21" t="s">
        <v>12</v>
      </c>
      <c r="D21">
        <f>_xlfn.STDEV.S(per_seed!$M$2:$M$11)</f>
        <v>0.4713365833229603</v>
      </c>
      <c r="E21">
        <v>0.47133658332296141</v>
      </c>
    </row>
    <row r="22" spans="1:5">
      <c r="A22" t="s">
        <v>24</v>
      </c>
      <c r="B22" t="s">
        <v>14</v>
      </c>
      <c r="C22" t="s">
        <v>3</v>
      </c>
      <c r="D22">
        <f>AVERAGE(per_seed!$D$12:$D$21)</f>
        <v>1407.8</v>
      </c>
      <c r="E22">
        <v>1407.8</v>
      </c>
    </row>
    <row r="23" spans="1:5">
      <c r="A23" t="s">
        <v>25</v>
      </c>
      <c r="B23" t="s">
        <v>14</v>
      </c>
      <c r="C23" t="s">
        <v>3</v>
      </c>
      <c r="D23">
        <f>_xlfn.STDEV.S(per_seed!$D$12:$D$21)</f>
        <v>8.6384154925670362</v>
      </c>
      <c r="E23">
        <v>8.6384154925670362</v>
      </c>
    </row>
    <row r="24" spans="1:5">
      <c r="A24" t="s">
        <v>24</v>
      </c>
      <c r="B24" t="s">
        <v>14</v>
      </c>
      <c r="C24" t="s">
        <v>4</v>
      </c>
      <c r="D24">
        <f>AVERAGE(per_seed!$E$12:$E$21)</f>
        <v>939.5</v>
      </c>
      <c r="E24">
        <v>939.5</v>
      </c>
    </row>
    <row r="25" spans="1:5">
      <c r="A25" t="s">
        <v>25</v>
      </c>
      <c r="B25" t="s">
        <v>14</v>
      </c>
      <c r="C25" t="s">
        <v>4</v>
      </c>
      <c r="D25">
        <f>_xlfn.STDEV.S(per_seed!$E$12:$E$21)</f>
        <v>11.207636285636285</v>
      </c>
      <c r="E25">
        <v>11.207636285636291</v>
      </c>
    </row>
    <row r="26" spans="1:5">
      <c r="A26" t="s">
        <v>24</v>
      </c>
      <c r="B26" t="s">
        <v>14</v>
      </c>
      <c r="C26" t="s">
        <v>5</v>
      </c>
      <c r="D26">
        <f>AVERAGE(per_seed!$F$12:$F$21)</f>
        <v>589.70000000000005</v>
      </c>
      <c r="E26">
        <v>589.70000000000005</v>
      </c>
    </row>
    <row r="27" spans="1:5">
      <c r="A27" t="s">
        <v>25</v>
      </c>
      <c r="B27" t="s">
        <v>14</v>
      </c>
      <c r="C27" t="s">
        <v>5</v>
      </c>
      <c r="D27">
        <f>_xlfn.STDEV.S(per_seed!$F$12:$F$21)</f>
        <v>12.552556180581972</v>
      </c>
      <c r="E27">
        <v>12.55255618058197</v>
      </c>
    </row>
    <row r="28" spans="1:5">
      <c r="A28" t="s">
        <v>24</v>
      </c>
      <c r="B28" t="s">
        <v>14</v>
      </c>
      <c r="C28" t="s">
        <v>6</v>
      </c>
      <c r="D28">
        <f>AVERAGE(per_seed!$G$12:$G$21)</f>
        <v>4.4144339799144454</v>
      </c>
      <c r="E28">
        <v>4.4144339799144454</v>
      </c>
    </row>
    <row r="29" spans="1:5">
      <c r="A29" t="s">
        <v>25</v>
      </c>
      <c r="B29" t="s">
        <v>14</v>
      </c>
      <c r="C29" t="s">
        <v>6</v>
      </c>
      <c r="D29">
        <f>_xlfn.STDEV.S(per_seed!$G$12:$G$21)</f>
        <v>8.4468824765411454E-2</v>
      </c>
      <c r="E29">
        <v>8.4468824765411607E-2</v>
      </c>
    </row>
    <row r="30" spans="1:5">
      <c r="A30" t="s">
        <v>24</v>
      </c>
      <c r="B30" t="s">
        <v>14</v>
      </c>
      <c r="C30" t="s">
        <v>7</v>
      </c>
      <c r="D30">
        <f>AVERAGE(per_seed!$H$12:$H$21)</f>
        <v>133.6</v>
      </c>
      <c r="E30">
        <v>133.6</v>
      </c>
    </row>
    <row r="31" spans="1:5">
      <c r="A31" t="s">
        <v>25</v>
      </c>
      <c r="B31" t="s">
        <v>14</v>
      </c>
      <c r="C31" t="s">
        <v>7</v>
      </c>
      <c r="D31">
        <f>_xlfn.STDEV.S(per_seed!$H$12:$H$21)</f>
        <v>2.4585451886114362</v>
      </c>
      <c r="E31">
        <v>2.4585451886114358</v>
      </c>
    </row>
    <row r="32" spans="1:5">
      <c r="A32" t="s">
        <v>24</v>
      </c>
      <c r="B32" t="s">
        <v>14</v>
      </c>
      <c r="C32" t="s">
        <v>8</v>
      </c>
      <c r="D32">
        <f>AVERAGE(per_seed!$I$12:$I$21)</f>
        <v>0.22660497394956503</v>
      </c>
      <c r="E32">
        <v>0.226604973949565</v>
      </c>
    </row>
    <row r="33" spans="1:5">
      <c r="A33" t="s">
        <v>25</v>
      </c>
      <c r="B33" t="s">
        <v>14</v>
      </c>
      <c r="C33" t="s">
        <v>8</v>
      </c>
      <c r="D33">
        <f>_xlfn.STDEV.S(per_seed!$I$12:$I$21)</f>
        <v>4.3766917167157712E-3</v>
      </c>
      <c r="E33">
        <v>4.3766917167157634E-3</v>
      </c>
    </row>
    <row r="34" spans="1:5">
      <c r="A34" t="s">
        <v>24</v>
      </c>
      <c r="B34" t="s">
        <v>14</v>
      </c>
      <c r="C34" t="s">
        <v>9</v>
      </c>
      <c r="D34">
        <f>AVERAGE(per_seed!$J$12:$J$21)</f>
        <v>11.171752856743536</v>
      </c>
      <c r="E34">
        <v>11.17175285674354</v>
      </c>
    </row>
    <row r="35" spans="1:5">
      <c r="A35" t="s">
        <v>25</v>
      </c>
      <c r="B35" t="s">
        <v>14</v>
      </c>
      <c r="C35" t="s">
        <v>9</v>
      </c>
      <c r="D35">
        <f>_xlfn.STDEV.S(per_seed!$J$12:$J$21)</f>
        <v>0.2121463638356928</v>
      </c>
      <c r="E35">
        <v>0.2121463638356931</v>
      </c>
    </row>
    <row r="36" spans="1:5">
      <c r="A36" t="s">
        <v>24</v>
      </c>
      <c r="B36" t="s">
        <v>14</v>
      </c>
      <c r="C36" t="s">
        <v>10</v>
      </c>
      <c r="D36">
        <f>AVERAGE(per_seed!$K$12:$K$21)</f>
        <v>1.4291991183117672</v>
      </c>
      <c r="E36">
        <v>1.4291991183117669</v>
      </c>
    </row>
    <row r="37" spans="1:5">
      <c r="A37" t="s">
        <v>25</v>
      </c>
      <c r="B37" t="s">
        <v>14</v>
      </c>
      <c r="C37" t="s">
        <v>10</v>
      </c>
      <c r="D37">
        <f>_xlfn.STDEV.S(per_seed!$K$12:$K$21)</f>
        <v>3.3398460174354723E-2</v>
      </c>
      <c r="E37">
        <v>3.3398460174354723E-2</v>
      </c>
    </row>
    <row r="38" spans="1:5">
      <c r="A38" t="s">
        <v>24</v>
      </c>
      <c r="B38" t="s">
        <v>14</v>
      </c>
      <c r="C38" t="s">
        <v>11</v>
      </c>
      <c r="D38">
        <f>AVERAGE(per_seed!$L$12:$L$21)</f>
        <v>858.85333333434687</v>
      </c>
      <c r="E38">
        <v>858.85333333434698</v>
      </c>
    </row>
    <row r="39" spans="1:5">
      <c r="A39" t="s">
        <v>25</v>
      </c>
      <c r="B39" t="s">
        <v>14</v>
      </c>
      <c r="C39" t="s">
        <v>11</v>
      </c>
      <c r="D39">
        <f>_xlfn.STDEV.S(per_seed!$L$12:$L$21)</f>
        <v>63.019069728104078</v>
      </c>
      <c r="E39">
        <v>63.019069728104078</v>
      </c>
    </row>
    <row r="40" spans="1:5">
      <c r="A40" t="s">
        <v>24</v>
      </c>
      <c r="B40" t="s">
        <v>14</v>
      </c>
      <c r="C40" t="s">
        <v>12</v>
      </c>
      <c r="D40">
        <f>AVERAGE(per_seed!$M$12:$M$21)</f>
        <v>2.3157407408880331</v>
      </c>
      <c r="E40">
        <v>2.3157407408880331</v>
      </c>
    </row>
    <row r="41" spans="1:5">
      <c r="A41" t="s">
        <v>25</v>
      </c>
      <c r="B41" t="s">
        <v>14</v>
      </c>
      <c r="C41" t="s">
        <v>12</v>
      </c>
      <c r="D41">
        <f>_xlfn.STDEV.S(per_seed!$M$12:$M$21)</f>
        <v>0.58430457462933638</v>
      </c>
      <c r="E41">
        <v>0.58430457462933716</v>
      </c>
    </row>
    <row r="42" spans="1:5">
      <c r="A42" t="s">
        <v>24</v>
      </c>
      <c r="B42" t="s">
        <v>15</v>
      </c>
      <c r="C42" t="s">
        <v>3</v>
      </c>
      <c r="D42">
        <f>AVERAGE(per_seed!$D$22:$D$31)</f>
        <v>1395.9</v>
      </c>
      <c r="E42">
        <v>1395.9</v>
      </c>
    </row>
    <row r="43" spans="1:5">
      <c r="A43" t="s">
        <v>25</v>
      </c>
      <c r="B43" t="s">
        <v>15</v>
      </c>
      <c r="C43" t="s">
        <v>3</v>
      </c>
      <c r="D43">
        <f>_xlfn.STDEV.S(per_seed!$D$22:$D$31)</f>
        <v>20.765623301772358</v>
      </c>
      <c r="E43">
        <v>20.765623301772361</v>
      </c>
    </row>
    <row r="44" spans="1:5">
      <c r="A44" t="s">
        <v>24</v>
      </c>
      <c r="B44" t="s">
        <v>15</v>
      </c>
      <c r="C44" t="s">
        <v>4</v>
      </c>
      <c r="D44">
        <f>AVERAGE(per_seed!$E$22:$E$31)</f>
        <v>933.1</v>
      </c>
      <c r="E44">
        <v>933.1</v>
      </c>
    </row>
    <row r="45" spans="1:5">
      <c r="A45" t="s">
        <v>25</v>
      </c>
      <c r="B45" t="s">
        <v>15</v>
      </c>
      <c r="C45" t="s">
        <v>4</v>
      </c>
      <c r="D45">
        <f>_xlfn.STDEV.S(per_seed!$E$22:$E$31)</f>
        <v>16.542537760439163</v>
      </c>
      <c r="E45">
        <v>16.54253776043916</v>
      </c>
    </row>
    <row r="46" spans="1:5">
      <c r="A46" t="s">
        <v>24</v>
      </c>
      <c r="B46" t="s">
        <v>15</v>
      </c>
      <c r="C46" t="s">
        <v>5</v>
      </c>
      <c r="D46">
        <f>AVERAGE(per_seed!$F$22:$F$31)</f>
        <v>589.6</v>
      </c>
      <c r="E46">
        <v>589.6</v>
      </c>
    </row>
    <row r="47" spans="1:5">
      <c r="A47" t="s">
        <v>25</v>
      </c>
      <c r="B47" t="s">
        <v>15</v>
      </c>
      <c r="C47" t="s">
        <v>5</v>
      </c>
      <c r="D47">
        <f>_xlfn.STDEV.S(per_seed!$F$22:$F$31)</f>
        <v>10.564090116995404</v>
      </c>
      <c r="E47">
        <v>10.5640901169954</v>
      </c>
    </row>
    <row r="48" spans="1:5">
      <c r="A48" t="s">
        <v>24</v>
      </c>
      <c r="B48" t="s">
        <v>15</v>
      </c>
      <c r="C48" t="s">
        <v>6</v>
      </c>
      <c r="D48">
        <f>AVERAGE(per_seed!$G$22:$G$31)</f>
        <v>4.3566365412850931</v>
      </c>
      <c r="E48">
        <v>4.3566365412850931</v>
      </c>
    </row>
    <row r="49" spans="1:5">
      <c r="A49" t="s">
        <v>25</v>
      </c>
      <c r="B49" t="s">
        <v>15</v>
      </c>
      <c r="C49" t="s">
        <v>6</v>
      </c>
      <c r="D49">
        <f>_xlfn.STDEV.S(per_seed!$G$22:$G$31)</f>
        <v>0.18347726982709639</v>
      </c>
      <c r="E49">
        <v>0.18347726982709639</v>
      </c>
    </row>
    <row r="50" spans="1:5">
      <c r="A50" t="s">
        <v>24</v>
      </c>
      <c r="B50" t="s">
        <v>15</v>
      </c>
      <c r="C50" t="s">
        <v>7</v>
      </c>
      <c r="D50">
        <f>AVERAGE(per_seed!$H$22:$H$31)</f>
        <v>135.5</v>
      </c>
      <c r="E50">
        <v>135.5</v>
      </c>
    </row>
    <row r="51" spans="1:5">
      <c r="A51" t="s">
        <v>25</v>
      </c>
      <c r="B51" t="s">
        <v>15</v>
      </c>
      <c r="C51" t="s">
        <v>7</v>
      </c>
      <c r="D51">
        <f>_xlfn.STDEV.S(per_seed!$H$22:$H$31)</f>
        <v>4.7900359543999711</v>
      </c>
      <c r="E51">
        <v>4.7900359543999711</v>
      </c>
    </row>
    <row r="52" spans="1:5">
      <c r="A52" t="s">
        <v>24</v>
      </c>
      <c r="B52" t="s">
        <v>15</v>
      </c>
      <c r="C52" t="s">
        <v>8</v>
      </c>
      <c r="D52">
        <f>AVERAGE(per_seed!$I$22:$I$31)</f>
        <v>0.22991633412887688</v>
      </c>
      <c r="E52">
        <v>0.22991633412887691</v>
      </c>
    </row>
    <row r="53" spans="1:5">
      <c r="A53" t="s">
        <v>25</v>
      </c>
      <c r="B53" t="s">
        <v>15</v>
      </c>
      <c r="C53" t="s">
        <v>8</v>
      </c>
      <c r="D53">
        <f>_xlfn.STDEV.S(per_seed!$I$22:$I$31)</f>
        <v>1.0077012966486231E-2</v>
      </c>
      <c r="E53">
        <v>1.007701296648625E-2</v>
      </c>
    </row>
    <row r="54" spans="1:5">
      <c r="A54" t="s">
        <v>24</v>
      </c>
      <c r="B54" t="s">
        <v>15</v>
      </c>
      <c r="C54" t="s">
        <v>9</v>
      </c>
      <c r="D54">
        <f>AVERAGE(per_seed!$J$22:$J$31)</f>
        <v>11.764617582674948</v>
      </c>
      <c r="E54">
        <v>11.76461758267495</v>
      </c>
    </row>
    <row r="55" spans="1:5">
      <c r="A55" t="s">
        <v>25</v>
      </c>
      <c r="B55" t="s">
        <v>15</v>
      </c>
      <c r="C55" t="s">
        <v>9</v>
      </c>
      <c r="D55">
        <f>_xlfn.STDEV.S(per_seed!$J$22:$J$31)</f>
        <v>0.43595989617167219</v>
      </c>
      <c r="E55">
        <v>0.43595989617167269</v>
      </c>
    </row>
    <row r="56" spans="1:5">
      <c r="A56" t="s">
        <v>24</v>
      </c>
      <c r="B56" t="s">
        <v>15</v>
      </c>
      <c r="C56" t="s">
        <v>10</v>
      </c>
      <c r="D56">
        <f>AVERAGE(per_seed!$K$22:$K$31)</f>
        <v>1.477773422848593</v>
      </c>
      <c r="E56">
        <v>1.477773422848593</v>
      </c>
    </row>
    <row r="57" spans="1:5">
      <c r="A57" t="s">
        <v>25</v>
      </c>
      <c r="B57" t="s">
        <v>15</v>
      </c>
      <c r="C57" t="s">
        <v>10</v>
      </c>
      <c r="D57">
        <f>_xlfn.STDEV.S(per_seed!$K$22:$K$31)</f>
        <v>4.2075660285516944E-2</v>
      </c>
      <c r="E57">
        <v>4.2075660285516937E-2</v>
      </c>
    </row>
    <row r="58" spans="1:5">
      <c r="A58" t="s">
        <v>24</v>
      </c>
      <c r="B58" t="s">
        <v>15</v>
      </c>
      <c r="C58" t="s">
        <v>11</v>
      </c>
      <c r="D58">
        <f>AVERAGE(per_seed!$L$22:$L$31)</f>
        <v>855.61333333355071</v>
      </c>
      <c r="E58">
        <v>855.61333333355071</v>
      </c>
    </row>
    <row r="59" spans="1:5">
      <c r="A59" t="s">
        <v>25</v>
      </c>
      <c r="B59" t="s">
        <v>15</v>
      </c>
      <c r="C59" t="s">
        <v>11</v>
      </c>
      <c r="D59">
        <f>_xlfn.STDEV.S(per_seed!$L$22:$L$31)</f>
        <v>52.037492234499283</v>
      </c>
      <c r="E59">
        <v>52.037492234499283</v>
      </c>
    </row>
    <row r="60" spans="1:5">
      <c r="A60" t="s">
        <v>24</v>
      </c>
      <c r="B60" t="s">
        <v>15</v>
      </c>
      <c r="C60" t="s">
        <v>12</v>
      </c>
      <c r="D60">
        <f>AVERAGE(per_seed!$M$22:$M$31)</f>
        <v>3.1299691359423476</v>
      </c>
      <c r="E60">
        <v>3.129969135942348</v>
      </c>
    </row>
    <row r="61" spans="1:5">
      <c r="A61" t="s">
        <v>25</v>
      </c>
      <c r="B61" t="s">
        <v>15</v>
      </c>
      <c r="C61" t="s">
        <v>12</v>
      </c>
      <c r="D61">
        <f>_xlfn.STDEV.S(per_seed!$M$22:$M$31)</f>
        <v>1.4219809594682968</v>
      </c>
      <c r="E61">
        <v>1.4219809594682959</v>
      </c>
    </row>
    <row r="62" spans="1:5">
      <c r="A62" t="s">
        <v>24</v>
      </c>
      <c r="B62" t="s">
        <v>16</v>
      </c>
      <c r="C62" t="s">
        <v>3</v>
      </c>
      <c r="D62">
        <f>AVERAGE(per_seed!$D$32:$D$41)</f>
        <v>1428.7</v>
      </c>
      <c r="E62">
        <v>1428.7</v>
      </c>
    </row>
    <row r="63" spans="1:5">
      <c r="A63" t="s">
        <v>25</v>
      </c>
      <c r="B63" t="s">
        <v>16</v>
      </c>
      <c r="C63" t="s">
        <v>3</v>
      </c>
      <c r="D63">
        <f>_xlfn.STDEV.S(per_seed!$D$32:$D$41)</f>
        <v>2.263232692902394</v>
      </c>
      <c r="E63">
        <v>2.263232692902394</v>
      </c>
    </row>
    <row r="64" spans="1:5">
      <c r="A64" t="s">
        <v>24</v>
      </c>
      <c r="B64" t="s">
        <v>16</v>
      </c>
      <c r="C64" t="s">
        <v>4</v>
      </c>
      <c r="D64">
        <f>AVERAGE(per_seed!$E$32:$E$41)</f>
        <v>952.2</v>
      </c>
      <c r="E64">
        <v>952.2</v>
      </c>
    </row>
    <row r="65" spans="1:5">
      <c r="A65" t="s">
        <v>25</v>
      </c>
      <c r="B65" t="s">
        <v>16</v>
      </c>
      <c r="C65" t="s">
        <v>4</v>
      </c>
      <c r="D65">
        <f>_xlfn.STDEV.S(per_seed!$E$32:$E$41)</f>
        <v>16.45059944871986</v>
      </c>
      <c r="E65">
        <v>16.45059944871986</v>
      </c>
    </row>
    <row r="66" spans="1:5">
      <c r="A66" t="s">
        <v>24</v>
      </c>
      <c r="B66" t="s">
        <v>16</v>
      </c>
      <c r="C66" t="s">
        <v>5</v>
      </c>
      <c r="D66">
        <f>AVERAGE(per_seed!$F$32:$F$41)</f>
        <v>603.5</v>
      </c>
      <c r="E66">
        <v>603.5</v>
      </c>
    </row>
    <row r="67" spans="1:5">
      <c r="A67" t="s">
        <v>25</v>
      </c>
      <c r="B67" t="s">
        <v>16</v>
      </c>
      <c r="C67" t="s">
        <v>5</v>
      </c>
      <c r="D67">
        <f>_xlfn.STDEV.S(per_seed!$F$32:$F$41)</f>
        <v>11.067971810589327</v>
      </c>
      <c r="E67">
        <v>11.067971810589331</v>
      </c>
    </row>
    <row r="68" spans="1:5">
      <c r="A68" t="s">
        <v>24</v>
      </c>
      <c r="B68" t="s">
        <v>16</v>
      </c>
      <c r="C68" t="s">
        <v>6</v>
      </c>
      <c r="D68">
        <f>AVERAGE(per_seed!$G$32:$G$41)</f>
        <v>5.1175754795168205</v>
      </c>
      <c r="E68">
        <v>5.1175754795168196</v>
      </c>
    </row>
    <row r="69" spans="1:5">
      <c r="A69" t="s">
        <v>25</v>
      </c>
      <c r="B69" t="s">
        <v>16</v>
      </c>
      <c r="C69" t="s">
        <v>6</v>
      </c>
      <c r="D69">
        <f>_xlfn.STDEV.S(per_seed!$G$32:$G$41)</f>
        <v>0.15170876494723376</v>
      </c>
      <c r="E69">
        <v>0.15170876494723379</v>
      </c>
    </row>
    <row r="70" spans="1:5">
      <c r="A70" t="s">
        <v>24</v>
      </c>
      <c r="B70" t="s">
        <v>16</v>
      </c>
      <c r="C70" t="s">
        <v>7</v>
      </c>
      <c r="D70">
        <f>AVERAGE(per_seed!$H$32:$H$41)</f>
        <v>118</v>
      </c>
      <c r="E70">
        <v>118</v>
      </c>
    </row>
    <row r="71" spans="1:5">
      <c r="A71" t="s">
        <v>25</v>
      </c>
      <c r="B71" t="s">
        <v>16</v>
      </c>
      <c r="C71" t="s">
        <v>7</v>
      </c>
      <c r="D71">
        <f>_xlfn.STDEV.S(per_seed!$H$32:$H$41)</f>
        <v>3.39934634239519</v>
      </c>
      <c r="E71">
        <v>3.39934634239519</v>
      </c>
    </row>
    <row r="72" spans="1:5">
      <c r="A72" t="s">
        <v>24</v>
      </c>
      <c r="B72" t="s">
        <v>16</v>
      </c>
      <c r="C72" t="s">
        <v>8</v>
      </c>
      <c r="D72">
        <f>AVERAGE(per_seed!$I$32:$I$41)</f>
        <v>0.19556075634889752</v>
      </c>
      <c r="E72">
        <v>0.1955607563488975</v>
      </c>
    </row>
    <row r="73" spans="1:5">
      <c r="A73" t="s">
        <v>25</v>
      </c>
      <c r="B73" t="s">
        <v>16</v>
      </c>
      <c r="C73" t="s">
        <v>8</v>
      </c>
      <c r="D73">
        <f>_xlfn.STDEV.S(per_seed!$I$32:$I$41)</f>
        <v>5.8391886587596444E-3</v>
      </c>
      <c r="E73">
        <v>5.8391886587596644E-3</v>
      </c>
    </row>
    <row r="74" spans="1:5">
      <c r="A74" t="s">
        <v>24</v>
      </c>
      <c r="B74" t="s">
        <v>16</v>
      </c>
      <c r="C74" t="s">
        <v>9</v>
      </c>
      <c r="D74">
        <f>AVERAGE(per_seed!$J$32:$J$41)</f>
        <v>10.35040239595906</v>
      </c>
      <c r="E74">
        <v>10.35040239595906</v>
      </c>
    </row>
    <row r="75" spans="1:5">
      <c r="A75" t="s">
        <v>25</v>
      </c>
      <c r="B75" t="s">
        <v>16</v>
      </c>
      <c r="C75" t="s">
        <v>9</v>
      </c>
      <c r="D75">
        <f>_xlfn.STDEV.S(per_seed!$J$32:$J$41)</f>
        <v>0.27376433738760975</v>
      </c>
      <c r="E75">
        <v>0.27376433738760908</v>
      </c>
    </row>
    <row r="76" spans="1:5">
      <c r="A76" t="s">
        <v>24</v>
      </c>
      <c r="B76" t="s">
        <v>16</v>
      </c>
      <c r="C76" t="s">
        <v>10</v>
      </c>
      <c r="D76">
        <f>AVERAGE(per_seed!$K$32:$K$41)</f>
        <v>1.317185140231671</v>
      </c>
      <c r="E76">
        <v>1.317185140231671</v>
      </c>
    </row>
    <row r="77" spans="1:5">
      <c r="A77" t="s">
        <v>25</v>
      </c>
      <c r="B77" t="s">
        <v>16</v>
      </c>
      <c r="C77" t="s">
        <v>10</v>
      </c>
      <c r="D77">
        <f>_xlfn.STDEV.S(per_seed!$K$32:$K$41)</f>
        <v>2.9436940075360178E-2</v>
      </c>
      <c r="E77">
        <v>2.9436940075360182E-2</v>
      </c>
    </row>
    <row r="78" spans="1:5">
      <c r="A78" t="s">
        <v>24</v>
      </c>
      <c r="B78" t="s">
        <v>16</v>
      </c>
      <c r="C78" t="s">
        <v>11</v>
      </c>
      <c r="D78">
        <f>AVERAGE(per_seed!$L$32:$L$41)</f>
        <v>787.77777778006782</v>
      </c>
      <c r="E78">
        <v>787.77777778006782</v>
      </c>
    </row>
    <row r="79" spans="1:5">
      <c r="A79" t="s">
        <v>25</v>
      </c>
      <c r="B79" t="s">
        <v>16</v>
      </c>
      <c r="C79" t="s">
        <v>11</v>
      </c>
      <c r="D79">
        <f>_xlfn.STDEV.S(per_seed!$L$32:$L$41)</f>
        <v>40.322039707109951</v>
      </c>
      <c r="E79">
        <v>40.322039707109951</v>
      </c>
    </row>
    <row r="80" spans="1:5">
      <c r="A80" t="s">
        <v>24</v>
      </c>
      <c r="B80" t="s">
        <v>16</v>
      </c>
      <c r="C80" t="s">
        <v>12</v>
      </c>
      <c r="D80">
        <f>AVERAGE(per_seed!$M$32:$M$41)</f>
        <v>0.8557407408879818</v>
      </c>
      <c r="E80">
        <v>0.8557407408879818</v>
      </c>
    </row>
    <row r="81" spans="1:5">
      <c r="A81" t="s">
        <v>25</v>
      </c>
      <c r="B81" t="s">
        <v>16</v>
      </c>
      <c r="C81" t="s">
        <v>12</v>
      </c>
      <c r="D81">
        <f>_xlfn.STDEV.S(per_seed!$M$32:$M$41)</f>
        <v>0.15670302874636355</v>
      </c>
      <c r="E81">
        <v>0.15670302874636341</v>
      </c>
    </row>
    <row r="82" spans="1:5">
      <c r="A82" t="s">
        <v>24</v>
      </c>
      <c r="B82" t="s">
        <v>17</v>
      </c>
      <c r="C82" t="s">
        <v>3</v>
      </c>
      <c r="D82">
        <f>AVERAGE(per_seed!$D$42:$D$51)</f>
        <v>1428.1</v>
      </c>
      <c r="E82">
        <v>1428.1</v>
      </c>
    </row>
    <row r="83" spans="1:5">
      <c r="A83" t="s">
        <v>25</v>
      </c>
      <c r="B83" t="s">
        <v>17</v>
      </c>
      <c r="C83" t="s">
        <v>3</v>
      </c>
      <c r="D83">
        <f>_xlfn.STDEV.S(per_seed!$D$42:$D$51)</f>
        <v>2.3781411975649296</v>
      </c>
      <c r="E83">
        <v>2.3781411975649291</v>
      </c>
    </row>
    <row r="84" spans="1:5">
      <c r="A84" t="s">
        <v>24</v>
      </c>
      <c r="B84" t="s">
        <v>17</v>
      </c>
      <c r="C84" t="s">
        <v>4</v>
      </c>
      <c r="D84">
        <f>AVERAGE(per_seed!$E$42:$E$51)</f>
        <v>959.2</v>
      </c>
      <c r="E84">
        <v>959.2</v>
      </c>
    </row>
    <row r="85" spans="1:5">
      <c r="A85" t="s">
        <v>25</v>
      </c>
      <c r="B85" t="s">
        <v>17</v>
      </c>
      <c r="C85" t="s">
        <v>4</v>
      </c>
      <c r="D85">
        <f>_xlfn.STDEV.S(per_seed!$E$42:$E$51)</f>
        <v>12.389960093200909</v>
      </c>
      <c r="E85">
        <v>12.38996009320091</v>
      </c>
    </row>
    <row r="86" spans="1:5">
      <c r="A86" t="s">
        <v>24</v>
      </c>
      <c r="B86" t="s">
        <v>17</v>
      </c>
      <c r="C86" t="s">
        <v>5</v>
      </c>
      <c r="D86">
        <f>AVERAGE(per_seed!$F$42:$F$51)</f>
        <v>602.5</v>
      </c>
      <c r="E86">
        <v>602.5</v>
      </c>
    </row>
    <row r="87" spans="1:5">
      <c r="A87" t="s">
        <v>25</v>
      </c>
      <c r="B87" t="s">
        <v>17</v>
      </c>
      <c r="C87" t="s">
        <v>5</v>
      </c>
      <c r="D87">
        <f>_xlfn.STDEV.S(per_seed!$F$42:$F$51)</f>
        <v>10.469532516359607</v>
      </c>
      <c r="E87">
        <v>10.46953251635961</v>
      </c>
    </row>
    <row r="88" spans="1:5">
      <c r="A88" t="s">
        <v>24</v>
      </c>
      <c r="B88" t="s">
        <v>17</v>
      </c>
      <c r="C88" t="s">
        <v>6</v>
      </c>
      <c r="D88">
        <f>AVERAGE(per_seed!$G$42:$G$51)</f>
        <v>2.9392630515674028</v>
      </c>
      <c r="E88">
        <v>2.9392630515674019</v>
      </c>
    </row>
    <row r="89" spans="1:5">
      <c r="A89" t="s">
        <v>25</v>
      </c>
      <c r="B89" t="s">
        <v>17</v>
      </c>
      <c r="C89" t="s">
        <v>6</v>
      </c>
      <c r="D89">
        <f>_xlfn.STDEV.S(per_seed!$G$42:$G$51)</f>
        <v>8.7123142395439765E-2</v>
      </c>
      <c r="E89">
        <v>8.7123142395439723E-2</v>
      </c>
    </row>
    <row r="90" spans="1:5">
      <c r="A90" t="s">
        <v>24</v>
      </c>
      <c r="B90" t="s">
        <v>17</v>
      </c>
      <c r="C90" t="s">
        <v>7</v>
      </c>
      <c r="D90">
        <f>AVERAGE(per_seed!$H$42:$H$51)</f>
        <v>205.1</v>
      </c>
      <c r="E90">
        <v>205.1</v>
      </c>
    </row>
    <row r="91" spans="1:5">
      <c r="A91" t="s">
        <v>25</v>
      </c>
      <c r="B91" t="s">
        <v>17</v>
      </c>
      <c r="C91" t="s">
        <v>7</v>
      </c>
      <c r="D91">
        <f>_xlfn.STDEV.S(per_seed!$H$42:$H$51)</f>
        <v>5.425249610233001</v>
      </c>
      <c r="E91">
        <v>5.4252496102330019</v>
      </c>
    </row>
    <row r="92" spans="1:5">
      <c r="A92" t="s">
        <v>24</v>
      </c>
      <c r="B92" t="s">
        <v>17</v>
      </c>
      <c r="C92" t="s">
        <v>8</v>
      </c>
      <c r="D92">
        <f>AVERAGE(per_seed!$I$42:$I$51)</f>
        <v>0.34048343172850049</v>
      </c>
      <c r="E92">
        <v>0.34048343172850049</v>
      </c>
    </row>
    <row r="93" spans="1:5">
      <c r="A93" t="s">
        <v>25</v>
      </c>
      <c r="B93" t="s">
        <v>17</v>
      </c>
      <c r="C93" t="s">
        <v>8</v>
      </c>
      <c r="D93">
        <f>_xlfn.STDEV.S(per_seed!$I$42:$I$51)</f>
        <v>9.8270359592916284E-3</v>
      </c>
      <c r="E93">
        <v>9.8270359592916405E-3</v>
      </c>
    </row>
    <row r="94" spans="1:5">
      <c r="A94" t="s">
        <v>24</v>
      </c>
      <c r="B94" t="s">
        <v>17</v>
      </c>
      <c r="C94" t="s">
        <v>9</v>
      </c>
      <c r="D94">
        <f>AVERAGE(per_seed!$J$42:$J$51)</f>
        <v>15.6874688983124</v>
      </c>
      <c r="E94">
        <v>15.6874688983124</v>
      </c>
    </row>
    <row r="95" spans="1:5">
      <c r="A95" t="s">
        <v>25</v>
      </c>
      <c r="B95" t="s">
        <v>17</v>
      </c>
      <c r="C95" t="s">
        <v>9</v>
      </c>
      <c r="D95">
        <f>_xlfn.STDEV.S(per_seed!$J$42:$J$51)</f>
        <v>0.63297778556333295</v>
      </c>
      <c r="E95">
        <v>0.63297778556333184</v>
      </c>
    </row>
    <row r="96" spans="1:5">
      <c r="A96" t="s">
        <v>24</v>
      </c>
      <c r="B96" t="s">
        <v>17</v>
      </c>
      <c r="C96" t="s">
        <v>10</v>
      </c>
      <c r="D96">
        <f>AVERAGE(per_seed!$K$42:$K$51)</f>
        <v>2.0391645628473771</v>
      </c>
      <c r="E96">
        <v>2.0391645628473771</v>
      </c>
    </row>
    <row r="97" spans="1:5">
      <c r="A97" t="s">
        <v>25</v>
      </c>
      <c r="B97" t="s">
        <v>17</v>
      </c>
      <c r="C97" t="s">
        <v>10</v>
      </c>
      <c r="D97">
        <f>_xlfn.STDEV.S(per_seed!$K$42:$K$51)</f>
        <v>8.2018824922221137E-2</v>
      </c>
      <c r="E97">
        <v>8.2018824922221123E-2</v>
      </c>
    </row>
    <row r="98" spans="1:5">
      <c r="A98" t="s">
        <v>24</v>
      </c>
      <c r="B98" t="s">
        <v>17</v>
      </c>
      <c r="C98" t="s">
        <v>11</v>
      </c>
      <c r="D98">
        <f>AVERAGE(per_seed!$L$42:$L$51)</f>
        <v>736.15111111308511</v>
      </c>
      <c r="E98">
        <v>736.15111111308511</v>
      </c>
    </row>
    <row r="99" spans="1:5">
      <c r="A99" t="s">
        <v>25</v>
      </c>
      <c r="B99" t="s">
        <v>17</v>
      </c>
      <c r="C99" t="s">
        <v>11</v>
      </c>
      <c r="D99">
        <f>_xlfn.STDEV.S(per_seed!$L$42:$L$51)</f>
        <v>71.872519973971023</v>
      </c>
      <c r="E99">
        <v>71.872519973971023</v>
      </c>
    </row>
    <row r="100" spans="1:5">
      <c r="A100" t="s">
        <v>24</v>
      </c>
      <c r="B100" t="s">
        <v>17</v>
      </c>
      <c r="C100" t="s">
        <v>12</v>
      </c>
      <c r="D100">
        <f>AVERAGE(per_seed!$M$42:$M$51)</f>
        <v>0.91043209891274834</v>
      </c>
      <c r="E100">
        <v>0.91043209891274834</v>
      </c>
    </row>
    <row r="101" spans="1:5">
      <c r="A101" t="s">
        <v>25</v>
      </c>
      <c r="B101" t="s">
        <v>17</v>
      </c>
      <c r="C101" t="s">
        <v>12</v>
      </c>
      <c r="D101">
        <f>_xlfn.STDEV.S(per_seed!$M$42:$M$51)</f>
        <v>0.1605859844095652</v>
      </c>
      <c r="E101">
        <v>0.16058598440956531</v>
      </c>
    </row>
    <row r="102" spans="1:5">
      <c r="A102" t="s">
        <v>24</v>
      </c>
      <c r="B102" t="s">
        <v>18</v>
      </c>
      <c r="C102" t="s">
        <v>3</v>
      </c>
      <c r="D102">
        <f>AVERAGE(per_seed!$D$52:$D$61)</f>
        <v>1422.1</v>
      </c>
      <c r="E102">
        <v>1422.1</v>
      </c>
    </row>
    <row r="103" spans="1:5">
      <c r="A103" t="s">
        <v>25</v>
      </c>
      <c r="B103" t="s">
        <v>18</v>
      </c>
      <c r="C103" t="s">
        <v>3</v>
      </c>
      <c r="D103">
        <f>_xlfn.STDEV.S(per_seed!$D$52:$D$61)</f>
        <v>2.923088169119167</v>
      </c>
      <c r="E103">
        <v>2.923088169119167</v>
      </c>
    </row>
    <row r="104" spans="1:5">
      <c r="A104" t="s">
        <v>24</v>
      </c>
      <c r="B104" t="s">
        <v>18</v>
      </c>
      <c r="C104" t="s">
        <v>4</v>
      </c>
      <c r="D104">
        <f>AVERAGE(per_seed!$E$52:$E$61)</f>
        <v>955.4</v>
      </c>
      <c r="E104">
        <v>955.4</v>
      </c>
    </row>
    <row r="105" spans="1:5">
      <c r="A105" t="s">
        <v>25</v>
      </c>
      <c r="B105" t="s">
        <v>18</v>
      </c>
      <c r="C105" t="s">
        <v>4</v>
      </c>
      <c r="D105">
        <f>_xlfn.STDEV.S(per_seed!$E$52:$E$61)</f>
        <v>15.327535135609162</v>
      </c>
      <c r="E105">
        <v>15.32753513560916</v>
      </c>
    </row>
    <row r="106" spans="1:5">
      <c r="A106" t="s">
        <v>24</v>
      </c>
      <c r="B106" t="s">
        <v>18</v>
      </c>
      <c r="C106" t="s">
        <v>5</v>
      </c>
      <c r="D106">
        <f>AVERAGE(per_seed!$F$52:$F$61)</f>
        <v>597.4</v>
      </c>
      <c r="E106">
        <v>597.4</v>
      </c>
    </row>
    <row r="107" spans="1:5">
      <c r="A107" t="s">
        <v>25</v>
      </c>
      <c r="B107" t="s">
        <v>18</v>
      </c>
      <c r="C107" t="s">
        <v>5</v>
      </c>
      <c r="D107">
        <f>_xlfn.STDEV.S(per_seed!$F$52:$F$61)</f>
        <v>12.285492799775408</v>
      </c>
      <c r="E107">
        <v>12.28549279977541</v>
      </c>
    </row>
    <row r="108" spans="1:5">
      <c r="A108" t="s">
        <v>24</v>
      </c>
      <c r="B108" t="s">
        <v>18</v>
      </c>
      <c r="C108" t="s">
        <v>6</v>
      </c>
      <c r="D108">
        <f>AVERAGE(per_seed!$G$52:$G$61)</f>
        <v>2.9819219684154685</v>
      </c>
      <c r="E108">
        <v>2.981921968415469</v>
      </c>
    </row>
    <row r="109" spans="1:5">
      <c r="A109" t="s">
        <v>25</v>
      </c>
      <c r="B109" t="s">
        <v>18</v>
      </c>
      <c r="C109" t="s">
        <v>6</v>
      </c>
      <c r="D109">
        <f>_xlfn.STDEV.S(per_seed!$G$52:$G$61)</f>
        <v>6.1468160158943887E-2</v>
      </c>
      <c r="E109">
        <v>6.1468160158943748E-2</v>
      </c>
    </row>
    <row r="110" spans="1:5">
      <c r="A110" t="s">
        <v>24</v>
      </c>
      <c r="B110" t="s">
        <v>18</v>
      </c>
      <c r="C110" t="s">
        <v>7</v>
      </c>
      <c r="D110">
        <f>AVERAGE(per_seed!$H$52:$H$61)</f>
        <v>200.4</v>
      </c>
      <c r="E110">
        <v>200.4</v>
      </c>
    </row>
    <row r="111" spans="1:5">
      <c r="A111" t="s">
        <v>25</v>
      </c>
      <c r="B111" t="s">
        <v>18</v>
      </c>
      <c r="C111" t="s">
        <v>7</v>
      </c>
      <c r="D111">
        <f>_xlfn.STDEV.S(per_seed!$H$52:$H$61)</f>
        <v>5.1251016250086856</v>
      </c>
      <c r="E111">
        <v>5.1251016250086856</v>
      </c>
    </row>
    <row r="112" spans="1:5">
      <c r="A112" t="s">
        <v>24</v>
      </c>
      <c r="B112" t="s">
        <v>18</v>
      </c>
      <c r="C112" t="s">
        <v>8</v>
      </c>
      <c r="D112">
        <f>AVERAGE(per_seed!$I$52:$I$61)</f>
        <v>0.33548306743011841</v>
      </c>
      <c r="E112">
        <v>0.33548306743011841</v>
      </c>
    </row>
    <row r="113" spans="1:5">
      <c r="A113" t="s">
        <v>25</v>
      </c>
      <c r="B113" t="s">
        <v>18</v>
      </c>
      <c r="C113" t="s">
        <v>8</v>
      </c>
      <c r="D113">
        <f>_xlfn.STDEV.S(per_seed!$I$52:$I$61)</f>
        <v>6.9490991406552923E-3</v>
      </c>
      <c r="E113">
        <v>6.9490991406553123E-3</v>
      </c>
    </row>
    <row r="114" spans="1:5">
      <c r="A114" t="s">
        <v>24</v>
      </c>
      <c r="B114" t="s">
        <v>18</v>
      </c>
      <c r="C114" t="s">
        <v>9</v>
      </c>
      <c r="D114">
        <f>AVERAGE(per_seed!$J$52:$J$61)</f>
        <v>16.315648535552235</v>
      </c>
      <c r="E114">
        <v>16.315648535552231</v>
      </c>
    </row>
    <row r="115" spans="1:5">
      <c r="A115" t="s">
        <v>25</v>
      </c>
      <c r="B115" t="s">
        <v>18</v>
      </c>
      <c r="C115" t="s">
        <v>9</v>
      </c>
      <c r="D115">
        <f>_xlfn.STDEV.S(per_seed!$J$52:$J$61)</f>
        <v>0.40022575087027329</v>
      </c>
      <c r="E115">
        <v>0.4002257508702719</v>
      </c>
    </row>
    <row r="116" spans="1:5">
      <c r="A116" t="s">
        <v>24</v>
      </c>
      <c r="B116" t="s">
        <v>18</v>
      </c>
      <c r="C116" t="s">
        <v>10</v>
      </c>
      <c r="D116">
        <f>AVERAGE(per_seed!$K$52:$K$61)</f>
        <v>2.0911604688080181</v>
      </c>
      <c r="E116">
        <v>2.0911604688080181</v>
      </c>
    </row>
    <row r="117" spans="1:5">
      <c r="A117" t="s">
        <v>25</v>
      </c>
      <c r="B117" t="s">
        <v>18</v>
      </c>
      <c r="C117" t="s">
        <v>10</v>
      </c>
      <c r="D117">
        <f>_xlfn.STDEV.S(per_seed!$K$52:$K$61)</f>
        <v>4.0734574330011708E-2</v>
      </c>
      <c r="E117">
        <v>4.0734574330011708E-2</v>
      </c>
    </row>
    <row r="118" spans="1:5">
      <c r="A118" t="s">
        <v>24</v>
      </c>
      <c r="B118" t="s">
        <v>18</v>
      </c>
      <c r="C118" t="s">
        <v>11</v>
      </c>
      <c r="D118">
        <f>AVERAGE(per_seed!$L$52:$L$61)</f>
        <v>700.42222222252383</v>
      </c>
      <c r="E118">
        <v>700.42222222252383</v>
      </c>
    </row>
    <row r="119" spans="1:5">
      <c r="A119" t="s">
        <v>25</v>
      </c>
      <c r="B119" t="s">
        <v>18</v>
      </c>
      <c r="C119" t="s">
        <v>11</v>
      </c>
      <c r="D119">
        <f>_xlfn.STDEV.S(per_seed!$L$52:$L$61)</f>
        <v>47.748519320014751</v>
      </c>
      <c r="E119">
        <v>47.748519320014751</v>
      </c>
    </row>
    <row r="120" spans="1:5">
      <c r="A120" t="s">
        <v>24</v>
      </c>
      <c r="B120" t="s">
        <v>18</v>
      </c>
      <c r="C120" t="s">
        <v>12</v>
      </c>
      <c r="D120">
        <f>AVERAGE(per_seed!$M$52:$M$61)</f>
        <v>1.3154938273077428</v>
      </c>
      <c r="E120">
        <v>1.315493827307743</v>
      </c>
    </row>
    <row r="121" spans="1:5">
      <c r="A121" t="s">
        <v>25</v>
      </c>
      <c r="B121" t="s">
        <v>18</v>
      </c>
      <c r="C121" t="s">
        <v>12</v>
      </c>
      <c r="D121">
        <f>_xlfn.STDEV.S(per_seed!$M$52:$M$61)</f>
        <v>0.18619027655176165</v>
      </c>
      <c r="E121">
        <v>0.18619027655176271</v>
      </c>
    </row>
    <row r="122" spans="1:5">
      <c r="A122" t="s">
        <v>26</v>
      </c>
      <c r="B122" t="s">
        <v>27</v>
      </c>
      <c r="C122" t="s">
        <v>3</v>
      </c>
      <c r="D122">
        <f>(AVERAGE(per_seed!$D$22:$D$31)-AVERAGE(per_seed!$D$12:$D$21))/AVERAGE(per_seed!$D$12:$D$21)*100</f>
        <v>-0.84529052422218109</v>
      </c>
      <c r="E122">
        <v>-0.84529052422218109</v>
      </c>
    </row>
    <row r="123" spans="1:5">
      <c r="A123" t="s">
        <v>28</v>
      </c>
      <c r="B123" t="s">
        <v>27</v>
      </c>
      <c r="C123" t="s">
        <v>3</v>
      </c>
      <c r="D123">
        <f>_xlfn.T.TEST(per_seed!$D$12:$D$21,per_seed!$D$22:$D$31,2,1)</f>
        <v>0.10825903557077442</v>
      </c>
      <c r="E123">
        <v>0.10825903557077091</v>
      </c>
    </row>
    <row r="124" spans="1:5">
      <c r="A124" t="s">
        <v>26</v>
      </c>
      <c r="B124" t="s">
        <v>27</v>
      </c>
      <c r="C124" t="s">
        <v>4</v>
      </c>
      <c r="D124">
        <f>(AVERAGE(per_seed!$E$22:$E$31)-AVERAGE(per_seed!$E$12:$E$21))/AVERAGE(per_seed!$E$12:$E$21)*100</f>
        <v>-0.68121341138903435</v>
      </c>
      <c r="E124">
        <v>-0.68121341138903435</v>
      </c>
    </row>
    <row r="125" spans="1:5">
      <c r="A125" t="s">
        <v>28</v>
      </c>
      <c r="B125" t="s">
        <v>27</v>
      </c>
      <c r="C125" t="s">
        <v>4</v>
      </c>
      <c r="D125">
        <f>_xlfn.T.TEST(per_seed!$E$12:$E$21,per_seed!$E$22:$E$31,2,1)</f>
        <v>0.19411968906501903</v>
      </c>
      <c r="E125">
        <v>0.1941196890650177</v>
      </c>
    </row>
    <row r="126" spans="1:5">
      <c r="A126" t="s">
        <v>26</v>
      </c>
      <c r="B126" t="s">
        <v>27</v>
      </c>
      <c r="C126" t="s">
        <v>5</v>
      </c>
      <c r="D126">
        <f>(AVERAGE(per_seed!$F$22:$F$31)-AVERAGE(per_seed!$F$12:$F$21))/AVERAGE(per_seed!$F$12:$F$21)*100</f>
        <v>-1.6957775139905502E-2</v>
      </c>
      <c r="E126">
        <v>-1.6957775139905502E-2</v>
      </c>
    </row>
    <row r="127" spans="1:5">
      <c r="A127" t="s">
        <v>28</v>
      </c>
      <c r="B127" t="s">
        <v>27</v>
      </c>
      <c r="C127" t="s">
        <v>5</v>
      </c>
      <c r="D127">
        <f>_xlfn.T.TEST(per_seed!$F$12:$F$21,per_seed!$F$22:$F$31,2,1)</f>
        <v>0.97684758199073629</v>
      </c>
      <c r="E127">
        <v>0.9768475819907414</v>
      </c>
    </row>
    <row r="128" spans="1:5">
      <c r="A128" t="s">
        <v>26</v>
      </c>
      <c r="B128" t="s">
        <v>27</v>
      </c>
      <c r="C128" t="s">
        <v>6</v>
      </c>
      <c r="D128">
        <f>(AVERAGE(per_seed!$G$22:$G$31)-AVERAGE(per_seed!$G$12:$G$21))/AVERAGE(per_seed!$G$12:$G$21)*100</f>
        <v>-1.3092831129048264</v>
      </c>
      <c r="E128">
        <v>-1.3092831129048259</v>
      </c>
    </row>
    <row r="129" spans="1:5">
      <c r="A129" t="s">
        <v>28</v>
      </c>
      <c r="B129" t="s">
        <v>27</v>
      </c>
      <c r="C129" t="s">
        <v>6</v>
      </c>
      <c r="D129">
        <f>_xlfn.T.TEST(per_seed!$G$12:$G$21,per_seed!$G$22:$G$31,2,1)</f>
        <v>0.42570354317393777</v>
      </c>
      <c r="E129">
        <v>0.42570354317394421</v>
      </c>
    </row>
    <row r="130" spans="1:5">
      <c r="A130" t="s">
        <v>26</v>
      </c>
      <c r="B130" t="s">
        <v>27</v>
      </c>
      <c r="C130" t="s">
        <v>7</v>
      </c>
      <c r="D130">
        <f>(AVERAGE(per_seed!$H$22:$H$31)-AVERAGE(per_seed!$H$12:$H$21))/AVERAGE(per_seed!$H$12:$H$21)*100</f>
        <v>1.4221556886227589</v>
      </c>
      <c r="E130">
        <v>1.4221556886227591</v>
      </c>
    </row>
    <row r="131" spans="1:5">
      <c r="A131" t="s">
        <v>28</v>
      </c>
      <c r="B131" t="s">
        <v>27</v>
      </c>
      <c r="C131" t="s">
        <v>7</v>
      </c>
      <c r="D131">
        <f>_xlfn.T.TEST(per_seed!$H$12:$H$21,per_seed!$H$22:$H$31,2,1)</f>
        <v>0.27907699978465811</v>
      </c>
      <c r="E131">
        <v>0.27907699978465961</v>
      </c>
    </row>
    <row r="132" spans="1:5">
      <c r="A132" t="s">
        <v>26</v>
      </c>
      <c r="B132" t="s">
        <v>27</v>
      </c>
      <c r="C132" t="s">
        <v>8</v>
      </c>
      <c r="D132">
        <f>(AVERAGE(per_seed!$I$22:$I$31)-AVERAGE(per_seed!$I$12:$I$21))/AVERAGE(per_seed!$I$12:$I$21)*100</f>
        <v>1.4612919220603069</v>
      </c>
      <c r="E132">
        <v>1.4612919220603069</v>
      </c>
    </row>
    <row r="133" spans="1:5">
      <c r="A133" t="s">
        <v>28</v>
      </c>
      <c r="B133" t="s">
        <v>27</v>
      </c>
      <c r="C133" t="s">
        <v>8</v>
      </c>
      <c r="D133">
        <f>_xlfn.T.TEST(per_seed!$I$12:$I$21,per_seed!$I$22:$I$31,2,1)</f>
        <v>0.40299271313309615</v>
      </c>
      <c r="E133">
        <v>0.40299271313309148</v>
      </c>
    </row>
    <row r="134" spans="1:5">
      <c r="A134" t="s">
        <v>26</v>
      </c>
      <c r="B134" t="s">
        <v>27</v>
      </c>
      <c r="C134" t="s">
        <v>9</v>
      </c>
      <c r="D134">
        <f>(AVERAGE(per_seed!$J$22:$J$31)-AVERAGE(per_seed!$J$12:$J$21))/AVERAGE(per_seed!$J$12:$J$21)*100</f>
        <v>5.3068192031615187</v>
      </c>
      <c r="E134">
        <v>5.3068192031615506</v>
      </c>
    </row>
    <row r="135" spans="1:5">
      <c r="A135" t="s">
        <v>28</v>
      </c>
      <c r="B135" t="s">
        <v>27</v>
      </c>
      <c r="C135" t="s">
        <v>9</v>
      </c>
      <c r="D135">
        <f>_xlfn.T.TEST(per_seed!$J$12:$J$21,per_seed!$J$22:$J$31,2,1)</f>
        <v>4.0489862925767285E-3</v>
      </c>
      <c r="E135">
        <v>4.0489862925766756E-3</v>
      </c>
    </row>
    <row r="136" spans="1:5">
      <c r="A136" t="s">
        <v>26</v>
      </c>
      <c r="B136" t="s">
        <v>27</v>
      </c>
      <c r="C136" t="s">
        <v>10</v>
      </c>
      <c r="D136">
        <f>(AVERAGE(per_seed!$K$22:$K$31)-AVERAGE(per_seed!$K$12:$K$21))/AVERAGE(per_seed!$K$12:$K$21)*100</f>
        <v>3.3987079836855747</v>
      </c>
      <c r="E136">
        <v>3.3987079836855911</v>
      </c>
    </row>
    <row r="137" spans="1:5">
      <c r="A137" t="s">
        <v>28</v>
      </c>
      <c r="B137" t="s">
        <v>27</v>
      </c>
      <c r="C137" t="s">
        <v>10</v>
      </c>
      <c r="D137">
        <f>_xlfn.T.TEST(per_seed!$K$12:$K$21,per_seed!$K$22:$K$31,2,1)</f>
        <v>2.9299470331692706E-2</v>
      </c>
      <c r="E137">
        <v>2.9299470331692279E-2</v>
      </c>
    </row>
    <row r="138" spans="1:5">
      <c r="A138" t="s">
        <v>26</v>
      </c>
      <c r="B138" t="s">
        <v>27</v>
      </c>
      <c r="C138" t="s">
        <v>11</v>
      </c>
      <c r="D138">
        <f>(AVERAGE(per_seed!$L$22:$L$31)-AVERAGE(per_seed!$L$12:$L$21))/AVERAGE(per_seed!$L$12:$L$21)*100</f>
        <v>-0.37724718238181926</v>
      </c>
      <c r="E138">
        <v>-0.37724718238183252</v>
      </c>
    </row>
    <row r="139" spans="1:5">
      <c r="A139" t="s">
        <v>28</v>
      </c>
      <c r="B139" t="s">
        <v>27</v>
      </c>
      <c r="C139" t="s">
        <v>11</v>
      </c>
      <c r="D139">
        <f>_xlfn.T.TEST(per_seed!$L$12:$L$21,per_seed!$L$22:$L$31,2,1)</f>
        <v>0.88593660917545403</v>
      </c>
      <c r="E139">
        <v>0.88593660917544581</v>
      </c>
    </row>
    <row r="140" spans="1:5">
      <c r="A140" t="s">
        <v>26</v>
      </c>
      <c r="B140" t="s">
        <v>27</v>
      </c>
      <c r="C140" t="s">
        <v>12</v>
      </c>
      <c r="D140">
        <f>(AVERAGE(per_seed!$M$22:$M$31)-AVERAGE(per_seed!$M$12:$M$21))/AVERAGE(per_seed!$M$12:$M$21)*100</f>
        <v>35.160602423139849</v>
      </c>
      <c r="E140">
        <v>35.160602423139849</v>
      </c>
    </row>
    <row r="141" spans="1:5">
      <c r="A141" t="s">
        <v>28</v>
      </c>
      <c r="B141" t="s">
        <v>27</v>
      </c>
      <c r="C141" t="s">
        <v>12</v>
      </c>
      <c r="D141">
        <f>_xlfn.T.TEST(per_seed!$M$12:$M$21,per_seed!$M$22:$M$31,2,1)</f>
        <v>0.10667154877673513</v>
      </c>
      <c r="E141">
        <v>0.106671548776735</v>
      </c>
    </row>
    <row r="142" spans="1:5">
      <c r="A142" t="s">
        <v>26</v>
      </c>
      <c r="B142" t="s">
        <v>29</v>
      </c>
      <c r="C142" t="s">
        <v>3</v>
      </c>
      <c r="D142">
        <f>(AVERAGE(per_seed!$D$22:$D$31)-AVERAGE(per_seed!$D$2:$D$11))/AVERAGE(per_seed!$D$2:$D$11)*100</f>
        <v>-1.6902598774561586</v>
      </c>
      <c r="E142">
        <v>-1.690259877456159</v>
      </c>
    </row>
    <row r="143" spans="1:5">
      <c r="A143" t="s">
        <v>28</v>
      </c>
      <c r="B143" t="s">
        <v>29</v>
      </c>
      <c r="C143" t="s">
        <v>3</v>
      </c>
      <c r="D143">
        <f>_xlfn.T.TEST(per_seed!$D$2:$D$11,per_seed!$D$22:$D$31,2,1)</f>
        <v>4.5461089880397959E-3</v>
      </c>
      <c r="E143">
        <v>4.5461089880397916E-3</v>
      </c>
    </row>
    <row r="144" spans="1:5">
      <c r="A144" t="s">
        <v>26</v>
      </c>
      <c r="B144" t="s">
        <v>29</v>
      </c>
      <c r="C144" t="s">
        <v>4</v>
      </c>
      <c r="D144">
        <f>(AVERAGE(per_seed!$E$22:$E$31)-AVERAGE(per_seed!$E$2:$E$11))/AVERAGE(per_seed!$E$2:$E$11)*100</f>
        <v>-1.374061938484304</v>
      </c>
      <c r="E144">
        <v>-1.374061938484304</v>
      </c>
    </row>
    <row r="145" spans="1:5">
      <c r="A145" t="s">
        <v>28</v>
      </c>
      <c r="B145" t="s">
        <v>29</v>
      </c>
      <c r="C145" t="s">
        <v>4</v>
      </c>
      <c r="D145">
        <f>_xlfn.T.TEST(per_seed!$E$2:$E$11,per_seed!$E$22:$E$31,2,1)</f>
        <v>5.9761451962327579E-3</v>
      </c>
      <c r="E145">
        <v>5.9761451962327553E-3</v>
      </c>
    </row>
    <row r="146" spans="1:5">
      <c r="A146" t="s">
        <v>26</v>
      </c>
      <c r="B146" t="s">
        <v>29</v>
      </c>
      <c r="C146" t="s">
        <v>5</v>
      </c>
      <c r="D146">
        <f>(AVERAGE(per_seed!$F$22:$F$31)-AVERAGE(per_seed!$F$2:$F$11))/AVERAGE(per_seed!$F$2:$F$11)*100</f>
        <v>-1.5857119011851111</v>
      </c>
      <c r="E146">
        <v>-1.5857119011851111</v>
      </c>
    </row>
    <row r="147" spans="1:5">
      <c r="A147" t="s">
        <v>28</v>
      </c>
      <c r="B147" t="s">
        <v>29</v>
      </c>
      <c r="C147" t="s">
        <v>5</v>
      </c>
      <c r="D147">
        <f>_xlfn.T.TEST(per_seed!$F$2:$F$11,per_seed!$F$22:$F$31,2,1)</f>
        <v>1.8673896340338809E-3</v>
      </c>
      <c r="E147">
        <v>1.8673896340338861E-3</v>
      </c>
    </row>
    <row r="148" spans="1:5">
      <c r="A148" t="s">
        <v>26</v>
      </c>
      <c r="B148" t="s">
        <v>29</v>
      </c>
      <c r="C148" t="s">
        <v>6</v>
      </c>
      <c r="D148">
        <f>(AVERAGE(per_seed!$G$22:$G$31)-AVERAGE(per_seed!$G$2:$G$11))/AVERAGE(per_seed!$G$2:$G$11)*100</f>
        <v>-18.379398366591708</v>
      </c>
      <c r="E148">
        <v>-18.379398366591708</v>
      </c>
    </row>
    <row r="149" spans="1:5">
      <c r="A149" t="s">
        <v>28</v>
      </c>
      <c r="B149" t="s">
        <v>29</v>
      </c>
      <c r="C149" t="s">
        <v>6</v>
      </c>
      <c r="D149">
        <f>_xlfn.T.TEST(per_seed!$G$2:$G$11,per_seed!$G$22:$G$31,2,1)</f>
        <v>1.2134967646055805E-7</v>
      </c>
      <c r="E149">
        <v>1.213496764605586E-7</v>
      </c>
    </row>
    <row r="150" spans="1:5">
      <c r="A150" t="s">
        <v>26</v>
      </c>
      <c r="B150" t="s">
        <v>29</v>
      </c>
      <c r="C150" t="s">
        <v>7</v>
      </c>
      <c r="D150">
        <f>(AVERAGE(per_seed!$H$22:$H$31)-AVERAGE(per_seed!$H$2:$H$11))/AVERAGE(per_seed!$H$2:$H$11)*100</f>
        <v>20.658949243098846</v>
      </c>
      <c r="E150">
        <v>20.658949243098849</v>
      </c>
    </row>
    <row r="151" spans="1:5">
      <c r="A151" t="s">
        <v>28</v>
      </c>
      <c r="B151" t="s">
        <v>29</v>
      </c>
      <c r="C151" t="s">
        <v>7</v>
      </c>
      <c r="D151">
        <f>_xlfn.T.TEST(per_seed!$H$2:$H$11,per_seed!$H$22:$H$31,2,1)</f>
        <v>8.8492139644240909E-8</v>
      </c>
      <c r="E151">
        <v>8.8492139644241134E-8</v>
      </c>
    </row>
    <row r="152" spans="1:5">
      <c r="A152" t="s">
        <v>26</v>
      </c>
      <c r="B152" t="s">
        <v>29</v>
      </c>
      <c r="C152" t="s">
        <v>8</v>
      </c>
      <c r="D152">
        <f>(AVERAGE(per_seed!$I$22:$I$31)-AVERAGE(per_seed!$I$2:$I$11))/AVERAGE(per_seed!$I$2:$I$11)*100</f>
        <v>22.599375039800229</v>
      </c>
      <c r="E152">
        <v>22.599375039800229</v>
      </c>
    </row>
    <row r="153" spans="1:5">
      <c r="A153" t="s">
        <v>28</v>
      </c>
      <c r="B153" t="s">
        <v>29</v>
      </c>
      <c r="C153" t="s">
        <v>8</v>
      </c>
      <c r="D153">
        <f>_xlfn.T.TEST(per_seed!$I$2:$I$11,per_seed!$I$22:$I$31,2,1)</f>
        <v>3.4103163397068189E-7</v>
      </c>
      <c r="E153">
        <v>3.4103163397067972E-7</v>
      </c>
    </row>
    <row r="154" spans="1:5">
      <c r="A154" t="s">
        <v>26</v>
      </c>
      <c r="B154" t="s">
        <v>29</v>
      </c>
      <c r="C154" t="s">
        <v>9</v>
      </c>
      <c r="D154">
        <f>(AVERAGE(per_seed!$J$22:$J$31)-AVERAGE(per_seed!$J$2:$J$11))/AVERAGE(per_seed!$J$2:$J$11)*100</f>
        <v>25.508344979107083</v>
      </c>
      <c r="E154">
        <v>25.508344979107122</v>
      </c>
    </row>
    <row r="155" spans="1:5">
      <c r="A155" t="s">
        <v>28</v>
      </c>
      <c r="B155" t="s">
        <v>29</v>
      </c>
      <c r="C155" t="s">
        <v>9</v>
      </c>
      <c r="D155">
        <f>_xlfn.T.TEST(per_seed!$J$2:$J$11,per_seed!$J$22:$J$31,2,1)</f>
        <v>1.5943147472610124E-9</v>
      </c>
      <c r="E155">
        <v>1.594314747261008E-9</v>
      </c>
    </row>
    <row r="156" spans="1:5">
      <c r="A156" t="s">
        <v>26</v>
      </c>
      <c r="B156" t="s">
        <v>29</v>
      </c>
      <c r="C156" t="s">
        <v>10</v>
      </c>
      <c r="D156">
        <f>(AVERAGE(per_seed!$K$22:$K$31)-AVERAGE(per_seed!$K$2:$K$11))/AVERAGE(per_seed!$K$2:$K$11)*100</f>
        <v>24.232276565991722</v>
      </c>
      <c r="E156">
        <v>24.232276565991722</v>
      </c>
    </row>
    <row r="157" spans="1:5">
      <c r="A157" t="s">
        <v>28</v>
      </c>
      <c r="B157" t="s">
        <v>29</v>
      </c>
      <c r="C157" t="s">
        <v>10</v>
      </c>
      <c r="D157">
        <f>_xlfn.T.TEST(per_seed!$K$2:$K$11,per_seed!$K$22:$K$31,2,1)</f>
        <v>2.0048055745251781E-9</v>
      </c>
      <c r="E157">
        <v>2.0048055745251802E-9</v>
      </c>
    </row>
    <row r="158" spans="1:5">
      <c r="A158" t="s">
        <v>26</v>
      </c>
      <c r="B158" t="s">
        <v>29</v>
      </c>
      <c r="C158" t="s">
        <v>11</v>
      </c>
      <c r="D158">
        <f>(AVERAGE(per_seed!$L$22:$L$31)-AVERAGE(per_seed!$L$2:$L$11))/AVERAGE(per_seed!$L$2:$L$11)*100</f>
        <v>2.9883323433774573</v>
      </c>
      <c r="E158">
        <v>2.9883323433774569</v>
      </c>
    </row>
    <row r="159" spans="1:5">
      <c r="A159" t="s">
        <v>28</v>
      </c>
      <c r="B159" t="s">
        <v>29</v>
      </c>
      <c r="C159" t="s">
        <v>11</v>
      </c>
      <c r="D159">
        <f>_xlfn.T.TEST(per_seed!$L$2:$L$11,per_seed!$L$22:$L$31,2,1)</f>
        <v>0.24651258072775356</v>
      </c>
      <c r="E159">
        <v>0.24651258072775339</v>
      </c>
    </row>
    <row r="160" spans="1:5">
      <c r="A160" t="s">
        <v>26</v>
      </c>
      <c r="B160" t="s">
        <v>29</v>
      </c>
      <c r="C160" t="s">
        <v>12</v>
      </c>
      <c r="D160">
        <f>(AVERAGE(per_seed!$M$22:$M$31)-AVERAGE(per_seed!$M$2:$M$11))/AVERAGE(per_seed!$M$2:$M$11)*100</f>
        <v>115.40601965687777</v>
      </c>
      <c r="E160">
        <v>115.4060196568778</v>
      </c>
    </row>
    <row r="161" spans="1:5">
      <c r="A161" t="s">
        <v>28</v>
      </c>
      <c r="B161" t="s">
        <v>29</v>
      </c>
      <c r="C161" t="s">
        <v>12</v>
      </c>
      <c r="D161">
        <f>_xlfn.T.TEST(per_seed!$M$2:$M$11,per_seed!$M$22:$M$31,2,1)</f>
        <v>4.2863116953187116E-3</v>
      </c>
      <c r="E161">
        <v>4.2863116953186951E-3</v>
      </c>
    </row>
    <row r="162" spans="1:5">
      <c r="A162" t="s">
        <v>26</v>
      </c>
      <c r="B162" t="s">
        <v>30</v>
      </c>
      <c r="C162" t="s">
        <v>3</v>
      </c>
      <c r="D162">
        <f>(AVERAGE(per_seed!$D$52:$D$61)-AVERAGE(per_seed!$D$42:$D$51))/AVERAGE(per_seed!$D$42:$D$51)*100</f>
        <v>-0.42013864575309856</v>
      </c>
      <c r="E162">
        <v>-0.42013864575309862</v>
      </c>
    </row>
    <row r="163" spans="1:5">
      <c r="A163" t="s">
        <v>28</v>
      </c>
      <c r="B163" t="s">
        <v>30</v>
      </c>
      <c r="C163" t="s">
        <v>3</v>
      </c>
      <c r="D163">
        <f>_xlfn.T.TEST(per_seed!$D$42:$D$51,per_seed!$D$52:$D$61,2,1)</f>
        <v>1.0772451239184631E-4</v>
      </c>
      <c r="E163">
        <v>1.077245123918461E-4</v>
      </c>
    </row>
    <row r="164" spans="1:5">
      <c r="A164" t="s">
        <v>26</v>
      </c>
      <c r="B164" t="s">
        <v>30</v>
      </c>
      <c r="C164" t="s">
        <v>4</v>
      </c>
      <c r="D164">
        <f>(AVERAGE(per_seed!$E$52:$E$61)-AVERAGE(per_seed!$E$42:$E$51))/AVERAGE(per_seed!$E$42:$E$51)*100</f>
        <v>-0.3961634695579721</v>
      </c>
      <c r="E164">
        <v>-0.3961634695579721</v>
      </c>
    </row>
    <row r="165" spans="1:5">
      <c r="A165" t="s">
        <v>28</v>
      </c>
      <c r="B165" t="s">
        <v>30</v>
      </c>
      <c r="C165" t="s">
        <v>4</v>
      </c>
      <c r="D165">
        <f>_xlfn.T.TEST(per_seed!$E$42:$E$51,per_seed!$E$52:$E$61,2,1)</f>
        <v>0.30273244334856364</v>
      </c>
      <c r="E165">
        <v>0.30273244334857169</v>
      </c>
    </row>
    <row r="166" spans="1:5">
      <c r="A166" t="s">
        <v>26</v>
      </c>
      <c r="B166" t="s">
        <v>30</v>
      </c>
      <c r="C166" t="s">
        <v>5</v>
      </c>
      <c r="D166">
        <f>(AVERAGE(per_seed!$F$52:$F$61)-AVERAGE(per_seed!$F$42:$F$51))/AVERAGE(per_seed!$F$42:$F$51)*100</f>
        <v>-0.84647302904564703</v>
      </c>
      <c r="E166">
        <v>-0.84647302904564703</v>
      </c>
    </row>
    <row r="167" spans="1:5">
      <c r="A167" t="s">
        <v>28</v>
      </c>
      <c r="B167" t="s">
        <v>30</v>
      </c>
      <c r="C167" t="s">
        <v>5</v>
      </c>
      <c r="D167">
        <f>_xlfn.T.TEST(per_seed!$F$42:$F$51,per_seed!$F$52:$F$61,2,1)</f>
        <v>9.1666781722768889E-2</v>
      </c>
      <c r="E167">
        <v>9.1666781722770097E-2</v>
      </c>
    </row>
    <row r="168" spans="1:5">
      <c r="A168" t="s">
        <v>26</v>
      </c>
      <c r="B168" t="s">
        <v>30</v>
      </c>
      <c r="C168" t="s">
        <v>6</v>
      </c>
      <c r="D168">
        <f>(AVERAGE(per_seed!$G$52:$G$61)-AVERAGE(per_seed!$G$42:$G$51))/AVERAGE(per_seed!$G$42:$G$51)*100</f>
        <v>1.4513473649565769</v>
      </c>
      <c r="E168">
        <v>1.451347364956608</v>
      </c>
    </row>
    <row r="169" spans="1:5">
      <c r="A169" t="s">
        <v>28</v>
      </c>
      <c r="B169" t="s">
        <v>30</v>
      </c>
      <c r="C169" t="s">
        <v>6</v>
      </c>
      <c r="D169">
        <f>_xlfn.T.TEST(per_seed!$G$42:$G$51,per_seed!$G$52:$G$61,2,1)</f>
        <v>0.32940953947495744</v>
      </c>
      <c r="E169">
        <v>0.32940953947495483</v>
      </c>
    </row>
    <row r="170" spans="1:5">
      <c r="A170" t="s">
        <v>26</v>
      </c>
      <c r="B170" t="s">
        <v>30</v>
      </c>
      <c r="C170" t="s">
        <v>7</v>
      </c>
      <c r="D170">
        <f>(AVERAGE(per_seed!$H$52:$H$61)-AVERAGE(per_seed!$H$42:$H$51))/AVERAGE(per_seed!$H$42:$H$51)*100</f>
        <v>-2.2915650901998972</v>
      </c>
      <c r="E170">
        <v>-2.2915650901998972</v>
      </c>
    </row>
    <row r="171" spans="1:5">
      <c r="A171" t="s">
        <v>28</v>
      </c>
      <c r="B171" t="s">
        <v>30</v>
      </c>
      <c r="C171" t="s">
        <v>7</v>
      </c>
      <c r="D171">
        <f>_xlfn.T.TEST(per_seed!$H$42:$H$51,per_seed!$H$52:$H$61,2,1)</f>
        <v>8.3279725501734597E-2</v>
      </c>
      <c r="E171">
        <v>8.3279725501734084E-2</v>
      </c>
    </row>
    <row r="172" spans="1:5">
      <c r="A172" t="s">
        <v>26</v>
      </c>
      <c r="B172" t="s">
        <v>30</v>
      </c>
      <c r="C172" t="s">
        <v>8</v>
      </c>
      <c r="D172">
        <f>(AVERAGE(per_seed!$I$52:$I$61)-AVERAGE(per_seed!$I$42:$I$51))/AVERAGE(per_seed!$I$42:$I$51)*100</f>
        <v>-1.4686072309002505</v>
      </c>
      <c r="E172">
        <v>-1.46860723090025</v>
      </c>
    </row>
    <row r="173" spans="1:5">
      <c r="A173" t="s">
        <v>28</v>
      </c>
      <c r="B173" t="s">
        <v>30</v>
      </c>
      <c r="C173" t="s">
        <v>8</v>
      </c>
      <c r="D173">
        <f>_xlfn.T.TEST(per_seed!$I$42:$I$51,per_seed!$I$52:$I$61,2,1)</f>
        <v>0.31336156802048459</v>
      </c>
      <c r="E173">
        <v>0.31336156802048531</v>
      </c>
    </row>
    <row r="174" spans="1:5">
      <c r="A174" t="s">
        <v>26</v>
      </c>
      <c r="B174" t="s">
        <v>30</v>
      </c>
      <c r="C174" t="s">
        <v>9</v>
      </c>
      <c r="D174">
        <f>(AVERAGE(per_seed!$J$52:$J$61)-AVERAGE(per_seed!$J$42:$J$51))/AVERAGE(per_seed!$J$42:$J$51)*100</f>
        <v>4.0043402878549301</v>
      </c>
      <c r="E174">
        <v>4.004340287854907</v>
      </c>
    </row>
    <row r="175" spans="1:5">
      <c r="A175" t="s">
        <v>28</v>
      </c>
      <c r="B175" t="s">
        <v>30</v>
      </c>
      <c r="C175" t="s">
        <v>9</v>
      </c>
      <c r="D175">
        <f>_xlfn.T.TEST(per_seed!$J$42:$J$51,per_seed!$J$52:$J$61,2,1)</f>
        <v>4.0205189750728454E-2</v>
      </c>
      <c r="E175">
        <v>4.0205189750729203E-2</v>
      </c>
    </row>
    <row r="176" spans="1:5">
      <c r="A176" t="s">
        <v>26</v>
      </c>
      <c r="B176" t="s">
        <v>30</v>
      </c>
      <c r="C176" t="s">
        <v>10</v>
      </c>
      <c r="D176">
        <f>(AVERAGE(per_seed!$K$52:$K$61)-AVERAGE(per_seed!$K$42:$K$51))/AVERAGE(per_seed!$K$42:$K$51)*100</f>
        <v>2.5498631600402444</v>
      </c>
      <c r="E176">
        <v>2.5498631600402448</v>
      </c>
    </row>
    <row r="177" spans="1:5">
      <c r="A177" t="s">
        <v>28</v>
      </c>
      <c r="B177" t="s">
        <v>30</v>
      </c>
      <c r="C177" t="s">
        <v>10</v>
      </c>
      <c r="D177">
        <f>_xlfn.T.TEST(per_seed!$K$42:$K$51,per_seed!$K$52:$K$61,2,1)</f>
        <v>0.16836975712236468</v>
      </c>
      <c r="E177">
        <v>0.16836975712236421</v>
      </c>
    </row>
    <row r="178" spans="1:5">
      <c r="A178" t="s">
        <v>26</v>
      </c>
      <c r="B178" t="s">
        <v>30</v>
      </c>
      <c r="C178" t="s">
        <v>11</v>
      </c>
      <c r="D178">
        <f>(AVERAGE(per_seed!$L$52:$L$61)-AVERAGE(per_seed!$L$42:$L$51))/AVERAGE(per_seed!$L$42:$L$51)*100</f>
        <v>-4.8534721134276362</v>
      </c>
      <c r="E178">
        <v>-4.8534721134276362</v>
      </c>
    </row>
    <row r="179" spans="1:5">
      <c r="A179" t="s">
        <v>28</v>
      </c>
      <c r="B179" t="s">
        <v>30</v>
      </c>
      <c r="C179" t="s">
        <v>11</v>
      </c>
      <c r="D179">
        <f>_xlfn.T.TEST(per_seed!$L$42:$L$51,per_seed!$L$52:$L$61,2,1)</f>
        <v>0.10252997227477084</v>
      </c>
      <c r="E179">
        <v>0.1025299722747713</v>
      </c>
    </row>
    <row r="180" spans="1:5">
      <c r="A180" t="s">
        <v>26</v>
      </c>
      <c r="B180" t="s">
        <v>30</v>
      </c>
      <c r="C180" t="s">
        <v>12</v>
      </c>
      <c r="D180">
        <f>(AVERAGE(per_seed!$M$52:$M$61)-AVERAGE(per_seed!$M$42:$M$51))/AVERAGE(per_seed!$M$42:$M$51)*100</f>
        <v>44.491151935298113</v>
      </c>
      <c r="E180">
        <v>44.491151935298113</v>
      </c>
    </row>
    <row r="181" spans="1:5">
      <c r="A181" t="s">
        <v>28</v>
      </c>
      <c r="B181" t="s">
        <v>30</v>
      </c>
      <c r="C181" t="s">
        <v>12</v>
      </c>
      <c r="D181">
        <f>_xlfn.T.TEST(per_seed!$M$42:$M$51,per_seed!$M$52:$M$61,2,1)</f>
        <v>1.0637962299019396E-4</v>
      </c>
      <c r="E181">
        <v>1.0637962299019379E-4</v>
      </c>
    </row>
    <row r="182" spans="1:5">
      <c r="A182" t="s">
        <v>26</v>
      </c>
      <c r="B182" t="s">
        <v>31</v>
      </c>
      <c r="C182" t="s">
        <v>3</v>
      </c>
      <c r="D182">
        <f>(AVERAGE(per_seed!$D$52:$D$61)-AVERAGE(per_seed!$D$32:$D$41))/AVERAGE(per_seed!$D$32:$D$41)*100</f>
        <v>-0.46195842374187274</v>
      </c>
      <c r="E182">
        <v>-0.46195842374187268</v>
      </c>
    </row>
    <row r="183" spans="1:5">
      <c r="A183" t="s">
        <v>28</v>
      </c>
      <c r="B183" t="s">
        <v>31</v>
      </c>
      <c r="C183" t="s">
        <v>3</v>
      </c>
      <c r="D183">
        <f>_xlfn.T.TEST(per_seed!$D$32:$D$41,per_seed!$D$52:$D$61,2,1)</f>
        <v>4.287798381900678E-5</v>
      </c>
      <c r="E183">
        <v>4.2877983819013848E-5</v>
      </c>
    </row>
    <row r="184" spans="1:5">
      <c r="A184" t="s">
        <v>26</v>
      </c>
      <c r="B184" t="s">
        <v>31</v>
      </c>
      <c r="C184" t="s">
        <v>4</v>
      </c>
      <c r="D184">
        <f>(AVERAGE(per_seed!$E$52:$E$61)-AVERAGE(per_seed!$E$32:$E$41))/AVERAGE(per_seed!$E$32:$E$41)*100</f>
        <v>0.33606385213189788</v>
      </c>
      <c r="E184">
        <v>0.33606385213189788</v>
      </c>
    </row>
    <row r="185" spans="1:5">
      <c r="A185" t="s">
        <v>28</v>
      </c>
      <c r="B185" t="s">
        <v>31</v>
      </c>
      <c r="C185" t="s">
        <v>4</v>
      </c>
      <c r="D185">
        <f>_xlfn.T.TEST(per_seed!$E$32:$E$41,per_seed!$E$52:$E$61,2,1)</f>
        <v>0.2780803953082378</v>
      </c>
      <c r="E185">
        <v>0.27808039530822798</v>
      </c>
    </row>
    <row r="186" spans="1:5">
      <c r="A186" t="s">
        <v>26</v>
      </c>
      <c r="B186" t="s">
        <v>31</v>
      </c>
      <c r="C186" t="s">
        <v>5</v>
      </c>
      <c r="D186">
        <f>(AVERAGE(per_seed!$F$52:$F$61)-AVERAGE(per_seed!$F$32:$F$41))/AVERAGE(per_seed!$F$32:$F$41)*100</f>
        <v>-1.0107705053852565</v>
      </c>
      <c r="E186">
        <v>-1.010770505385256</v>
      </c>
    </row>
    <row r="187" spans="1:5">
      <c r="A187" t="s">
        <v>28</v>
      </c>
      <c r="B187" t="s">
        <v>31</v>
      </c>
      <c r="C187" t="s">
        <v>5</v>
      </c>
      <c r="D187">
        <f>_xlfn.T.TEST(per_seed!$F$32:$F$41,per_seed!$F$52:$F$61,2,1)</f>
        <v>5.0526531354561323E-3</v>
      </c>
      <c r="E187">
        <v>5.0526531354562034E-3</v>
      </c>
    </row>
    <row r="188" spans="1:5">
      <c r="A188" t="s">
        <v>26</v>
      </c>
      <c r="B188" t="s">
        <v>31</v>
      </c>
      <c r="C188" t="s">
        <v>6</v>
      </c>
      <c r="D188">
        <f>(AVERAGE(per_seed!$G$52:$G$61)-AVERAGE(per_seed!$G$32:$G$41))/AVERAGE(per_seed!$G$32:$G$41)*100</f>
        <v>-41.731744253686927</v>
      </c>
      <c r="E188">
        <v>-41.731744253686912</v>
      </c>
    </row>
    <row r="189" spans="1:5">
      <c r="A189" t="s">
        <v>28</v>
      </c>
      <c r="B189" t="s">
        <v>31</v>
      </c>
      <c r="C189" t="s">
        <v>6</v>
      </c>
      <c r="D189">
        <f>_xlfn.T.TEST(per_seed!$G$32:$G$41,per_seed!$G$52:$G$61,2,1)</f>
        <v>2.4505267064212285E-11</v>
      </c>
      <c r="E189">
        <v>2.4505267064212311E-11</v>
      </c>
    </row>
    <row r="190" spans="1:5">
      <c r="A190" t="s">
        <v>26</v>
      </c>
      <c r="B190" t="s">
        <v>31</v>
      </c>
      <c r="C190" t="s">
        <v>7</v>
      </c>
      <c r="D190">
        <f>(AVERAGE(per_seed!$H$52:$H$61)-AVERAGE(per_seed!$H$32:$H$41))/AVERAGE(per_seed!$H$32:$H$41)*100</f>
        <v>69.830508474576277</v>
      </c>
      <c r="E190">
        <v>69.830508474576277</v>
      </c>
    </row>
    <row r="191" spans="1:5">
      <c r="A191" t="s">
        <v>28</v>
      </c>
      <c r="B191" t="s">
        <v>31</v>
      </c>
      <c r="C191" t="s">
        <v>7</v>
      </c>
      <c r="D191">
        <f>_xlfn.T.TEST(per_seed!$H$32:$H$41,per_seed!$H$52:$H$61,2,1)</f>
        <v>5.0663046367150458E-12</v>
      </c>
      <c r="E191">
        <v>5.0663046367150506E-12</v>
      </c>
    </row>
    <row r="192" spans="1:5">
      <c r="A192" t="s">
        <v>26</v>
      </c>
      <c r="B192" t="s">
        <v>31</v>
      </c>
      <c r="C192" t="s">
        <v>8</v>
      </c>
      <c r="D192">
        <f>(AVERAGE(per_seed!$I$52:$I$61)-AVERAGE(per_seed!$I$32:$I$41))/AVERAGE(per_seed!$I$32:$I$41)*100</f>
        <v>71.549278952259328</v>
      </c>
      <c r="E192">
        <v>71.549278952259328</v>
      </c>
    </row>
    <row r="193" spans="1:5">
      <c r="A193" t="s">
        <v>28</v>
      </c>
      <c r="B193" t="s">
        <v>31</v>
      </c>
      <c r="C193" t="s">
        <v>8</v>
      </c>
      <c r="D193">
        <f>_xlfn.T.TEST(per_seed!$I$32:$I$41,per_seed!$I$52:$I$61,2,1)</f>
        <v>6.5819066240505932E-12</v>
      </c>
      <c r="E193">
        <v>6.5819066240508097E-12</v>
      </c>
    </row>
    <row r="194" spans="1:5">
      <c r="A194" t="s">
        <v>26</v>
      </c>
      <c r="B194" t="s">
        <v>31</v>
      </c>
      <c r="C194" t="s">
        <v>9</v>
      </c>
      <c r="D194">
        <f>(AVERAGE(per_seed!$J$52:$J$61)-AVERAGE(per_seed!$J$32:$J$41))/AVERAGE(per_seed!$J$32:$J$41)*100</f>
        <v>57.632987698353531</v>
      </c>
      <c r="E194">
        <v>57.632987698353467</v>
      </c>
    </row>
    <row r="195" spans="1:5">
      <c r="A195" t="s">
        <v>28</v>
      </c>
      <c r="B195" t="s">
        <v>31</v>
      </c>
      <c r="C195" t="s">
        <v>9</v>
      </c>
      <c r="D195">
        <f>_xlfn.T.TEST(per_seed!$J$32:$J$41,per_seed!$J$52:$J$61,2,1)</f>
        <v>1.7367750760231791E-11</v>
      </c>
      <c r="E195">
        <v>1.7367750760231371E-11</v>
      </c>
    </row>
    <row r="196" spans="1:5">
      <c r="A196" t="s">
        <v>26</v>
      </c>
      <c r="B196" t="s">
        <v>31</v>
      </c>
      <c r="C196" t="s">
        <v>10</v>
      </c>
      <c r="D196">
        <f>(AVERAGE(per_seed!$K$52:$K$61)-AVERAGE(per_seed!$K$32:$K$41))/AVERAGE(per_seed!$K$32:$K$41)*100</f>
        <v>58.759798067583546</v>
      </c>
      <c r="E196">
        <v>58.75979806758351</v>
      </c>
    </row>
    <row r="197" spans="1:5">
      <c r="A197" t="s">
        <v>28</v>
      </c>
      <c r="B197" t="s">
        <v>31</v>
      </c>
      <c r="C197" t="s">
        <v>10</v>
      </c>
      <c r="D197">
        <f>_xlfn.T.TEST(per_seed!$K$32:$K$41,per_seed!$K$52:$K$61,2,1)</f>
        <v>1.1036403926130841E-11</v>
      </c>
      <c r="E197">
        <v>1.1036403926130891E-11</v>
      </c>
    </row>
    <row r="198" spans="1:5">
      <c r="A198" t="s">
        <v>26</v>
      </c>
      <c r="B198" t="s">
        <v>31</v>
      </c>
      <c r="C198" t="s">
        <v>11</v>
      </c>
      <c r="D198">
        <f>(AVERAGE(per_seed!$L$52:$L$61)-AVERAGE(per_seed!$L$32:$L$41))/AVERAGE(per_seed!$L$32:$L$41)*100</f>
        <v>-11.088857546059385</v>
      </c>
      <c r="E198">
        <v>-11.088857546059391</v>
      </c>
    </row>
    <row r="199" spans="1:5">
      <c r="A199" t="s">
        <v>28</v>
      </c>
      <c r="B199" t="s">
        <v>31</v>
      </c>
      <c r="C199" t="s">
        <v>11</v>
      </c>
      <c r="D199">
        <f>_xlfn.T.TEST(per_seed!$L$32:$L$41,per_seed!$L$52:$L$61,2,1)</f>
        <v>9.2312077440820961E-5</v>
      </c>
      <c r="E199">
        <v>9.2312077440820771E-5</v>
      </c>
    </row>
    <row r="200" spans="1:5">
      <c r="A200" t="s">
        <v>26</v>
      </c>
      <c r="B200" t="s">
        <v>31</v>
      </c>
      <c r="C200" t="s">
        <v>12</v>
      </c>
      <c r="D200">
        <f>(AVERAGE(per_seed!$M$52:$M$61)-AVERAGE(per_seed!$M$32:$M$41))/AVERAGE(per_seed!$M$32:$M$41)*100</f>
        <v>53.725744779042095</v>
      </c>
      <c r="E200">
        <v>53.725744779042103</v>
      </c>
    </row>
    <row r="201" spans="1:5">
      <c r="A201" t="s">
        <v>28</v>
      </c>
      <c r="B201" t="s">
        <v>31</v>
      </c>
      <c r="C201" t="s">
        <v>12</v>
      </c>
      <c r="D201">
        <f>_xlfn.T.TEST(per_seed!$M$32:$M$41,per_seed!$M$52:$M$61,2,1)</f>
        <v>1.8758233916838101E-5</v>
      </c>
      <c r="E201">
        <v>1.875823391683822E-5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2026-09-15T18:29:33Z</dcterms:created>
  <dcterms:modified xsi:type="dcterms:W3CDTF">2026-09-15T18:29:38Z</dcterms:modified>
</cp:coreProperties>
</file>