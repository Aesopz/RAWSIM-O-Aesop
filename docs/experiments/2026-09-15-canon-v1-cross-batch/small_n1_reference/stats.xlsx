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docs\experiments\2026-09-15-canon-v1-cross-batch\small_n1_reference\"/>
    </mc:Choice>
  </mc:AlternateContent>
  <xr:revisionPtr revIDLastSave="0" documentId="13_ncr:1_{CAF54FFF-BFC1-4A9D-B499-9AF26C799F58}" xr6:coauthVersionLast="47" xr6:coauthVersionMax="47" xr10:uidLastSave="{00000000-0000-0000-0000-000000000000}"/>
  <bookViews>
    <workbookView xWindow="30690" yWindow="1605" windowWidth="12150" windowHeight="10605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1" i="2" l="1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<sst xmlns="http://schemas.openxmlformats.org/spreadsheetml/2006/main" count="678" uniqueCount="32">
  <si>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</si>
  <si>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</si>
  <si>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</si>
  <si>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</si>
  <si>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</si>
  <si>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</si>
  <si>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</si>
  <si>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</si>
  <si>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</si>
  <si>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</si>
  <si>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</si>
  <si>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</si>
  <si>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</si>
  <si>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M4G-NS 6b</t>
  </si>
  <si>
    <t>M4G N=2 6b</t>
  </si>
  <si>
    <t>M4G 6b</t>
  </si>
  <si>
    <t>M4G-NS 10b</t>
  </si>
  <si>
    <t>M4G N=2 10b</t>
  </si>
  <si>
    <t>M4G 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</si>
  <si>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</si>
  <si>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</si>
  <si>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</si>
  <si>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</si>
  <si>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</si>
  <si>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</si>
  <si>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</si>
  <si>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</si>
  <si>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 N=2 6b vs M4G-NS 6b</t>
  </si>
  <si>
    <t>p</t>
  </si>
  <si>
    <t>M4G 6b vs M4G-NS 6b</t>
  </si>
  <si>
    <t>M4G N=2 10b vs M4G-NS 10b</t>
  </si>
  <si>
    <t>M4G 10b vs M4G-NS 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</si>
</sst>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1225</v>
      </c>
      <c r="E2">
        <v>800</v>
      </c>
      <c r="F2">
        <v>583</v>
      </c>
      <c r="G2">
        <v>3.2569832402234642</v>
      </c>
      <c r="H2">
        <v>179</v>
      </c>
      <c r="I2">
        <v>0.307032590051458</v>
      </c>
      <c r="J2">
        <v>14.216954560884499</v>
      </c>
      <c r="K2">
        <v>1.6109445323790901</v>
      </c>
      <c r="L2">
        <v>420.84444444477901</v>
      </c>
      <c r="M2">
        <v>14.970370370444011</v>
      </c>
    </row>
    <row r="3" spans="1:13">
      <c r="A3" t="s">
        <v>13</v>
      </c>
      <c r="B3">
        <v>6</v>
      </c>
      <c r="C3">
        <v>1</v>
      </c>
      <c r="D3">
        <v>1133</v>
      </c>
      <c r="E3">
        <v>725</v>
      </c>
      <c r="F3">
        <v>496</v>
      </c>
      <c r="G3">
        <v>2.8505747126436778</v>
      </c>
      <c r="H3">
        <v>174</v>
      </c>
      <c r="I3">
        <v>0.35080645161290319</v>
      </c>
      <c r="J3">
        <v>15.06758740421393</v>
      </c>
      <c r="K3">
        <v>1.8090424672038199</v>
      </c>
      <c r="L3">
        <v>426.133333331492</v>
      </c>
      <c r="M3">
        <v>21.39166666681389</v>
      </c>
    </row>
    <row r="4" spans="1:13">
      <c r="A4" t="s">
        <v>13</v>
      </c>
      <c r="B4">
        <v>6</v>
      </c>
      <c r="C4">
        <v>2</v>
      </c>
      <c r="D4">
        <v>1147</v>
      </c>
      <c r="E4">
        <v>763</v>
      </c>
      <c r="F4">
        <v>530</v>
      </c>
      <c r="G4">
        <v>2.912087912087912</v>
      </c>
      <c r="H4">
        <v>182</v>
      </c>
      <c r="I4">
        <v>0.34339622641509432</v>
      </c>
      <c r="J4">
        <v>15.661666712149151</v>
      </c>
      <c r="K4">
        <v>1.8544586603979301</v>
      </c>
      <c r="L4">
        <v>415.91111110966602</v>
      </c>
      <c r="M4">
        <v>20.347222222222221</v>
      </c>
    </row>
    <row r="5" spans="1:13">
      <c r="A5" t="s">
        <v>13</v>
      </c>
      <c r="B5">
        <v>6</v>
      </c>
      <c r="C5">
        <v>3</v>
      </c>
      <c r="D5">
        <v>1083</v>
      </c>
      <c r="E5">
        <v>700</v>
      </c>
      <c r="F5">
        <v>488</v>
      </c>
      <c r="G5">
        <v>2.957575757575758</v>
      </c>
      <c r="H5">
        <v>165</v>
      </c>
      <c r="I5">
        <v>0.33811475409836073</v>
      </c>
      <c r="J5">
        <v>15.79690556105043</v>
      </c>
      <c r="K5">
        <v>1.87866431742462</v>
      </c>
      <c r="L5">
        <v>470.80000000278301</v>
      </c>
      <c r="M5">
        <v>24.803703703777149</v>
      </c>
    </row>
    <row r="6" spans="1:13">
      <c r="A6" t="s">
        <v>13</v>
      </c>
      <c r="B6">
        <v>6</v>
      </c>
      <c r="C6">
        <v>4</v>
      </c>
      <c r="D6">
        <v>1145</v>
      </c>
      <c r="E6">
        <v>743</v>
      </c>
      <c r="F6">
        <v>523</v>
      </c>
      <c r="G6">
        <v>3.0946745562130178</v>
      </c>
      <c r="H6">
        <v>169</v>
      </c>
      <c r="I6">
        <v>0.32313575525812621</v>
      </c>
      <c r="J6">
        <v>14.904877649198379</v>
      </c>
      <c r="K6">
        <v>1.7256661628441501</v>
      </c>
      <c r="L6">
        <v>416.08888888922002</v>
      </c>
      <c r="M6">
        <v>20.542901234641661</v>
      </c>
    </row>
    <row r="7" spans="1:13">
      <c r="A7" t="s">
        <v>13</v>
      </c>
      <c r="B7">
        <v>6</v>
      </c>
      <c r="C7">
        <v>5</v>
      </c>
      <c r="D7">
        <v>1168</v>
      </c>
      <c r="E7">
        <v>757</v>
      </c>
      <c r="F7">
        <v>526</v>
      </c>
      <c r="G7">
        <v>3.076023391812865</v>
      </c>
      <c r="H7">
        <v>171</v>
      </c>
      <c r="I7">
        <v>0.32509505703422048</v>
      </c>
      <c r="J7">
        <v>14.65918212424716</v>
      </c>
      <c r="K7">
        <v>1.7299677295693301</v>
      </c>
      <c r="L7">
        <v>471.64444444723301</v>
      </c>
      <c r="M7">
        <v>18.955246913727429</v>
      </c>
    </row>
    <row r="8" spans="1:13">
      <c r="A8" t="s">
        <v>13</v>
      </c>
      <c r="B8">
        <v>6</v>
      </c>
      <c r="C8">
        <v>6</v>
      </c>
      <c r="D8">
        <v>1143</v>
      </c>
      <c r="E8">
        <v>741</v>
      </c>
      <c r="F8">
        <v>513</v>
      </c>
      <c r="G8">
        <v>3.2468354430379751</v>
      </c>
      <c r="H8">
        <v>158</v>
      </c>
      <c r="I8">
        <v>0.30799220272904482</v>
      </c>
      <c r="J8">
        <v>14.333968735921051</v>
      </c>
      <c r="K8">
        <v>1.69997415156943</v>
      </c>
      <c r="L8">
        <v>483.33333333306001</v>
      </c>
      <c r="M8">
        <v>20.718518518665899</v>
      </c>
    </row>
    <row r="9" spans="1:13">
      <c r="A9" t="s">
        <v>13</v>
      </c>
      <c r="B9">
        <v>6</v>
      </c>
      <c r="C9">
        <v>7</v>
      </c>
      <c r="D9">
        <v>1215</v>
      </c>
      <c r="E9">
        <v>803</v>
      </c>
      <c r="F9">
        <v>568</v>
      </c>
      <c r="G9">
        <v>3.341176470588235</v>
      </c>
      <c r="H9">
        <v>170</v>
      </c>
      <c r="I9">
        <v>0.29929577464788731</v>
      </c>
      <c r="J9">
        <v>13.5111864074208</v>
      </c>
      <c r="K9">
        <v>1.5556250749282401</v>
      </c>
      <c r="L9">
        <v>392.84444444475702</v>
      </c>
      <c r="M9">
        <v>15.67623456797493</v>
      </c>
    </row>
    <row r="10" spans="1:13">
      <c r="A10" t="s">
        <v>13</v>
      </c>
      <c r="B10">
        <v>6</v>
      </c>
      <c r="C10">
        <v>8</v>
      </c>
      <c r="D10">
        <v>1109</v>
      </c>
      <c r="E10">
        <v>725</v>
      </c>
      <c r="F10">
        <v>497</v>
      </c>
      <c r="G10">
        <v>2.9939759036144582</v>
      </c>
      <c r="H10">
        <v>166</v>
      </c>
      <c r="I10">
        <v>0.33400402414486918</v>
      </c>
      <c r="J10">
        <v>15.321400723676</v>
      </c>
      <c r="K10">
        <v>1.8444914940536401</v>
      </c>
      <c r="L10">
        <v>435.02222222216602</v>
      </c>
      <c r="M10">
        <v>23.012654321061252</v>
      </c>
    </row>
    <row r="11" spans="1:13">
      <c r="A11" t="s">
        <v>13</v>
      </c>
      <c r="B11">
        <v>6</v>
      </c>
      <c r="C11">
        <v>9</v>
      </c>
      <c r="D11">
        <v>1105</v>
      </c>
      <c r="E11">
        <v>724</v>
      </c>
      <c r="F11">
        <v>508</v>
      </c>
      <c r="G11">
        <v>3.0975609756097562</v>
      </c>
      <c r="H11">
        <v>164</v>
      </c>
      <c r="I11">
        <v>0.32283464566929132</v>
      </c>
      <c r="J11">
        <v>14.899171270718231</v>
      </c>
      <c r="K11">
        <v>1.7476160983970099</v>
      </c>
      <c r="L11">
        <v>421.95555555547497</v>
      </c>
      <c r="M11">
        <v>23.28549382730743</v>
      </c>
    </row>
    <row r="12" spans="1:13">
      <c r="A12" t="s">
        <v>14</v>
      </c>
      <c r="B12">
        <v>6</v>
      </c>
      <c r="C12">
        <v>0</v>
      </c>
      <c r="D12">
        <v>1276</v>
      </c>
      <c r="E12">
        <v>843</v>
      </c>
      <c r="F12">
        <v>562</v>
      </c>
      <c r="G12">
        <v>4.6833333333333336</v>
      </c>
      <c r="H12">
        <v>120</v>
      </c>
      <c r="I12">
        <v>0.2135231316725979</v>
      </c>
      <c r="J12">
        <v>10.12313267023886</v>
      </c>
      <c r="K12">
        <v>1.2294852421161</v>
      </c>
      <c r="L12">
        <v>734.75555555989899</v>
      </c>
      <c r="M12">
        <v>11.45648148155529</v>
      </c>
    </row>
    <row r="13" spans="1:13">
      <c r="A13" t="s">
        <v>14</v>
      </c>
      <c r="B13">
        <v>6</v>
      </c>
      <c r="C13">
        <v>1</v>
      </c>
      <c r="D13">
        <v>1325</v>
      </c>
      <c r="E13">
        <v>868</v>
      </c>
      <c r="F13">
        <v>563</v>
      </c>
      <c r="G13">
        <v>5.2129629629629628</v>
      </c>
      <c r="H13">
        <v>108</v>
      </c>
      <c r="I13">
        <v>0.19182948490230911</v>
      </c>
      <c r="J13">
        <v>9.3083083316787665</v>
      </c>
      <c r="K13">
        <v>1.15197451548871</v>
      </c>
      <c r="L13">
        <v>809.06666666317096</v>
      </c>
      <c r="M13">
        <v>7.9969135803937981</v>
      </c>
    </row>
    <row r="14" spans="1:13">
      <c r="A14" t="s">
        <v>14</v>
      </c>
      <c r="B14">
        <v>6</v>
      </c>
      <c r="C14">
        <v>2</v>
      </c>
      <c r="D14">
        <v>1268</v>
      </c>
      <c r="E14">
        <v>871</v>
      </c>
      <c r="F14">
        <v>569</v>
      </c>
      <c r="G14">
        <v>5.1727272727272728</v>
      </c>
      <c r="H14">
        <v>110</v>
      </c>
      <c r="I14">
        <v>0.19332161687170471</v>
      </c>
      <c r="J14">
        <v>9.4862542655083235</v>
      </c>
      <c r="K14">
        <v>1.1672708071916</v>
      </c>
      <c r="L14">
        <v>796.44444444447299</v>
      </c>
      <c r="M14">
        <v>12.015123456937371</v>
      </c>
    </row>
    <row r="15" spans="1:13">
      <c r="A15" t="s">
        <v>14</v>
      </c>
      <c r="B15">
        <v>6</v>
      </c>
      <c r="C15">
        <v>3</v>
      </c>
      <c r="D15">
        <v>1259</v>
      </c>
      <c r="E15">
        <v>834</v>
      </c>
      <c r="F15">
        <v>536</v>
      </c>
      <c r="G15">
        <v>4.872727272727273</v>
      </c>
      <c r="H15">
        <v>110</v>
      </c>
      <c r="I15">
        <v>0.20522388059701491</v>
      </c>
      <c r="J15">
        <v>9.6961222179528406</v>
      </c>
      <c r="K15">
        <v>1.21439163086001</v>
      </c>
      <c r="L15">
        <v>862.13333333843002</v>
      </c>
      <c r="M15">
        <v>12.62037037051749</v>
      </c>
    </row>
    <row r="16" spans="1:13">
      <c r="A16" t="s">
        <v>14</v>
      </c>
      <c r="B16">
        <v>6</v>
      </c>
      <c r="C16">
        <v>4</v>
      </c>
      <c r="D16">
        <v>1299</v>
      </c>
      <c r="E16">
        <v>865</v>
      </c>
      <c r="F16">
        <v>549</v>
      </c>
      <c r="G16">
        <v>4.9459459459459456</v>
      </c>
      <c r="H16">
        <v>111</v>
      </c>
      <c r="I16">
        <v>0.20218579234972681</v>
      </c>
      <c r="J16">
        <v>9.5491329479769025</v>
      </c>
      <c r="K16">
        <v>1.20791902652239</v>
      </c>
      <c r="L16">
        <v>717.24444444134599</v>
      </c>
      <c r="M16">
        <v>9.8527777779249597</v>
      </c>
    </row>
    <row r="17" spans="1:13">
      <c r="A17" t="s">
        <v>14</v>
      </c>
      <c r="B17">
        <v>6</v>
      </c>
      <c r="C17">
        <v>5</v>
      </c>
      <c r="D17">
        <v>1323</v>
      </c>
      <c r="E17">
        <v>881</v>
      </c>
      <c r="F17">
        <v>569</v>
      </c>
      <c r="G17">
        <v>4.8632478632478628</v>
      </c>
      <c r="H17">
        <v>117</v>
      </c>
      <c r="I17">
        <v>0.20562390158172231</v>
      </c>
      <c r="J17">
        <v>10.09451853952042</v>
      </c>
      <c r="K17">
        <v>1.25795551980535</v>
      </c>
      <c r="L17">
        <v>790.93333333243299</v>
      </c>
      <c r="M17">
        <v>8.1996913581719504</v>
      </c>
    </row>
    <row r="18" spans="1:13">
      <c r="A18" t="s">
        <v>14</v>
      </c>
      <c r="B18">
        <v>6</v>
      </c>
      <c r="C18">
        <v>6</v>
      </c>
      <c r="D18">
        <v>1286</v>
      </c>
      <c r="E18">
        <v>857</v>
      </c>
      <c r="F18">
        <v>546</v>
      </c>
      <c r="G18">
        <v>4.9189189189189193</v>
      </c>
      <c r="H18">
        <v>111</v>
      </c>
      <c r="I18">
        <v>0.2032967032967033</v>
      </c>
      <c r="J18">
        <v>9.5670945157526486</v>
      </c>
      <c r="K18">
        <v>1.2108348176365</v>
      </c>
      <c r="L18">
        <v>869.77777778292</v>
      </c>
      <c r="M18">
        <v>10.71388888903582</v>
      </c>
    </row>
    <row r="19" spans="1:13">
      <c r="A19" t="s">
        <v>14</v>
      </c>
      <c r="B19">
        <v>6</v>
      </c>
      <c r="C19">
        <v>7</v>
      </c>
      <c r="D19">
        <v>1289</v>
      </c>
      <c r="E19">
        <v>869</v>
      </c>
      <c r="F19">
        <v>570</v>
      </c>
      <c r="G19">
        <v>5.2777777777777777</v>
      </c>
      <c r="H19">
        <v>108</v>
      </c>
      <c r="I19">
        <v>0.18947368421052629</v>
      </c>
      <c r="J19">
        <v>9.4380716580104256</v>
      </c>
      <c r="K19">
        <v>1.1521913699875099</v>
      </c>
      <c r="L19">
        <v>758.044444444546</v>
      </c>
      <c r="M19">
        <v>10.516049382789641</v>
      </c>
    </row>
    <row r="20" spans="1:13">
      <c r="A20" t="s">
        <v>14</v>
      </c>
      <c r="B20">
        <v>6</v>
      </c>
      <c r="C20">
        <v>8</v>
      </c>
      <c r="D20">
        <v>1308</v>
      </c>
      <c r="E20">
        <v>877</v>
      </c>
      <c r="F20">
        <v>563</v>
      </c>
      <c r="G20">
        <v>5.2616822429906538</v>
      </c>
      <c r="H20">
        <v>107</v>
      </c>
      <c r="I20">
        <v>0.1900532859680284</v>
      </c>
      <c r="J20">
        <v>9.0651290216659408</v>
      </c>
      <c r="K20">
        <v>1.12913210614846</v>
      </c>
      <c r="L20">
        <v>751.77777777930498</v>
      </c>
      <c r="M20">
        <v>9.2037037038507492</v>
      </c>
    </row>
    <row r="21" spans="1:13">
      <c r="A21" t="s">
        <v>14</v>
      </c>
      <c r="B21">
        <v>6</v>
      </c>
      <c r="C21">
        <v>9</v>
      </c>
      <c r="D21">
        <v>1316</v>
      </c>
      <c r="E21">
        <v>865</v>
      </c>
      <c r="F21">
        <v>562</v>
      </c>
      <c r="G21">
        <v>5.0178571428571432</v>
      </c>
      <c r="H21">
        <v>112</v>
      </c>
      <c r="I21">
        <v>0.199288256227758</v>
      </c>
      <c r="J21">
        <v>9.4463246627947743</v>
      </c>
      <c r="K21">
        <v>1.1685919052114</v>
      </c>
      <c r="L21">
        <v>746.48888888584997</v>
      </c>
      <c r="M21">
        <v>8.6996913581720356</v>
      </c>
    </row>
    <row r="22" spans="1:13">
      <c r="A22" t="s">
        <v>15</v>
      </c>
      <c r="B22">
        <v>6</v>
      </c>
      <c r="C22">
        <v>0</v>
      </c>
      <c r="D22">
        <v>1426</v>
      </c>
      <c r="E22">
        <v>945</v>
      </c>
      <c r="F22">
        <v>616</v>
      </c>
      <c r="G22">
        <v>5.5</v>
      </c>
      <c r="H22">
        <v>112</v>
      </c>
      <c r="I22">
        <v>0.1818181818181818</v>
      </c>
      <c r="J22">
        <v>9.8725978182668577</v>
      </c>
      <c r="K22">
        <v>1.1974569373233299</v>
      </c>
      <c r="L22">
        <v>803.95555555617</v>
      </c>
      <c r="M22">
        <v>1.0283950618755491</v>
      </c>
    </row>
    <row r="23" spans="1:13">
      <c r="A23" t="s">
        <v>15</v>
      </c>
      <c r="B23">
        <v>6</v>
      </c>
      <c r="C23">
        <v>1</v>
      </c>
      <c r="D23">
        <v>1412</v>
      </c>
      <c r="E23">
        <v>925</v>
      </c>
      <c r="F23">
        <v>580</v>
      </c>
      <c r="G23">
        <v>5.1785714285714288</v>
      </c>
      <c r="H23">
        <v>112</v>
      </c>
      <c r="I23">
        <v>0.19310344827586209</v>
      </c>
      <c r="J23">
        <v>9.5592068693461716</v>
      </c>
      <c r="K23">
        <v>1.21062116644577</v>
      </c>
      <c r="L23">
        <v>908.75555555162998</v>
      </c>
      <c r="M23">
        <v>1.996296296443431</v>
      </c>
    </row>
    <row r="24" spans="1:13">
      <c r="A24" t="s">
        <v>15</v>
      </c>
      <c r="B24">
        <v>6</v>
      </c>
      <c r="C24">
        <v>2</v>
      </c>
      <c r="D24">
        <v>1425</v>
      </c>
      <c r="E24">
        <v>976</v>
      </c>
      <c r="F24">
        <v>613</v>
      </c>
      <c r="G24">
        <v>5.4247787610619467</v>
      </c>
      <c r="H24">
        <v>113</v>
      </c>
      <c r="I24">
        <v>0.1843393148450245</v>
      </c>
      <c r="J24">
        <v>9.0215083888306253</v>
      </c>
      <c r="K24">
        <v>1.16862993264843</v>
      </c>
      <c r="L24">
        <v>809.86666667145403</v>
      </c>
      <c r="M24">
        <v>1.106790123603995</v>
      </c>
    </row>
    <row r="25" spans="1:13">
      <c r="A25" t="s">
        <v>15</v>
      </c>
      <c r="B25">
        <v>6</v>
      </c>
      <c r="C25">
        <v>3</v>
      </c>
      <c r="D25">
        <v>1410</v>
      </c>
      <c r="E25">
        <v>940</v>
      </c>
      <c r="F25">
        <v>599</v>
      </c>
      <c r="G25">
        <v>5.5462962962962967</v>
      </c>
      <c r="H25">
        <v>108</v>
      </c>
      <c r="I25">
        <v>0.18030050083472449</v>
      </c>
      <c r="J25">
        <v>8.9386356341706179</v>
      </c>
      <c r="K25">
        <v>1.1279478797790099</v>
      </c>
      <c r="L25">
        <v>901.33333333510495</v>
      </c>
      <c r="M25">
        <v>2.1598765433571532</v>
      </c>
    </row>
    <row r="26" spans="1:13">
      <c r="A26" t="s">
        <v>15</v>
      </c>
      <c r="B26">
        <v>6</v>
      </c>
      <c r="C26">
        <v>4</v>
      </c>
      <c r="D26">
        <v>1417</v>
      </c>
      <c r="E26">
        <v>940</v>
      </c>
      <c r="F26">
        <v>583</v>
      </c>
      <c r="G26">
        <v>5.1592920353982299</v>
      </c>
      <c r="H26">
        <v>113</v>
      </c>
      <c r="I26">
        <v>0.19382504288164659</v>
      </c>
      <c r="J26">
        <v>9.2539613704728616</v>
      </c>
      <c r="K26">
        <v>1.20812989813963</v>
      </c>
      <c r="L26">
        <v>783.20000000463006</v>
      </c>
      <c r="M26">
        <v>1.6629629631101741</v>
      </c>
    </row>
    <row r="27" spans="1:13">
      <c r="A27" t="s">
        <v>15</v>
      </c>
      <c r="B27">
        <v>6</v>
      </c>
      <c r="C27">
        <v>5</v>
      </c>
      <c r="D27">
        <v>1418</v>
      </c>
      <c r="E27">
        <v>929</v>
      </c>
      <c r="F27">
        <v>587</v>
      </c>
      <c r="G27">
        <v>5.017094017094017</v>
      </c>
      <c r="H27">
        <v>117</v>
      </c>
      <c r="I27">
        <v>0.19931856899488931</v>
      </c>
      <c r="J27">
        <v>9.9289558665231752</v>
      </c>
      <c r="K27">
        <v>1.2554113688972199</v>
      </c>
      <c r="L27">
        <v>763.42222222405405</v>
      </c>
      <c r="M27">
        <v>1.6024691359497361</v>
      </c>
    </row>
    <row r="28" spans="1:13">
      <c r="A28" t="s">
        <v>15</v>
      </c>
      <c r="B28">
        <v>6</v>
      </c>
      <c r="C28">
        <v>6</v>
      </c>
      <c r="D28">
        <v>1429</v>
      </c>
      <c r="E28">
        <v>964</v>
      </c>
      <c r="F28">
        <v>603</v>
      </c>
      <c r="G28">
        <v>5.5321100917431192</v>
      </c>
      <c r="H28">
        <v>109</v>
      </c>
      <c r="I28">
        <v>0.18076285240464349</v>
      </c>
      <c r="J28">
        <v>9.089077627922677</v>
      </c>
      <c r="K28">
        <v>1.1630018002040301</v>
      </c>
      <c r="L28">
        <v>844.75555555523499</v>
      </c>
      <c r="M28">
        <v>0.82870370385090908</v>
      </c>
    </row>
    <row r="29" spans="1:13">
      <c r="A29" t="s">
        <v>15</v>
      </c>
      <c r="B29">
        <v>6</v>
      </c>
      <c r="C29">
        <v>7</v>
      </c>
      <c r="D29">
        <v>1414</v>
      </c>
      <c r="E29">
        <v>937</v>
      </c>
      <c r="F29">
        <v>603</v>
      </c>
      <c r="G29">
        <v>5.3839285714285712</v>
      </c>
      <c r="H29">
        <v>112</v>
      </c>
      <c r="I29">
        <v>0.18573797678275289</v>
      </c>
      <c r="J29">
        <v>9.3416919023414184</v>
      </c>
      <c r="K29">
        <v>1.1725442354937201</v>
      </c>
      <c r="L29">
        <v>822.48888889375098</v>
      </c>
      <c r="M29">
        <v>1.822222222369138</v>
      </c>
    </row>
    <row r="30" spans="1:13">
      <c r="A30" t="s">
        <v>15</v>
      </c>
      <c r="B30">
        <v>6</v>
      </c>
      <c r="C30">
        <v>8</v>
      </c>
      <c r="D30">
        <v>1420</v>
      </c>
      <c r="E30">
        <v>954</v>
      </c>
      <c r="F30">
        <v>603</v>
      </c>
      <c r="G30">
        <v>5.2894736842105274</v>
      </c>
      <c r="H30">
        <v>114</v>
      </c>
      <c r="I30">
        <v>0.1890547263681592</v>
      </c>
      <c r="J30">
        <v>9.4916142557652297</v>
      </c>
      <c r="K30">
        <v>1.212232267933</v>
      </c>
      <c r="L30">
        <v>797.60000000439095</v>
      </c>
      <c r="M30">
        <v>1.4277777779248251</v>
      </c>
    </row>
    <row r="31" spans="1:13">
      <c r="A31" t="s">
        <v>15</v>
      </c>
      <c r="B31">
        <v>6</v>
      </c>
      <c r="C31">
        <v>9</v>
      </c>
      <c r="D31">
        <v>1428</v>
      </c>
      <c r="E31">
        <v>951</v>
      </c>
      <c r="F31">
        <v>604</v>
      </c>
      <c r="G31">
        <v>5.3451327433628322</v>
      </c>
      <c r="H31">
        <v>113</v>
      </c>
      <c r="I31">
        <v>0.1870860927152318</v>
      </c>
      <c r="J31">
        <v>9.23849018575266</v>
      </c>
      <c r="K31">
        <v>1.1792699654206</v>
      </c>
      <c r="L31">
        <v>872.48888889371096</v>
      </c>
      <c r="M31">
        <v>0.89506172854224864</v>
      </c>
    </row>
    <row r="32" spans="1:13">
      <c r="A32" t="s">
        <v>16</v>
      </c>
      <c r="B32">
        <v>10</v>
      </c>
      <c r="C32">
        <v>0</v>
      </c>
      <c r="D32">
        <v>1403</v>
      </c>
      <c r="E32">
        <v>896</v>
      </c>
      <c r="F32">
        <v>639</v>
      </c>
      <c r="G32">
        <v>3.4918032786885251</v>
      </c>
      <c r="H32">
        <v>183</v>
      </c>
      <c r="I32">
        <v>0.28638497652582162</v>
      </c>
      <c r="J32">
        <v>14.56808035714297</v>
      </c>
      <c r="K32">
        <v>1.6999084632561401</v>
      </c>
      <c r="L32">
        <v>427.24444444697002</v>
      </c>
      <c r="M32">
        <v>2.6367283952089369</v>
      </c>
    </row>
    <row r="33" spans="1:13">
      <c r="A33" t="s">
        <v>16</v>
      </c>
      <c r="B33">
        <v>10</v>
      </c>
      <c r="C33">
        <v>1</v>
      </c>
      <c r="D33">
        <v>1401</v>
      </c>
      <c r="E33">
        <v>906</v>
      </c>
      <c r="F33">
        <v>617</v>
      </c>
      <c r="G33">
        <v>3.0696517412935318</v>
      </c>
      <c r="H33">
        <v>201</v>
      </c>
      <c r="I33">
        <v>0.32576985413290122</v>
      </c>
      <c r="J33">
        <v>15.75563833697748</v>
      </c>
      <c r="K33">
        <v>1.8907611983755199</v>
      </c>
      <c r="L33">
        <v>464.400000002745</v>
      </c>
      <c r="M33">
        <v>2.7623456791594792</v>
      </c>
    </row>
    <row r="34" spans="1:13">
      <c r="A34" t="s">
        <v>16</v>
      </c>
      <c r="B34">
        <v>10</v>
      </c>
      <c r="C34">
        <v>2</v>
      </c>
      <c r="D34">
        <v>1415</v>
      </c>
      <c r="E34">
        <v>944</v>
      </c>
      <c r="F34">
        <v>648</v>
      </c>
      <c r="G34">
        <v>3.357512953367876</v>
      </c>
      <c r="H34">
        <v>193</v>
      </c>
      <c r="I34">
        <v>0.2978395061728395</v>
      </c>
      <c r="J34">
        <v>14.59277551770297</v>
      </c>
      <c r="K34">
        <v>1.7615435254270899</v>
      </c>
      <c r="L34">
        <v>439.51111111370898</v>
      </c>
      <c r="M34">
        <v>1.747530864344417</v>
      </c>
    </row>
    <row r="35" spans="1:13">
      <c r="A35" t="s">
        <v>16</v>
      </c>
      <c r="B35">
        <v>10</v>
      </c>
      <c r="C35">
        <v>3</v>
      </c>
      <c r="D35">
        <v>1416</v>
      </c>
      <c r="E35">
        <v>911</v>
      </c>
      <c r="F35">
        <v>628</v>
      </c>
      <c r="G35">
        <v>3.3404255319148941</v>
      </c>
      <c r="H35">
        <v>188</v>
      </c>
      <c r="I35">
        <v>0.29936305732484081</v>
      </c>
      <c r="J35">
        <v>14.873458822881449</v>
      </c>
      <c r="K35">
        <v>1.78445086426181</v>
      </c>
      <c r="L35">
        <v>451.155555558223</v>
      </c>
      <c r="M35">
        <v>1.7435185186657891</v>
      </c>
    </row>
    <row r="36" spans="1:13">
      <c r="A36" t="s">
        <v>16</v>
      </c>
      <c r="B36">
        <v>10</v>
      </c>
      <c r="C36">
        <v>4</v>
      </c>
      <c r="D36">
        <v>1422</v>
      </c>
      <c r="E36">
        <v>929</v>
      </c>
      <c r="F36">
        <v>643</v>
      </c>
      <c r="G36">
        <v>3.0473933649289102</v>
      </c>
      <c r="H36">
        <v>211</v>
      </c>
      <c r="I36">
        <v>0.32814930015552102</v>
      </c>
      <c r="J36">
        <v>15.612412087666851</v>
      </c>
      <c r="K36">
        <v>1.8688730621591401</v>
      </c>
      <c r="L36">
        <v>425.33333333328102</v>
      </c>
      <c r="M36">
        <v>1.28672839520877</v>
      </c>
    </row>
    <row r="37" spans="1:13">
      <c r="A37" t="s">
        <v>16</v>
      </c>
      <c r="B37">
        <v>10</v>
      </c>
      <c r="C37">
        <v>5</v>
      </c>
      <c r="D37">
        <v>1396</v>
      </c>
      <c r="E37">
        <v>906</v>
      </c>
      <c r="F37">
        <v>624</v>
      </c>
      <c r="G37">
        <v>3.0439024390243898</v>
      </c>
      <c r="H37">
        <v>205</v>
      </c>
      <c r="I37">
        <v>0.32852564102564102</v>
      </c>
      <c r="J37">
        <v>15.6070387701649</v>
      </c>
      <c r="K37">
        <v>1.87438222416044</v>
      </c>
      <c r="L37">
        <v>392.48888888719301</v>
      </c>
      <c r="M37">
        <v>3.1129629631101179</v>
      </c>
    </row>
    <row r="38" spans="1:13">
      <c r="A38" t="s">
        <v>16</v>
      </c>
      <c r="B38">
        <v>10</v>
      </c>
      <c r="C38">
        <v>6</v>
      </c>
      <c r="D38">
        <v>1422</v>
      </c>
      <c r="E38">
        <v>928</v>
      </c>
      <c r="F38">
        <v>635</v>
      </c>
      <c r="G38">
        <v>3.0238095238095242</v>
      </c>
      <c r="H38">
        <v>210</v>
      </c>
      <c r="I38">
        <v>0.33070866141732291</v>
      </c>
      <c r="J38">
        <v>15.233712488178019</v>
      </c>
      <c r="K38">
        <v>1.8320016119904401</v>
      </c>
      <c r="L38">
        <v>433.55555555519101</v>
      </c>
      <c r="M38">
        <v>1.314506172986712</v>
      </c>
    </row>
    <row r="39" spans="1:13">
      <c r="A39" t="s">
        <v>16</v>
      </c>
      <c r="B39">
        <v>10</v>
      </c>
      <c r="C39">
        <v>7</v>
      </c>
      <c r="D39">
        <v>1420</v>
      </c>
      <c r="E39">
        <v>936</v>
      </c>
      <c r="F39">
        <v>652</v>
      </c>
      <c r="G39">
        <v>3.3608247422680408</v>
      </c>
      <c r="H39">
        <v>194</v>
      </c>
      <c r="I39">
        <v>0.29754601226993871</v>
      </c>
      <c r="J39">
        <v>14.263038639584289</v>
      </c>
      <c r="K39">
        <v>1.6995118511607601</v>
      </c>
      <c r="L39">
        <v>382.22222222111299</v>
      </c>
      <c r="M39">
        <v>1.4429012347150429</v>
      </c>
    </row>
    <row r="40" spans="1:13">
      <c r="A40" t="s">
        <v>16</v>
      </c>
      <c r="B40">
        <v>10</v>
      </c>
      <c r="C40">
        <v>8</v>
      </c>
      <c r="D40">
        <v>1414</v>
      </c>
      <c r="E40">
        <v>929</v>
      </c>
      <c r="F40">
        <v>633</v>
      </c>
      <c r="G40">
        <v>3.165</v>
      </c>
      <c r="H40">
        <v>200</v>
      </c>
      <c r="I40">
        <v>0.31595576619273302</v>
      </c>
      <c r="J40">
        <v>14.87478471471292</v>
      </c>
      <c r="K40">
        <v>1.8052233106884401</v>
      </c>
      <c r="L40">
        <v>470.844444447228</v>
      </c>
      <c r="M40">
        <v>1.8444444445914929</v>
      </c>
    </row>
    <row r="41" spans="1:13">
      <c r="A41" t="s">
        <v>16</v>
      </c>
      <c r="B41">
        <v>10</v>
      </c>
      <c r="C41">
        <v>9</v>
      </c>
      <c r="D41">
        <v>1403</v>
      </c>
      <c r="E41">
        <v>905</v>
      </c>
      <c r="F41">
        <v>626</v>
      </c>
      <c r="G41">
        <v>3.1776649746192889</v>
      </c>
      <c r="H41">
        <v>197</v>
      </c>
      <c r="I41">
        <v>0.31469648562300317</v>
      </c>
      <c r="J41">
        <v>15.21223296499171</v>
      </c>
      <c r="K41">
        <v>1.8187103555733599</v>
      </c>
      <c r="L41">
        <v>400.84444444476298</v>
      </c>
      <c r="M41">
        <v>2.6447530865670141</v>
      </c>
    </row>
    <row r="42" spans="1:13">
      <c r="A42" t="s">
        <v>17</v>
      </c>
      <c r="B42">
        <v>10</v>
      </c>
      <c r="C42">
        <v>0</v>
      </c>
      <c r="D42">
        <v>1312</v>
      </c>
      <c r="E42">
        <v>871</v>
      </c>
      <c r="F42">
        <v>580</v>
      </c>
      <c r="G42">
        <v>4.7154471544715451</v>
      </c>
      <c r="H42">
        <v>123</v>
      </c>
      <c r="I42">
        <v>0.21206896551724139</v>
      </c>
      <c r="J42">
        <v>11.27953023343</v>
      </c>
      <c r="K42">
        <v>1.37647163701038</v>
      </c>
      <c r="L42">
        <v>780.31111111135704</v>
      </c>
      <c r="M42">
        <v>8.9756172840979502</v>
      </c>
    </row>
    <row r="43" spans="1:13">
      <c r="A43" t="s">
        <v>17</v>
      </c>
      <c r="B43">
        <v>10</v>
      </c>
      <c r="C43">
        <v>1</v>
      </c>
      <c r="D43">
        <v>1318</v>
      </c>
      <c r="E43">
        <v>872</v>
      </c>
      <c r="F43">
        <v>561</v>
      </c>
      <c r="G43">
        <v>4.8362068965517242</v>
      </c>
      <c r="H43">
        <v>116</v>
      </c>
      <c r="I43">
        <v>0.20677361853832441</v>
      </c>
      <c r="J43">
        <v>10.473623853211061</v>
      </c>
      <c r="K43">
        <v>1.3163516471907</v>
      </c>
      <c r="L43">
        <v>758.31111111559403</v>
      </c>
      <c r="M43">
        <v>8.501234568048222</v>
      </c>
    </row>
    <row r="44" spans="1:13">
      <c r="A44" t="s">
        <v>17</v>
      </c>
      <c r="B44">
        <v>10</v>
      </c>
      <c r="C44">
        <v>2</v>
      </c>
      <c r="D44">
        <v>1271</v>
      </c>
      <c r="E44">
        <v>870</v>
      </c>
      <c r="F44">
        <v>566</v>
      </c>
      <c r="G44">
        <v>4.7166666666666668</v>
      </c>
      <c r="H44">
        <v>120</v>
      </c>
      <c r="I44">
        <v>0.21201413427561841</v>
      </c>
      <c r="J44">
        <v>10.23218390804603</v>
      </c>
      <c r="K44">
        <v>1.2773896164072001</v>
      </c>
      <c r="L44">
        <v>819.15555555438402</v>
      </c>
      <c r="M44">
        <v>11.78456790138166</v>
      </c>
    </row>
    <row r="45" spans="1:13">
      <c r="A45" t="s">
        <v>17</v>
      </c>
      <c r="B45">
        <v>10</v>
      </c>
      <c r="C45">
        <v>3</v>
      </c>
      <c r="D45">
        <v>1337</v>
      </c>
      <c r="E45">
        <v>885</v>
      </c>
      <c r="F45">
        <v>571</v>
      </c>
      <c r="G45">
        <v>4.9224137931034484</v>
      </c>
      <c r="H45">
        <v>116</v>
      </c>
      <c r="I45">
        <v>0.20315236427320491</v>
      </c>
      <c r="J45">
        <v>10.189331306190599</v>
      </c>
      <c r="K45">
        <v>1.28703261439164</v>
      </c>
      <c r="L45">
        <v>795.86666666322799</v>
      </c>
      <c r="M45">
        <v>7.2629629631104384</v>
      </c>
    </row>
    <row r="46" spans="1:13">
      <c r="A46" t="s">
        <v>17</v>
      </c>
      <c r="B46">
        <v>10</v>
      </c>
      <c r="C46">
        <v>4</v>
      </c>
      <c r="D46">
        <v>1315</v>
      </c>
      <c r="E46">
        <v>876</v>
      </c>
      <c r="F46">
        <v>565</v>
      </c>
      <c r="G46">
        <v>4.8290598290598288</v>
      </c>
      <c r="H46">
        <v>117</v>
      </c>
      <c r="I46">
        <v>0.2070796460176991</v>
      </c>
      <c r="J46">
        <v>10.12397735919046</v>
      </c>
      <c r="K46">
        <v>1.2742191703535</v>
      </c>
      <c r="L46">
        <v>813.82222222046198</v>
      </c>
      <c r="M46">
        <v>8.7950617285425565</v>
      </c>
    </row>
    <row r="47" spans="1:13">
      <c r="A47" t="s">
        <v>17</v>
      </c>
      <c r="B47">
        <v>10</v>
      </c>
      <c r="C47">
        <v>5</v>
      </c>
      <c r="D47">
        <v>1316</v>
      </c>
      <c r="E47">
        <v>878</v>
      </c>
      <c r="F47">
        <v>571</v>
      </c>
      <c r="G47">
        <v>4.8389830508474576</v>
      </c>
      <c r="H47">
        <v>118</v>
      </c>
      <c r="I47">
        <v>0.20665499124343259</v>
      </c>
      <c r="J47">
        <v>10.717539863325801</v>
      </c>
      <c r="K47">
        <v>1.3209717747818299</v>
      </c>
      <c r="L47">
        <v>848.62222221936202</v>
      </c>
      <c r="M47">
        <v>8.6808641976780976</v>
      </c>
    </row>
    <row r="48" spans="1:13">
      <c r="A48" t="s">
        <v>17</v>
      </c>
      <c r="B48">
        <v>10</v>
      </c>
      <c r="C48">
        <v>6</v>
      </c>
      <c r="D48">
        <v>1303</v>
      </c>
      <c r="E48">
        <v>863</v>
      </c>
      <c r="F48">
        <v>554</v>
      </c>
      <c r="G48">
        <v>4.9464285714285712</v>
      </c>
      <c r="H48">
        <v>112</v>
      </c>
      <c r="I48">
        <v>0.20216606498194939</v>
      </c>
      <c r="J48">
        <v>10.13465188809097</v>
      </c>
      <c r="K48">
        <v>1.2740471495024099</v>
      </c>
      <c r="L48">
        <v>745.95555555614897</v>
      </c>
      <c r="M48">
        <v>9.5138888888888893</v>
      </c>
    </row>
    <row r="49" spans="1:13">
      <c r="A49" t="s">
        <v>17</v>
      </c>
      <c r="B49">
        <v>10</v>
      </c>
      <c r="C49">
        <v>7</v>
      </c>
      <c r="D49">
        <v>1276</v>
      </c>
      <c r="E49">
        <v>863</v>
      </c>
      <c r="F49">
        <v>564</v>
      </c>
      <c r="G49">
        <v>4.9911504424778759</v>
      </c>
      <c r="H49">
        <v>113</v>
      </c>
      <c r="I49">
        <v>0.200354609929078</v>
      </c>
      <c r="J49">
        <v>9.9141793628270101</v>
      </c>
      <c r="K49">
        <v>1.2303719142895899</v>
      </c>
      <c r="L49">
        <v>778.311111108452</v>
      </c>
      <c r="M49">
        <v>11.440740740887881</v>
      </c>
    </row>
    <row r="50" spans="1:13">
      <c r="A50" t="s">
        <v>17</v>
      </c>
      <c r="B50">
        <v>10</v>
      </c>
      <c r="C50">
        <v>8</v>
      </c>
      <c r="D50">
        <v>1297</v>
      </c>
      <c r="E50">
        <v>875</v>
      </c>
      <c r="F50">
        <v>558</v>
      </c>
      <c r="G50">
        <v>4.5365853658536581</v>
      </c>
      <c r="H50">
        <v>123</v>
      </c>
      <c r="I50">
        <v>0.22043010752688169</v>
      </c>
      <c r="J50">
        <v>10.54911464284536</v>
      </c>
      <c r="K50">
        <v>1.3372602997227101</v>
      </c>
      <c r="L50">
        <v>809.42222222272301</v>
      </c>
      <c r="M50">
        <v>9.9762345680483264</v>
      </c>
    </row>
    <row r="51" spans="1:13">
      <c r="A51" t="s">
        <v>17</v>
      </c>
      <c r="B51">
        <v>10</v>
      </c>
      <c r="C51">
        <v>9</v>
      </c>
      <c r="D51">
        <v>1310</v>
      </c>
      <c r="E51">
        <v>870</v>
      </c>
      <c r="F51">
        <v>567</v>
      </c>
      <c r="G51">
        <v>4.6097560975609753</v>
      </c>
      <c r="H51">
        <v>123</v>
      </c>
      <c r="I51">
        <v>0.21693121693121689</v>
      </c>
      <c r="J51">
        <v>11.071124698436069</v>
      </c>
      <c r="K51">
        <v>1.36809258211233</v>
      </c>
      <c r="L51">
        <v>817.55555556038905</v>
      </c>
      <c r="M51">
        <v>9.0694444445915074</v>
      </c>
    </row>
    <row r="52" spans="1:13">
      <c r="A52" t="s">
        <v>18</v>
      </c>
      <c r="B52">
        <v>10</v>
      </c>
      <c r="C52">
        <v>0</v>
      </c>
      <c r="D52">
        <v>1424</v>
      </c>
      <c r="E52">
        <v>944</v>
      </c>
      <c r="F52">
        <v>620</v>
      </c>
      <c r="G52">
        <v>5.081967213114754</v>
      </c>
      <c r="H52">
        <v>122</v>
      </c>
      <c r="I52">
        <v>0.1967741935483871</v>
      </c>
      <c r="J52">
        <v>10.591101694915301</v>
      </c>
      <c r="K52">
        <v>1.29946112931366</v>
      </c>
      <c r="L52">
        <v>795.73333332989603</v>
      </c>
      <c r="M52">
        <v>1.188888889036176</v>
      </c>
    </row>
    <row r="53" spans="1:13">
      <c r="A53" t="s">
        <v>18</v>
      </c>
      <c r="B53">
        <v>10</v>
      </c>
      <c r="C53">
        <v>1</v>
      </c>
      <c r="D53">
        <v>1430</v>
      </c>
      <c r="E53">
        <v>935</v>
      </c>
      <c r="F53">
        <v>584</v>
      </c>
      <c r="G53">
        <v>4.9075630252100844</v>
      </c>
      <c r="H53">
        <v>119</v>
      </c>
      <c r="I53">
        <v>0.20376712328767119</v>
      </c>
      <c r="J53">
        <v>10.34438502673801</v>
      </c>
      <c r="K53">
        <v>1.3347944831168801</v>
      </c>
      <c r="L53">
        <v>833.77777777938104</v>
      </c>
      <c r="M53">
        <v>0.71820987669017078</v>
      </c>
    </row>
    <row r="54" spans="1:13">
      <c r="A54" t="s">
        <v>18</v>
      </c>
      <c r="B54">
        <v>10</v>
      </c>
      <c r="C54">
        <v>2</v>
      </c>
      <c r="D54">
        <v>1430</v>
      </c>
      <c r="E54">
        <v>987</v>
      </c>
      <c r="F54">
        <v>617</v>
      </c>
      <c r="G54">
        <v>5.0991735537190079</v>
      </c>
      <c r="H54">
        <v>121</v>
      </c>
      <c r="I54">
        <v>0.19611021069692061</v>
      </c>
      <c r="J54">
        <v>10.13779128672746</v>
      </c>
      <c r="K54">
        <v>1.3103632125460101</v>
      </c>
      <c r="L54">
        <v>762.40000000450698</v>
      </c>
      <c r="M54">
        <v>0.73271604952975911</v>
      </c>
    </row>
    <row r="55" spans="1:13">
      <c r="A55" t="s">
        <v>18</v>
      </c>
      <c r="B55">
        <v>10</v>
      </c>
      <c r="C55">
        <v>3</v>
      </c>
      <c r="D55">
        <v>1428</v>
      </c>
      <c r="E55">
        <v>940</v>
      </c>
      <c r="F55">
        <v>607</v>
      </c>
      <c r="G55">
        <v>5.1880341880341883</v>
      </c>
      <c r="H55">
        <v>117</v>
      </c>
      <c r="I55">
        <v>0.1927512355848435</v>
      </c>
      <c r="J55">
        <v>10.42021276595751</v>
      </c>
      <c r="K55">
        <v>1.31301350242091</v>
      </c>
      <c r="L55">
        <v>766.48888889342004</v>
      </c>
      <c r="M55">
        <v>0.88580246928293405</v>
      </c>
    </row>
    <row r="56" spans="1:13">
      <c r="A56" t="s">
        <v>18</v>
      </c>
      <c r="B56">
        <v>10</v>
      </c>
      <c r="C56">
        <v>4</v>
      </c>
      <c r="D56">
        <v>1431</v>
      </c>
      <c r="E56">
        <v>950</v>
      </c>
      <c r="F56">
        <v>597</v>
      </c>
      <c r="G56">
        <v>5.0168067226890756</v>
      </c>
      <c r="H56">
        <v>119</v>
      </c>
      <c r="I56">
        <v>0.19932998324958121</v>
      </c>
      <c r="J56">
        <v>10.676155323210949</v>
      </c>
      <c r="K56">
        <v>1.3667976693759201</v>
      </c>
      <c r="L56">
        <v>772.00000000456396</v>
      </c>
      <c r="M56">
        <v>0.70154321002381459</v>
      </c>
    </row>
    <row r="57" spans="1:13">
      <c r="A57" t="s">
        <v>18</v>
      </c>
      <c r="B57">
        <v>10</v>
      </c>
      <c r="C57">
        <v>5</v>
      </c>
      <c r="D57">
        <v>1430</v>
      </c>
      <c r="E57">
        <v>953</v>
      </c>
      <c r="F57">
        <v>600</v>
      </c>
      <c r="G57">
        <v>4.8780487804878048</v>
      </c>
      <c r="H57">
        <v>123</v>
      </c>
      <c r="I57">
        <v>0.20499999999999999</v>
      </c>
      <c r="J57">
        <v>10.73377750814816</v>
      </c>
      <c r="K57">
        <v>1.3544387784605201</v>
      </c>
      <c r="L57">
        <v>781.99999999687202</v>
      </c>
      <c r="M57">
        <v>0.81388888903642154</v>
      </c>
    </row>
    <row r="58" spans="1:13">
      <c r="A58" t="s">
        <v>18</v>
      </c>
      <c r="B58">
        <v>10</v>
      </c>
      <c r="C58">
        <v>6</v>
      </c>
      <c r="D58">
        <v>1428</v>
      </c>
      <c r="E58">
        <v>966</v>
      </c>
      <c r="F58">
        <v>606</v>
      </c>
      <c r="G58">
        <v>5.1794871794871797</v>
      </c>
      <c r="H58">
        <v>117</v>
      </c>
      <c r="I58">
        <v>0.1930693069306931</v>
      </c>
      <c r="J58">
        <v>10.004140786749529</v>
      </c>
      <c r="K58">
        <v>1.2918463715397599</v>
      </c>
      <c r="L58">
        <v>772.04444444455703</v>
      </c>
      <c r="M58">
        <v>0.9370370371844674</v>
      </c>
    </row>
    <row r="59" spans="1:13">
      <c r="A59" t="s">
        <v>18</v>
      </c>
      <c r="B59">
        <v>10</v>
      </c>
      <c r="C59">
        <v>7</v>
      </c>
      <c r="D59">
        <v>1431</v>
      </c>
      <c r="E59">
        <v>958</v>
      </c>
      <c r="F59">
        <v>611</v>
      </c>
      <c r="G59">
        <v>5.3596491228070171</v>
      </c>
      <c r="H59">
        <v>114</v>
      </c>
      <c r="I59">
        <v>0.18657937806873981</v>
      </c>
      <c r="J59">
        <v>9.9624204070976212</v>
      </c>
      <c r="K59">
        <v>1.2660103568502099</v>
      </c>
      <c r="L59">
        <v>879.73333333853395</v>
      </c>
      <c r="M59">
        <v>0.70493827175223189</v>
      </c>
    </row>
    <row r="60" spans="1:13">
      <c r="A60" t="s">
        <v>18</v>
      </c>
      <c r="B60">
        <v>10</v>
      </c>
      <c r="C60">
        <v>8</v>
      </c>
      <c r="D60">
        <v>1429</v>
      </c>
      <c r="E60">
        <v>958</v>
      </c>
      <c r="F60">
        <v>601</v>
      </c>
      <c r="G60">
        <v>5.2260869565217387</v>
      </c>
      <c r="H60">
        <v>115</v>
      </c>
      <c r="I60">
        <v>0.1913477537437604</v>
      </c>
      <c r="J60">
        <v>10.174321503131569</v>
      </c>
      <c r="K60">
        <v>1.3178763564051901</v>
      </c>
      <c r="L60">
        <v>741.77777778216296</v>
      </c>
      <c r="M60">
        <v>0.87839506187589045</v>
      </c>
    </row>
    <row r="61" spans="1:13">
      <c r="A61" t="s">
        <v>18</v>
      </c>
      <c r="B61">
        <v>10</v>
      </c>
      <c r="C61">
        <v>9</v>
      </c>
      <c r="D61">
        <v>1426</v>
      </c>
      <c r="E61">
        <v>931</v>
      </c>
      <c r="F61">
        <v>592</v>
      </c>
      <c r="G61">
        <v>5.2389380530973453</v>
      </c>
      <c r="H61">
        <v>113</v>
      </c>
      <c r="I61">
        <v>0.1908783783783784</v>
      </c>
      <c r="J61">
        <v>10.459717656914499</v>
      </c>
      <c r="K61">
        <v>1.31724954228765</v>
      </c>
      <c r="L61">
        <v>771.82222222678502</v>
      </c>
      <c r="M61">
        <v>0.99598765446795334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/>
  </sheetViews>
  <sheetFormatPr defaultRowHeight="15.75"/>
  <cols>
    <col min="1" max="5" width="18" customWidth="1"/>
  </cols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13</v>
      </c>
      <c r="C2" t="s">
        <v>3</v>
      </c>
      <c r="D2">
        <f>AVERAGE(per_seed!$D$2:$D$11)</f>
        <v>1147.3</v>
      </c>
      <c r="E2">
        <v>1147.3</v>
      </c>
    </row>
    <row r="3" spans="1:5">
      <c r="A3" t="s">
        <v>25</v>
      </c>
      <c r="B3" t="s">
        <v>13</v>
      </c>
      <c r="C3" t="s">
        <v>3</v>
      </c>
      <c r="D3">
        <f>_xlfn.STDEV.S(per_seed!$D$2:$D$11)</f>
        <v>45.543751858332158</v>
      </c>
      <c r="E3">
        <v>45.543751858332158</v>
      </c>
    </row>
    <row r="4" spans="1:5">
      <c r="A4" t="s">
        <v>24</v>
      </c>
      <c r="B4" t="s">
        <v>13</v>
      </c>
      <c r="C4" t="s">
        <v>4</v>
      </c>
      <c r="D4">
        <f>AVERAGE(per_seed!$E$2:$E$11)</f>
        <v>748.1</v>
      </c>
      <c r="E4">
        <v>748.1</v>
      </c>
    </row>
    <row r="5" spans="1:5">
      <c r="A5" t="s">
        <v>25</v>
      </c>
      <c r="B5" t="s">
        <v>13</v>
      </c>
      <c r="C5" t="s">
        <v>4</v>
      </c>
      <c r="D5">
        <f>_xlfn.STDEV.S(per_seed!$E$2:$E$11)</f>
        <v>33.411408563875639</v>
      </c>
      <c r="E5">
        <v>33.411408563875632</v>
      </c>
    </row>
    <row r="6" spans="1:5">
      <c r="A6" t="s">
        <v>24</v>
      </c>
      <c r="B6" t="s">
        <v>13</v>
      </c>
      <c r="C6" t="s">
        <v>5</v>
      </c>
      <c r="D6">
        <f>AVERAGE(per_seed!$F$2:$F$11)</f>
        <v>523.20000000000005</v>
      </c>
      <c r="E6">
        <v>523.20000000000005</v>
      </c>
    </row>
    <row r="7" spans="1:5">
      <c r="A7" t="s">
        <v>25</v>
      </c>
      <c r="B7" t="s">
        <v>13</v>
      </c>
      <c r="C7" t="s">
        <v>5</v>
      </c>
      <c r="D7">
        <f>_xlfn.STDEV.S(per_seed!$F$2:$F$11)</f>
        <v>30.979563155947396</v>
      </c>
      <c r="E7">
        <v>30.979563155947389</v>
      </c>
    </row>
    <row r="8" spans="1:5">
      <c r="A8" t="s">
        <v>24</v>
      </c>
      <c r="B8" t="s">
        <v>13</v>
      </c>
      <c r="C8" t="s">
        <v>6</v>
      </c>
      <c r="D8">
        <f>AVERAGE(per_seed!$G$2:$G$11)</f>
        <v>3.0827468363407116</v>
      </c>
      <c r="E8">
        <v>3.082746836340712</v>
      </c>
    </row>
    <row r="9" spans="1:5">
      <c r="A9" t="s">
        <v>25</v>
      </c>
      <c r="B9" t="s">
        <v>13</v>
      </c>
      <c r="C9" t="s">
        <v>6</v>
      </c>
      <c r="D9">
        <f>_xlfn.STDEV.S(per_seed!$G$2:$G$11)</f>
        <v>0.16022645293406534</v>
      </c>
      <c r="E9">
        <v>0.16022645293406529</v>
      </c>
    </row>
    <row r="10" spans="1:5">
      <c r="A10" t="s">
        <v>24</v>
      </c>
      <c r="B10" t="s">
        <v>13</v>
      </c>
      <c r="C10" t="s">
        <v>7</v>
      </c>
      <c r="D10">
        <f>AVERAGE(per_seed!$H$2:$H$11)</f>
        <v>169.8</v>
      </c>
      <c r="E10">
        <v>169.8</v>
      </c>
    </row>
    <row r="11" spans="1:5">
      <c r="A11" t="s">
        <v>25</v>
      </c>
      <c r="B11" t="s">
        <v>13</v>
      </c>
      <c r="C11" t="s">
        <v>7</v>
      </c>
      <c r="D11">
        <f>_xlfn.STDEV.S(per_seed!$H$2:$H$11)</f>
        <v>7.1771241532462788</v>
      </c>
      <c r="E11">
        <v>7.1771241532462788</v>
      </c>
    </row>
    <row r="12" spans="1:5">
      <c r="A12" t="s">
        <v>24</v>
      </c>
      <c r="B12" t="s">
        <v>13</v>
      </c>
      <c r="C12" t="s">
        <v>8</v>
      </c>
      <c r="D12">
        <f>AVERAGE(per_seed!$I$2:$I$11)</f>
        <v>0.32517074816612551</v>
      </c>
      <c r="E12">
        <v>0.32517074816612562</v>
      </c>
    </row>
    <row r="13" spans="1:5">
      <c r="A13" t="s">
        <v>25</v>
      </c>
      <c r="B13" t="s">
        <v>13</v>
      </c>
      <c r="C13" t="s">
        <v>8</v>
      </c>
      <c r="D13">
        <f>_xlfn.STDEV.S(per_seed!$I$2:$I$11)</f>
        <v>1.6793335849410881E-2</v>
      </c>
      <c r="E13">
        <v>1.6793335849410888E-2</v>
      </c>
    </row>
    <row r="14" spans="1:5">
      <c r="A14" t="s">
        <v>24</v>
      </c>
      <c r="B14" t="s">
        <v>13</v>
      </c>
      <c r="C14" t="s">
        <v>9</v>
      </c>
      <c r="D14">
        <f>AVERAGE(per_seed!$J$2:$J$11)</f>
        <v>14.837290114947962</v>
      </c>
      <c r="E14">
        <v>14.83729011494796</v>
      </c>
    </row>
    <row r="15" spans="1:5">
      <c r="A15" t="s">
        <v>25</v>
      </c>
      <c r="B15" t="s">
        <v>13</v>
      </c>
      <c r="C15" t="s">
        <v>9</v>
      </c>
      <c r="D15">
        <f>_xlfn.STDEV.S(per_seed!$J$2:$J$11)</f>
        <v>0.69319533588646853</v>
      </c>
      <c r="E15">
        <v>0.69319533588646831</v>
      </c>
    </row>
    <row r="16" spans="1:5">
      <c r="A16" t="s">
        <v>24</v>
      </c>
      <c r="B16" t="s">
        <v>13</v>
      </c>
      <c r="C16" t="s">
        <v>10</v>
      </c>
      <c r="D16">
        <f>AVERAGE(per_seed!$K$2:$K$11)</f>
        <v>1.7456450688767258</v>
      </c>
      <c r="E16">
        <v>1.745645068876726</v>
      </c>
    </row>
    <row r="17" spans="1:5">
      <c r="A17" t="s">
        <v>25</v>
      </c>
      <c r="B17" t="s">
        <v>13</v>
      </c>
      <c r="C17" t="s">
        <v>10</v>
      </c>
      <c r="D17">
        <f>_xlfn.STDEV.S(per_seed!$K$2:$K$11)</f>
        <v>0.1055729605538276</v>
      </c>
      <c r="E17">
        <v>0.1055729605538276</v>
      </c>
    </row>
    <row r="18" spans="1:5">
      <c r="A18" t="s">
        <v>24</v>
      </c>
      <c r="B18" t="s">
        <v>13</v>
      </c>
      <c r="C18" t="s">
        <v>11</v>
      </c>
      <c r="D18">
        <f>AVERAGE(per_seed!$L$2:$L$11)</f>
        <v>435.45777777806313</v>
      </c>
      <c r="E18">
        <v>435.45777777806308</v>
      </c>
    </row>
    <row r="19" spans="1:5">
      <c r="A19" t="s">
        <v>25</v>
      </c>
      <c r="B19" t="s">
        <v>13</v>
      </c>
      <c r="C19" t="s">
        <v>11</v>
      </c>
      <c r="D19">
        <f>_xlfn.STDEV.S(per_seed!$L$2:$L$11)</f>
        <v>29.639937467045321</v>
      </c>
      <c r="E19">
        <v>29.639937467045321</v>
      </c>
    </row>
    <row r="20" spans="1:5">
      <c r="A20" t="s">
        <v>24</v>
      </c>
      <c r="B20" t="s">
        <v>13</v>
      </c>
      <c r="C20" t="s">
        <v>12</v>
      </c>
      <c r="D20">
        <f>AVERAGE(per_seed!$M$2:$M$11)</f>
        <v>20.370401234663586</v>
      </c>
      <c r="E20">
        <v>20.370401234663589</v>
      </c>
    </row>
    <row r="21" spans="1:5">
      <c r="A21" t="s">
        <v>25</v>
      </c>
      <c r="B21" t="s">
        <v>13</v>
      </c>
      <c r="C21" t="s">
        <v>12</v>
      </c>
      <c r="D21">
        <f>_xlfn.STDEV.S(per_seed!$M$2:$M$11)</f>
        <v>3.1539410091554014</v>
      </c>
      <c r="E21">
        <v>3.153941009155389</v>
      </c>
    </row>
    <row r="22" spans="1:5">
      <c r="A22" t="s">
        <v>24</v>
      </c>
      <c r="B22" t="s">
        <v>14</v>
      </c>
      <c r="C22" t="s">
        <v>3</v>
      </c>
      <c r="D22">
        <f>AVERAGE(per_seed!$D$12:$D$21)</f>
        <v>1294.9000000000001</v>
      </c>
      <c r="E22">
        <v>1294.9000000000001</v>
      </c>
    </row>
    <row r="23" spans="1:5">
      <c r="A23" t="s">
        <v>25</v>
      </c>
      <c r="B23" t="s">
        <v>14</v>
      </c>
      <c r="C23" t="s">
        <v>3</v>
      </c>
      <c r="D23">
        <f>_xlfn.STDEV.S(per_seed!$D$12:$D$21)</f>
        <v>23.125022522511557</v>
      </c>
      <c r="E23">
        <v>23.125022522511561</v>
      </c>
    </row>
    <row r="24" spans="1:5">
      <c r="A24" t="s">
        <v>24</v>
      </c>
      <c r="B24" t="s">
        <v>14</v>
      </c>
      <c r="C24" t="s">
        <v>4</v>
      </c>
      <c r="D24">
        <f>AVERAGE(per_seed!$E$12:$E$21)</f>
        <v>863</v>
      </c>
      <c r="E24">
        <v>863</v>
      </c>
    </row>
    <row r="25" spans="1:5">
      <c r="A25" t="s">
        <v>25</v>
      </c>
      <c r="B25" t="s">
        <v>14</v>
      </c>
      <c r="C25" t="s">
        <v>4</v>
      </c>
      <c r="D25">
        <f>_xlfn.STDEV.S(per_seed!$E$12:$E$21)</f>
        <v>14.643921757659198</v>
      </c>
      <c r="E25">
        <v>14.6439217576592</v>
      </c>
    </row>
    <row r="26" spans="1:5">
      <c r="A26" t="s">
        <v>24</v>
      </c>
      <c r="B26" t="s">
        <v>14</v>
      </c>
      <c r="C26" t="s">
        <v>5</v>
      </c>
      <c r="D26">
        <f>AVERAGE(per_seed!$F$12:$F$21)</f>
        <v>558.9</v>
      </c>
      <c r="E26">
        <v>558.9</v>
      </c>
    </row>
    <row r="27" spans="1:5">
      <c r="A27" t="s">
        <v>25</v>
      </c>
      <c r="B27" t="s">
        <v>14</v>
      </c>
      <c r="C27" t="s">
        <v>5</v>
      </c>
      <c r="D27">
        <f>_xlfn.STDEV.S(per_seed!$F$12:$F$21)</f>
        <v>11.396393191610132</v>
      </c>
      <c r="E27">
        <v>11.39639319161013</v>
      </c>
    </row>
    <row r="28" spans="1:5">
      <c r="A28" t="s">
        <v>24</v>
      </c>
      <c r="B28" t="s">
        <v>14</v>
      </c>
      <c r="C28" t="s">
        <v>6</v>
      </c>
      <c r="D28">
        <f>AVERAGE(per_seed!$G$12:$G$21)</f>
        <v>5.0227180733489138</v>
      </c>
      <c r="E28">
        <v>5.0227180733489147</v>
      </c>
    </row>
    <row r="29" spans="1:5">
      <c r="A29" t="s">
        <v>25</v>
      </c>
      <c r="B29" t="s">
        <v>14</v>
      </c>
      <c r="C29" t="s">
        <v>6</v>
      </c>
      <c r="D29">
        <f>_xlfn.STDEV.S(per_seed!$G$12:$G$21)</f>
        <v>0.20018243004989947</v>
      </c>
      <c r="E29">
        <v>0.2001824300498995</v>
      </c>
    </row>
    <row r="30" spans="1:5">
      <c r="A30" t="s">
        <v>24</v>
      </c>
      <c r="B30" t="s">
        <v>14</v>
      </c>
      <c r="C30" t="s">
        <v>7</v>
      </c>
      <c r="D30">
        <f>AVERAGE(per_seed!$H$12:$H$21)</f>
        <v>111.4</v>
      </c>
      <c r="E30">
        <v>111.4</v>
      </c>
    </row>
    <row r="31" spans="1:5">
      <c r="A31" t="s">
        <v>25</v>
      </c>
      <c r="B31" t="s">
        <v>14</v>
      </c>
      <c r="C31" t="s">
        <v>7</v>
      </c>
      <c r="D31">
        <f>_xlfn.STDEV.S(per_seed!$H$12:$H$21)</f>
        <v>4.1150131632029243</v>
      </c>
      <c r="E31">
        <v>4.1150131632029234</v>
      </c>
    </row>
    <row r="32" spans="1:5">
      <c r="A32" t="s">
        <v>24</v>
      </c>
      <c r="B32" t="s">
        <v>14</v>
      </c>
      <c r="C32" t="s">
        <v>8</v>
      </c>
      <c r="D32">
        <f>AVERAGE(per_seed!$I$12:$I$21)</f>
        <v>0.19938197376780917</v>
      </c>
      <c r="E32">
        <v>0.1993819737678092</v>
      </c>
    </row>
    <row r="33" spans="1:5">
      <c r="A33" t="s">
        <v>25</v>
      </c>
      <c r="B33" t="s">
        <v>14</v>
      </c>
      <c r="C33" t="s">
        <v>8</v>
      </c>
      <c r="D33">
        <f>_xlfn.STDEV.S(per_seed!$I$12:$I$21)</f>
        <v>7.9946079454551403E-3</v>
      </c>
      <c r="E33">
        <v>7.9946079454551316E-3</v>
      </c>
    </row>
    <row r="34" spans="1:5">
      <c r="A34" t="s">
        <v>24</v>
      </c>
      <c r="B34" t="s">
        <v>14</v>
      </c>
      <c r="C34" t="s">
        <v>9</v>
      </c>
      <c r="D34">
        <f>AVERAGE(per_seed!$J$12:$J$21)</f>
        <v>9.5774088831099906</v>
      </c>
      <c r="E34">
        <v>9.5774088831099906</v>
      </c>
    </row>
    <row r="35" spans="1:5">
      <c r="A35" t="s">
        <v>25</v>
      </c>
      <c r="B35" t="s">
        <v>14</v>
      </c>
      <c r="C35" t="s">
        <v>9</v>
      </c>
      <c r="D35">
        <f>_xlfn.STDEV.S(per_seed!$J$12:$J$21)</f>
        <v>0.32659327097039154</v>
      </c>
      <c r="E35">
        <v>0.32659327097039192</v>
      </c>
    </row>
    <row r="36" spans="1:5">
      <c r="A36" t="s">
        <v>24</v>
      </c>
      <c r="B36" t="s">
        <v>14</v>
      </c>
      <c r="C36" t="s">
        <v>10</v>
      </c>
      <c r="D36">
        <f>AVERAGE(per_seed!$K$12:$K$21)</f>
        <v>1.1889746940968031</v>
      </c>
      <c r="E36">
        <v>1.1889746940968029</v>
      </c>
    </row>
    <row r="37" spans="1:5">
      <c r="A37" t="s">
        <v>25</v>
      </c>
      <c r="B37" t="s">
        <v>14</v>
      </c>
      <c r="C37" t="s">
        <v>10</v>
      </c>
      <c r="D37">
        <f>_xlfn.STDEV.S(per_seed!$K$12:$K$21)</f>
        <v>4.0922569831274083E-2</v>
      </c>
      <c r="E37">
        <v>4.0922569831274083E-2</v>
      </c>
    </row>
    <row r="38" spans="1:5">
      <c r="A38" t="s">
        <v>24</v>
      </c>
      <c r="B38" t="s">
        <v>14</v>
      </c>
      <c r="C38" t="s">
        <v>11</v>
      </c>
      <c r="D38">
        <f>AVERAGE(per_seed!$L$12:$L$21)</f>
        <v>783.66666666723722</v>
      </c>
      <c r="E38">
        <v>783.66666666723745</v>
      </c>
    </row>
    <row r="39" spans="1:5">
      <c r="A39" t="s">
        <v>25</v>
      </c>
      <c r="B39" t="s">
        <v>14</v>
      </c>
      <c r="C39" t="s">
        <v>11</v>
      </c>
      <c r="D39">
        <f>_xlfn.STDEV.S(per_seed!$L$12:$L$21)</f>
        <v>51.954223812126301</v>
      </c>
      <c r="E39">
        <v>51.954223812126287</v>
      </c>
    </row>
    <row r="40" spans="1:5">
      <c r="A40" t="s">
        <v>24</v>
      </c>
      <c r="B40" t="s">
        <v>14</v>
      </c>
      <c r="C40" t="s">
        <v>12</v>
      </c>
      <c r="D40">
        <f>AVERAGE(per_seed!$M$12:$M$21)</f>
        <v>10.127469135934909</v>
      </c>
      <c r="E40">
        <v>10.127469135934909</v>
      </c>
    </row>
    <row r="41" spans="1:5">
      <c r="A41" t="s">
        <v>25</v>
      </c>
      <c r="B41" t="s">
        <v>14</v>
      </c>
      <c r="C41" t="s">
        <v>12</v>
      </c>
      <c r="D41">
        <f>_xlfn.STDEV.S(per_seed!$M$12:$M$21)</f>
        <v>1.6076861697933482</v>
      </c>
      <c r="E41">
        <v>1.6076861697933349</v>
      </c>
    </row>
    <row r="42" spans="1:5">
      <c r="A42" t="s">
        <v>24</v>
      </c>
      <c r="B42" t="s">
        <v>15</v>
      </c>
      <c r="C42" t="s">
        <v>3</v>
      </c>
      <c r="D42">
        <f>AVERAGE(per_seed!$D$22:$D$31)</f>
        <v>1419.9</v>
      </c>
      <c r="E42">
        <v>1419.9</v>
      </c>
    </row>
    <row r="43" spans="1:5">
      <c r="A43" t="s">
        <v>25</v>
      </c>
      <c r="B43" t="s">
        <v>15</v>
      </c>
      <c r="C43" t="s">
        <v>3</v>
      </c>
      <c r="D43">
        <f>_xlfn.STDEV.S(per_seed!$D$22:$D$31)</f>
        <v>6.8223488949513902</v>
      </c>
      <c r="E43">
        <v>6.8223488949513893</v>
      </c>
    </row>
    <row r="44" spans="1:5">
      <c r="A44" t="s">
        <v>24</v>
      </c>
      <c r="B44" t="s">
        <v>15</v>
      </c>
      <c r="C44" t="s">
        <v>4</v>
      </c>
      <c r="D44">
        <f>AVERAGE(per_seed!$E$22:$E$31)</f>
        <v>946.1</v>
      </c>
      <c r="E44">
        <v>946.1</v>
      </c>
    </row>
    <row r="45" spans="1:5">
      <c r="A45" t="s">
        <v>25</v>
      </c>
      <c r="B45" t="s">
        <v>15</v>
      </c>
      <c r="C45" t="s">
        <v>4</v>
      </c>
      <c r="D45">
        <f>_xlfn.STDEV.S(per_seed!$E$22:$E$31)</f>
        <v>15.623699945915501</v>
      </c>
      <c r="E45">
        <v>15.623699945915501</v>
      </c>
    </row>
    <row r="46" spans="1:5">
      <c r="A46" t="s">
        <v>24</v>
      </c>
      <c r="B46" t="s">
        <v>15</v>
      </c>
      <c r="C46" t="s">
        <v>5</v>
      </c>
      <c r="D46">
        <f>AVERAGE(per_seed!$F$22:$F$31)</f>
        <v>599.1</v>
      </c>
      <c r="E46">
        <v>599.1</v>
      </c>
    </row>
    <row r="47" spans="1:5">
      <c r="A47" t="s">
        <v>25</v>
      </c>
      <c r="B47" t="s">
        <v>15</v>
      </c>
      <c r="C47" t="s">
        <v>5</v>
      </c>
      <c r="D47">
        <f>_xlfn.STDEV.S(per_seed!$F$22:$F$31)</f>
        <v>12.10555428076073</v>
      </c>
      <c r="E47">
        <v>12.10555428076073</v>
      </c>
    </row>
    <row r="48" spans="1:5">
      <c r="A48" t="s">
        <v>24</v>
      </c>
      <c r="B48" t="s">
        <v>15</v>
      </c>
      <c r="C48" t="s">
        <v>6</v>
      </c>
      <c r="D48">
        <f>AVERAGE(per_seed!$G$22:$G$31)</f>
        <v>5.3376677629166966</v>
      </c>
      <c r="E48">
        <v>5.3376677629166966</v>
      </c>
    </row>
    <row r="49" spans="1:5">
      <c r="A49" t="s">
        <v>25</v>
      </c>
      <c r="B49" t="s">
        <v>15</v>
      </c>
      <c r="C49" t="s">
        <v>6</v>
      </c>
      <c r="D49">
        <f>_xlfn.STDEV.S(per_seed!$G$22:$G$31)</f>
        <v>0.17628553013477707</v>
      </c>
      <c r="E49">
        <v>0.1762855301347771</v>
      </c>
    </row>
    <row r="50" spans="1:5">
      <c r="A50" t="s">
        <v>24</v>
      </c>
      <c r="B50" t="s">
        <v>15</v>
      </c>
      <c r="C50" t="s">
        <v>7</v>
      </c>
      <c r="D50">
        <f>AVERAGE(per_seed!$H$22:$H$31)</f>
        <v>112.3</v>
      </c>
      <c r="E50">
        <v>112.3</v>
      </c>
    </row>
    <row r="51" spans="1:5">
      <c r="A51" t="s">
        <v>25</v>
      </c>
      <c r="B51" t="s">
        <v>15</v>
      </c>
      <c r="C51" t="s">
        <v>7</v>
      </c>
      <c r="D51">
        <f>_xlfn.STDEV.S(per_seed!$H$22:$H$31)</f>
        <v>2.496664441476534</v>
      </c>
      <c r="E51">
        <v>2.496664441476534</v>
      </c>
    </row>
    <row r="52" spans="1:5">
      <c r="A52" t="s">
        <v>24</v>
      </c>
      <c r="B52" t="s">
        <v>15</v>
      </c>
      <c r="C52" t="s">
        <v>8</v>
      </c>
      <c r="D52">
        <f>AVERAGE(per_seed!$I$22:$I$31)</f>
        <v>0.18753467059211162</v>
      </c>
      <c r="E52">
        <v>0.1875346705921116</v>
      </c>
    </row>
    <row r="53" spans="1:5">
      <c r="A53" t="s">
        <v>25</v>
      </c>
      <c r="B53" t="s">
        <v>15</v>
      </c>
      <c r="C53" t="s">
        <v>8</v>
      </c>
      <c r="D53">
        <f>_xlfn.STDEV.S(per_seed!$I$22:$I$31)</f>
        <v>6.2916126374122543E-3</v>
      </c>
      <c r="E53">
        <v>6.2916126374122404E-3</v>
      </c>
    </row>
    <row r="54" spans="1:5">
      <c r="A54" t="s">
        <v>24</v>
      </c>
      <c r="B54" t="s">
        <v>15</v>
      </c>
      <c r="C54" t="s">
        <v>9</v>
      </c>
      <c r="D54">
        <f>AVERAGE(per_seed!$J$22:$J$31)</f>
        <v>9.3735739919392298</v>
      </c>
      <c r="E54">
        <v>9.3735739919392298</v>
      </c>
    </row>
    <row r="55" spans="1:5">
      <c r="A55" t="s">
        <v>25</v>
      </c>
      <c r="B55" t="s">
        <v>15</v>
      </c>
      <c r="C55" t="s">
        <v>9</v>
      </c>
      <c r="D55">
        <f>_xlfn.STDEV.S(per_seed!$J$22:$J$31)</f>
        <v>0.33887032943654422</v>
      </c>
      <c r="E55">
        <v>0.33887032943654422</v>
      </c>
    </row>
    <row r="56" spans="1:5">
      <c r="A56" t="s">
        <v>24</v>
      </c>
      <c r="B56" t="s">
        <v>15</v>
      </c>
      <c r="C56" t="s">
        <v>10</v>
      </c>
      <c r="D56">
        <f>AVERAGE(per_seed!$K$22:$K$31)</f>
        <v>1.189524545228474</v>
      </c>
      <c r="E56">
        <v>1.189524545228474</v>
      </c>
    </row>
    <row r="57" spans="1:5">
      <c r="A57" t="s">
        <v>25</v>
      </c>
      <c r="B57" t="s">
        <v>15</v>
      </c>
      <c r="C57" t="s">
        <v>10</v>
      </c>
      <c r="D57">
        <f>_xlfn.STDEV.S(per_seed!$K$22:$K$31)</f>
        <v>3.5017578956487584E-2</v>
      </c>
      <c r="E57">
        <v>3.5017578956487591E-2</v>
      </c>
    </row>
    <row r="58" spans="1:5">
      <c r="A58" t="s">
        <v>24</v>
      </c>
      <c r="B58" t="s">
        <v>15</v>
      </c>
      <c r="C58" t="s">
        <v>11</v>
      </c>
      <c r="D58">
        <f>AVERAGE(per_seed!$L$22:$L$31)</f>
        <v>830.78666666901313</v>
      </c>
      <c r="E58">
        <v>830.78666666901313</v>
      </c>
    </row>
    <row r="59" spans="1:5">
      <c r="A59" t="s">
        <v>25</v>
      </c>
      <c r="B59" t="s">
        <v>15</v>
      </c>
      <c r="C59" t="s">
        <v>11</v>
      </c>
      <c r="D59">
        <f>_xlfn.STDEV.S(per_seed!$L$22:$L$31)</f>
        <v>49.576436057924504</v>
      </c>
      <c r="E59">
        <v>49.576436057924496</v>
      </c>
    </row>
    <row r="60" spans="1:5">
      <c r="A60" t="s">
        <v>24</v>
      </c>
      <c r="B60" t="s">
        <v>15</v>
      </c>
      <c r="C60" t="s">
        <v>12</v>
      </c>
      <c r="D60">
        <f>AVERAGE(per_seed!$M$22:$M$31)</f>
        <v>1.4530555557027163</v>
      </c>
      <c r="E60">
        <v>1.4530555557027161</v>
      </c>
    </row>
    <row r="61" spans="1:5">
      <c r="A61" t="s">
        <v>25</v>
      </c>
      <c r="B61" t="s">
        <v>15</v>
      </c>
      <c r="C61" t="s">
        <v>12</v>
      </c>
      <c r="D61">
        <f>_xlfn.STDEV.S(per_seed!$M$22:$M$31)</f>
        <v>0.4713365833229603</v>
      </c>
      <c r="E61">
        <v>0.47133658332296141</v>
      </c>
    </row>
    <row r="62" spans="1:5">
      <c r="A62" t="s">
        <v>24</v>
      </c>
      <c r="B62" t="s">
        <v>16</v>
      </c>
      <c r="C62" t="s">
        <v>3</v>
      </c>
      <c r="D62">
        <f>AVERAGE(per_seed!$D$32:$D$41)</f>
        <v>1411.2</v>
      </c>
      <c r="E62">
        <v>1411.2</v>
      </c>
    </row>
    <row r="63" spans="1:5">
      <c r="A63" t="s">
        <v>25</v>
      </c>
      <c r="B63" t="s">
        <v>16</v>
      </c>
      <c r="C63" t="s">
        <v>3</v>
      </c>
      <c r="D63">
        <f>_xlfn.STDEV.S(per_seed!$D$32:$D$41)</f>
        <v>9.5777519979029169</v>
      </c>
      <c r="E63">
        <v>9.5777519979029169</v>
      </c>
    </row>
    <row r="64" spans="1:5">
      <c r="A64" t="s">
        <v>24</v>
      </c>
      <c r="B64" t="s">
        <v>16</v>
      </c>
      <c r="C64" t="s">
        <v>4</v>
      </c>
      <c r="D64">
        <f>AVERAGE(per_seed!$E$32:$E$41)</f>
        <v>919</v>
      </c>
      <c r="E64">
        <v>919</v>
      </c>
    </row>
    <row r="65" spans="1:5">
      <c r="A65" t="s">
        <v>25</v>
      </c>
      <c r="B65" t="s">
        <v>16</v>
      </c>
      <c r="C65" t="s">
        <v>4</v>
      </c>
      <c r="D65">
        <f>_xlfn.STDEV.S(per_seed!$E$32:$E$41)</f>
        <v>16.06237840420901</v>
      </c>
      <c r="E65">
        <v>16.06237840420901</v>
      </c>
    </row>
    <row r="66" spans="1:5">
      <c r="A66" t="s">
        <v>24</v>
      </c>
      <c r="B66" t="s">
        <v>16</v>
      </c>
      <c r="C66" t="s">
        <v>5</v>
      </c>
      <c r="D66">
        <f>AVERAGE(per_seed!$F$32:$F$41)</f>
        <v>634.5</v>
      </c>
      <c r="E66">
        <v>634.5</v>
      </c>
    </row>
    <row r="67" spans="1:5">
      <c r="A67" t="s">
        <v>25</v>
      </c>
      <c r="B67" t="s">
        <v>16</v>
      </c>
      <c r="C67" t="s">
        <v>5</v>
      </c>
      <c r="D67">
        <f>_xlfn.STDEV.S(per_seed!$F$32:$F$41)</f>
        <v>11.1280426550824</v>
      </c>
      <c r="E67">
        <v>11.1280426550824</v>
      </c>
    </row>
    <row r="68" spans="1:5">
      <c r="A68" t="s">
        <v>24</v>
      </c>
      <c r="B68" t="s">
        <v>16</v>
      </c>
      <c r="C68" t="s">
        <v>6</v>
      </c>
      <c r="D68">
        <f>AVERAGE(per_seed!$G$32:$G$41)</f>
        <v>3.2077988549914975</v>
      </c>
      <c r="E68">
        <v>3.207798854991498</v>
      </c>
    </row>
    <row r="69" spans="1:5">
      <c r="A69" t="s">
        <v>25</v>
      </c>
      <c r="B69" t="s">
        <v>16</v>
      </c>
      <c r="C69" t="s">
        <v>6</v>
      </c>
      <c r="D69">
        <f>_xlfn.STDEV.S(per_seed!$G$32:$G$41)</f>
        <v>0.16744751406418185</v>
      </c>
      <c r="E69">
        <v>0.16744751406418171</v>
      </c>
    </row>
    <row r="70" spans="1:5">
      <c r="A70" t="s">
        <v>24</v>
      </c>
      <c r="B70" t="s">
        <v>16</v>
      </c>
      <c r="C70" t="s">
        <v>7</v>
      </c>
      <c r="D70">
        <f>AVERAGE(per_seed!$H$32:$H$41)</f>
        <v>198.2</v>
      </c>
      <c r="E70">
        <v>198.2</v>
      </c>
    </row>
    <row r="71" spans="1:5">
      <c r="A71" t="s">
        <v>25</v>
      </c>
      <c r="B71" t="s">
        <v>16</v>
      </c>
      <c r="C71" t="s">
        <v>7</v>
      </c>
      <c r="D71">
        <f>_xlfn.STDEV.S(per_seed!$H$32:$H$41)</f>
        <v>9.0774445743281724</v>
      </c>
      <c r="E71">
        <v>9.0774445743281724</v>
      </c>
    </row>
    <row r="72" spans="1:5">
      <c r="A72" t="s">
        <v>24</v>
      </c>
      <c r="B72" t="s">
        <v>16</v>
      </c>
      <c r="C72" t="s">
        <v>8</v>
      </c>
      <c r="D72">
        <f>AVERAGE(per_seed!$I$32:$I$41)</f>
        <v>0.31249392608405624</v>
      </c>
      <c r="E72">
        <v>0.31249392608405641</v>
      </c>
    </row>
    <row r="73" spans="1:5">
      <c r="A73" t="s">
        <v>25</v>
      </c>
      <c r="B73" t="s">
        <v>16</v>
      </c>
      <c r="C73" t="s">
        <v>8</v>
      </c>
      <c r="D73">
        <f>_xlfn.STDEV.S(per_seed!$I$32:$I$41)</f>
        <v>1.6052892391854593E-2</v>
      </c>
      <c r="E73">
        <v>1.605289239185459E-2</v>
      </c>
    </row>
    <row r="74" spans="1:5">
      <c r="A74" t="s">
        <v>24</v>
      </c>
      <c r="B74" t="s">
        <v>16</v>
      </c>
      <c r="C74" t="s">
        <v>9</v>
      </c>
      <c r="D74">
        <f>AVERAGE(per_seed!$J$32:$J$41)</f>
        <v>15.059317270000355</v>
      </c>
      <c r="E74">
        <v>15.059317270000349</v>
      </c>
    </row>
    <row r="75" spans="1:5">
      <c r="A75" t="s">
        <v>25</v>
      </c>
      <c r="B75" t="s">
        <v>16</v>
      </c>
      <c r="C75" t="s">
        <v>9</v>
      </c>
      <c r="D75">
        <f>_xlfn.STDEV.S(per_seed!$J$32:$J$41)</f>
        <v>0.506206242998964</v>
      </c>
      <c r="E75">
        <v>0.50620624299896377</v>
      </c>
    </row>
    <row r="76" spans="1:5">
      <c r="A76" t="s">
        <v>24</v>
      </c>
      <c r="B76" t="s">
        <v>16</v>
      </c>
      <c r="C76" t="s">
        <v>10</v>
      </c>
      <c r="D76">
        <f>AVERAGE(per_seed!$K$32:$K$41)</f>
        <v>1.803536646705314</v>
      </c>
      <c r="E76">
        <v>1.803536646705314</v>
      </c>
    </row>
    <row r="77" spans="1:5">
      <c r="A77" t="s">
        <v>25</v>
      </c>
      <c r="B77" t="s">
        <v>16</v>
      </c>
      <c r="C77" t="s">
        <v>10</v>
      </c>
      <c r="D77">
        <f>_xlfn.STDEV.S(per_seed!$K$32:$K$41)</f>
        <v>6.8009030272531981E-2</v>
      </c>
      <c r="E77">
        <v>6.8009030272531981E-2</v>
      </c>
    </row>
    <row r="78" spans="1:5">
      <c r="A78" t="s">
        <v>24</v>
      </c>
      <c r="B78" t="s">
        <v>16</v>
      </c>
      <c r="C78" t="s">
        <v>11</v>
      </c>
      <c r="D78">
        <f>AVERAGE(per_seed!$L$32:$L$41)</f>
        <v>428.76000000104159</v>
      </c>
      <c r="E78">
        <v>428.76000000104159</v>
      </c>
    </row>
    <row r="79" spans="1:5">
      <c r="A79" t="s">
        <v>25</v>
      </c>
      <c r="B79" t="s">
        <v>16</v>
      </c>
      <c r="C79" t="s">
        <v>11</v>
      </c>
      <c r="D79">
        <f>_xlfn.STDEV.S(per_seed!$L$32:$L$41)</f>
        <v>29.732380727719296</v>
      </c>
      <c r="E79">
        <v>29.732380727719299</v>
      </c>
    </row>
    <row r="80" spans="1:5">
      <c r="A80" t="s">
        <v>24</v>
      </c>
      <c r="B80" t="s">
        <v>16</v>
      </c>
      <c r="C80" t="s">
        <v>12</v>
      </c>
      <c r="D80">
        <f>AVERAGE(per_seed!$M$32:$M$41)</f>
        <v>2.0536419754557773</v>
      </c>
      <c r="E80">
        <v>2.0536419754557769</v>
      </c>
    </row>
    <row r="81" spans="1:5">
      <c r="A81" t="s">
        <v>25</v>
      </c>
      <c r="B81" t="s">
        <v>16</v>
      </c>
      <c r="C81" t="s">
        <v>12</v>
      </c>
      <c r="D81">
        <f>_xlfn.STDEV.S(per_seed!$M$32:$M$41)</f>
        <v>0.67123026495171634</v>
      </c>
      <c r="E81">
        <v>0.67123026495171634</v>
      </c>
    </row>
    <row r="82" spans="1:5">
      <c r="A82" t="s">
        <v>24</v>
      </c>
      <c r="B82" t="s">
        <v>17</v>
      </c>
      <c r="C82" t="s">
        <v>3</v>
      </c>
      <c r="D82">
        <f>AVERAGE(per_seed!$D$42:$D$51)</f>
        <v>1305.5</v>
      </c>
      <c r="E82">
        <v>1305.5</v>
      </c>
    </row>
    <row r="83" spans="1:5">
      <c r="A83" t="s">
        <v>25</v>
      </c>
      <c r="B83" t="s">
        <v>17</v>
      </c>
      <c r="C83" t="s">
        <v>3</v>
      </c>
      <c r="D83">
        <f>_xlfn.STDEV.S(per_seed!$D$42:$D$51)</f>
        <v>19.862024066041204</v>
      </c>
      <c r="E83">
        <v>19.862024066041201</v>
      </c>
    </row>
    <row r="84" spans="1:5">
      <c r="A84" t="s">
        <v>24</v>
      </c>
      <c r="B84" t="s">
        <v>17</v>
      </c>
      <c r="C84" t="s">
        <v>4</v>
      </c>
      <c r="D84">
        <f>AVERAGE(per_seed!$E$42:$E$51)</f>
        <v>872.3</v>
      </c>
      <c r="E84">
        <v>872.3</v>
      </c>
    </row>
    <row r="85" spans="1:5">
      <c r="A85" t="s">
        <v>25</v>
      </c>
      <c r="B85" t="s">
        <v>17</v>
      </c>
      <c r="C85" t="s">
        <v>4</v>
      </c>
      <c r="D85">
        <f>_xlfn.STDEV.S(per_seed!$E$42:$E$51)</f>
        <v>6.6674999479231758</v>
      </c>
      <c r="E85">
        <v>6.6674999479231758</v>
      </c>
    </row>
    <row r="86" spans="1:5">
      <c r="A86" t="s">
        <v>24</v>
      </c>
      <c r="B86" t="s">
        <v>17</v>
      </c>
      <c r="C86" t="s">
        <v>5</v>
      </c>
      <c r="D86">
        <f>AVERAGE(per_seed!$F$42:$F$51)</f>
        <v>565.70000000000005</v>
      </c>
      <c r="E86">
        <v>565.70000000000005</v>
      </c>
    </row>
    <row r="87" spans="1:5">
      <c r="A87" t="s">
        <v>25</v>
      </c>
      <c r="B87" t="s">
        <v>17</v>
      </c>
      <c r="C87" t="s">
        <v>5</v>
      </c>
      <c r="D87">
        <f>_xlfn.STDEV.S(per_seed!$F$42:$F$51)</f>
        <v>7.3340908699639717</v>
      </c>
      <c r="E87">
        <v>7.3340908699639717</v>
      </c>
    </row>
    <row r="88" spans="1:5">
      <c r="A88" t="s">
        <v>24</v>
      </c>
      <c r="B88" t="s">
        <v>17</v>
      </c>
      <c r="C88" t="s">
        <v>6</v>
      </c>
      <c r="D88">
        <f>AVERAGE(per_seed!$G$42:$G$51)</f>
        <v>4.7942697868021753</v>
      </c>
      <c r="E88">
        <v>4.7942697868021753</v>
      </c>
    </row>
    <row r="89" spans="1:5">
      <c r="A89" t="s">
        <v>25</v>
      </c>
      <c r="B89" t="s">
        <v>17</v>
      </c>
      <c r="C89" t="s">
        <v>6</v>
      </c>
      <c r="D89">
        <f>_xlfn.STDEV.S(per_seed!$G$42:$G$51)</f>
        <v>0.14756743573495143</v>
      </c>
      <c r="E89">
        <v>0.1475674357349514</v>
      </c>
    </row>
    <row r="90" spans="1:5">
      <c r="A90" t="s">
        <v>24</v>
      </c>
      <c r="B90" t="s">
        <v>17</v>
      </c>
      <c r="C90" t="s">
        <v>7</v>
      </c>
      <c r="D90">
        <f>AVERAGE(per_seed!$H$42:$H$51)</f>
        <v>118.1</v>
      </c>
      <c r="E90">
        <v>118.1</v>
      </c>
    </row>
    <row r="91" spans="1:5">
      <c r="A91" t="s">
        <v>25</v>
      </c>
      <c r="B91" t="s">
        <v>17</v>
      </c>
      <c r="C91" t="s">
        <v>7</v>
      </c>
      <c r="D91">
        <f>_xlfn.STDEV.S(per_seed!$H$42:$H$51)</f>
        <v>4.0674862562084266</v>
      </c>
      <c r="E91">
        <v>4.0674862562084266</v>
      </c>
    </row>
    <row r="92" spans="1:5">
      <c r="A92" t="s">
        <v>24</v>
      </c>
      <c r="B92" t="s">
        <v>17</v>
      </c>
      <c r="C92" t="s">
        <v>8</v>
      </c>
      <c r="D92">
        <f>AVERAGE(per_seed!$I$42:$I$51)</f>
        <v>0.2087625719234647</v>
      </c>
      <c r="E92">
        <v>0.2087625719234647</v>
      </c>
    </row>
    <row r="93" spans="1:5">
      <c r="A93" t="s">
        <v>25</v>
      </c>
      <c r="B93" t="s">
        <v>17</v>
      </c>
      <c r="C93" t="s">
        <v>8</v>
      </c>
      <c r="D93">
        <f>_xlfn.STDEV.S(per_seed!$I$42:$I$51)</f>
        <v>6.5087571330181837E-3</v>
      </c>
      <c r="E93">
        <v>6.5087571330181811E-3</v>
      </c>
    </row>
    <row r="94" spans="1:5">
      <c r="A94" t="s">
        <v>24</v>
      </c>
      <c r="B94" t="s">
        <v>17</v>
      </c>
      <c r="C94" t="s">
        <v>9</v>
      </c>
      <c r="D94">
        <f>AVERAGE(per_seed!$J$42:$J$51)</f>
        <v>10.468525711559336</v>
      </c>
      <c r="E94">
        <v>10.46852571155933</v>
      </c>
    </row>
    <row r="95" spans="1:5">
      <c r="A95" t="s">
        <v>25</v>
      </c>
      <c r="B95" t="s">
        <v>17</v>
      </c>
      <c r="C95" t="s">
        <v>9</v>
      </c>
      <c r="D95">
        <f>_xlfn.STDEV.S(per_seed!$J$42:$J$51)</f>
        <v>0.44230138338531927</v>
      </c>
      <c r="E95">
        <v>0.44230138338531899</v>
      </c>
    </row>
    <row r="96" spans="1:5">
      <c r="A96" t="s">
        <v>24</v>
      </c>
      <c r="B96" t="s">
        <v>17</v>
      </c>
      <c r="C96" t="s">
        <v>10</v>
      </c>
      <c r="D96">
        <f>AVERAGE(per_seed!$K$42:$K$51)</f>
        <v>1.306220840576229</v>
      </c>
      <c r="E96">
        <v>1.306220840576229</v>
      </c>
    </row>
    <row r="97" spans="1:5">
      <c r="A97" t="s">
        <v>25</v>
      </c>
      <c r="B97" t="s">
        <v>17</v>
      </c>
      <c r="C97" t="s">
        <v>10</v>
      </c>
      <c r="D97">
        <f>_xlfn.STDEV.S(per_seed!$K$42:$K$51)</f>
        <v>4.6017748449720834E-2</v>
      </c>
      <c r="E97">
        <v>4.6017748449720827E-2</v>
      </c>
    </row>
    <row r="98" spans="1:5">
      <c r="A98" t="s">
        <v>24</v>
      </c>
      <c r="B98" t="s">
        <v>17</v>
      </c>
      <c r="C98" t="s">
        <v>11</v>
      </c>
      <c r="D98">
        <f>AVERAGE(per_seed!$L$42:$L$51)</f>
        <v>796.73333333321</v>
      </c>
      <c r="E98">
        <v>796.73333333321</v>
      </c>
    </row>
    <row r="99" spans="1:5">
      <c r="A99" t="s">
        <v>25</v>
      </c>
      <c r="B99" t="s">
        <v>17</v>
      </c>
      <c r="C99" t="s">
        <v>11</v>
      </c>
      <c r="D99">
        <f>_xlfn.STDEV.S(per_seed!$L$42:$L$51)</f>
        <v>31.173857359332395</v>
      </c>
      <c r="E99">
        <v>31.173857359332391</v>
      </c>
    </row>
    <row r="100" spans="1:5">
      <c r="A100" t="s">
        <v>24</v>
      </c>
      <c r="B100" t="s">
        <v>17</v>
      </c>
      <c r="C100" t="s">
        <v>12</v>
      </c>
      <c r="D100">
        <f>AVERAGE(per_seed!$M$42:$M$51)</f>
        <v>9.4000617285275521</v>
      </c>
      <c r="E100">
        <v>9.4000617285275521</v>
      </c>
    </row>
    <row r="101" spans="1:5">
      <c r="A101" t="s">
        <v>25</v>
      </c>
      <c r="B101" t="s">
        <v>17</v>
      </c>
      <c r="C101" t="s">
        <v>12</v>
      </c>
      <c r="D101">
        <f>_xlfn.STDEV.S(per_seed!$M$42:$M$51)</f>
        <v>1.3639397446805641</v>
      </c>
      <c r="E101">
        <v>1.3639397446805619</v>
      </c>
    </row>
    <row r="102" spans="1:5">
      <c r="A102" t="s">
        <v>24</v>
      </c>
      <c r="B102" t="s">
        <v>18</v>
      </c>
      <c r="C102" t="s">
        <v>3</v>
      </c>
      <c r="D102">
        <f>AVERAGE(per_seed!$D$52:$D$61)</f>
        <v>1428.7</v>
      </c>
      <c r="E102">
        <v>1428.7</v>
      </c>
    </row>
    <row r="103" spans="1:5">
      <c r="A103" t="s">
        <v>25</v>
      </c>
      <c r="B103" t="s">
        <v>18</v>
      </c>
      <c r="C103" t="s">
        <v>3</v>
      </c>
      <c r="D103">
        <f>_xlfn.STDEV.S(per_seed!$D$52:$D$61)</f>
        <v>2.263232692902394</v>
      </c>
      <c r="E103">
        <v>2.263232692902394</v>
      </c>
    </row>
    <row r="104" spans="1:5">
      <c r="A104" t="s">
        <v>24</v>
      </c>
      <c r="B104" t="s">
        <v>18</v>
      </c>
      <c r="C104" t="s">
        <v>4</v>
      </c>
      <c r="D104">
        <f>AVERAGE(per_seed!$E$52:$E$61)</f>
        <v>952.2</v>
      </c>
      <c r="E104">
        <v>952.2</v>
      </c>
    </row>
    <row r="105" spans="1:5">
      <c r="A105" t="s">
        <v>25</v>
      </c>
      <c r="B105" t="s">
        <v>18</v>
      </c>
      <c r="C105" t="s">
        <v>4</v>
      </c>
      <c r="D105">
        <f>_xlfn.STDEV.S(per_seed!$E$52:$E$61)</f>
        <v>16.45059944871986</v>
      </c>
      <c r="E105">
        <v>16.45059944871986</v>
      </c>
    </row>
    <row r="106" spans="1:5">
      <c r="A106" t="s">
        <v>24</v>
      </c>
      <c r="B106" t="s">
        <v>18</v>
      </c>
      <c r="C106" t="s">
        <v>5</v>
      </c>
      <c r="D106">
        <f>AVERAGE(per_seed!$F$52:$F$61)</f>
        <v>603.5</v>
      </c>
      <c r="E106">
        <v>603.5</v>
      </c>
    </row>
    <row r="107" spans="1:5">
      <c r="A107" t="s">
        <v>25</v>
      </c>
      <c r="B107" t="s">
        <v>18</v>
      </c>
      <c r="C107" t="s">
        <v>5</v>
      </c>
      <c r="D107">
        <f>_xlfn.STDEV.S(per_seed!$F$52:$F$61)</f>
        <v>11.067971810589327</v>
      </c>
      <c r="E107">
        <v>11.067971810589331</v>
      </c>
    </row>
    <row r="108" spans="1:5">
      <c r="A108" t="s">
        <v>24</v>
      </c>
      <c r="B108" t="s">
        <v>18</v>
      </c>
      <c r="C108" t="s">
        <v>6</v>
      </c>
      <c r="D108">
        <f>AVERAGE(per_seed!$G$52:$G$61)</f>
        <v>5.1175754795168205</v>
      </c>
      <c r="E108">
        <v>5.1175754795168196</v>
      </c>
    </row>
    <row r="109" spans="1:5">
      <c r="A109" t="s">
        <v>25</v>
      </c>
      <c r="B109" t="s">
        <v>18</v>
      </c>
      <c r="C109" t="s">
        <v>6</v>
      </c>
      <c r="D109">
        <f>_xlfn.STDEV.S(per_seed!$G$52:$G$61)</f>
        <v>0.15170876494723376</v>
      </c>
      <c r="E109">
        <v>0.15170876494723379</v>
      </c>
    </row>
    <row r="110" spans="1:5">
      <c r="A110" t="s">
        <v>24</v>
      </c>
      <c r="B110" t="s">
        <v>18</v>
      </c>
      <c r="C110" t="s">
        <v>7</v>
      </c>
      <c r="D110">
        <f>AVERAGE(per_seed!$H$52:$H$61)</f>
        <v>118</v>
      </c>
      <c r="E110">
        <v>118</v>
      </c>
    </row>
    <row r="111" spans="1:5">
      <c r="A111" t="s">
        <v>25</v>
      </c>
      <c r="B111" t="s">
        <v>18</v>
      </c>
      <c r="C111" t="s">
        <v>7</v>
      </c>
      <c r="D111">
        <f>_xlfn.STDEV.S(per_seed!$H$52:$H$61)</f>
        <v>3.39934634239519</v>
      </c>
      <c r="E111">
        <v>3.39934634239519</v>
      </c>
    </row>
    <row r="112" spans="1:5">
      <c r="A112" t="s">
        <v>24</v>
      </c>
      <c r="B112" t="s">
        <v>18</v>
      </c>
      <c r="C112" t="s">
        <v>8</v>
      </c>
      <c r="D112">
        <f>AVERAGE(per_seed!$I$52:$I$61)</f>
        <v>0.19556075634889752</v>
      </c>
      <c r="E112">
        <v>0.1955607563488975</v>
      </c>
    </row>
    <row r="113" spans="1:5">
      <c r="A113" t="s">
        <v>25</v>
      </c>
      <c r="B113" t="s">
        <v>18</v>
      </c>
      <c r="C113" t="s">
        <v>8</v>
      </c>
      <c r="D113">
        <f>_xlfn.STDEV.S(per_seed!$I$52:$I$61)</f>
        <v>5.8391886587596444E-3</v>
      </c>
      <c r="E113">
        <v>5.8391886587596644E-3</v>
      </c>
    </row>
    <row r="114" spans="1:5">
      <c r="A114" t="s">
        <v>24</v>
      </c>
      <c r="B114" t="s">
        <v>18</v>
      </c>
      <c r="C114" t="s">
        <v>9</v>
      </c>
      <c r="D114">
        <f>AVERAGE(per_seed!$J$52:$J$61)</f>
        <v>10.35040239595906</v>
      </c>
      <c r="E114">
        <v>10.35040239595906</v>
      </c>
    </row>
    <row r="115" spans="1:5">
      <c r="A115" t="s">
        <v>25</v>
      </c>
      <c r="B115" t="s">
        <v>18</v>
      </c>
      <c r="C115" t="s">
        <v>9</v>
      </c>
      <c r="D115">
        <f>_xlfn.STDEV.S(per_seed!$J$52:$J$61)</f>
        <v>0.27376433738760975</v>
      </c>
      <c r="E115">
        <v>0.27376433738760908</v>
      </c>
    </row>
    <row r="116" spans="1:5">
      <c r="A116" t="s">
        <v>24</v>
      </c>
      <c r="B116" t="s">
        <v>18</v>
      </c>
      <c r="C116" t="s">
        <v>10</v>
      </c>
      <c r="D116">
        <f>AVERAGE(per_seed!$K$52:$K$61)</f>
        <v>1.317185140231671</v>
      </c>
      <c r="E116">
        <v>1.317185140231671</v>
      </c>
    </row>
    <row r="117" spans="1:5">
      <c r="A117" t="s">
        <v>25</v>
      </c>
      <c r="B117" t="s">
        <v>18</v>
      </c>
      <c r="C117" t="s">
        <v>10</v>
      </c>
      <c r="D117">
        <f>_xlfn.STDEV.S(per_seed!$K$52:$K$61)</f>
        <v>2.9436940075360178E-2</v>
      </c>
      <c r="E117">
        <v>2.9436940075360182E-2</v>
      </c>
    </row>
    <row r="118" spans="1:5">
      <c r="A118" t="s">
        <v>24</v>
      </c>
      <c r="B118" t="s">
        <v>18</v>
      </c>
      <c r="C118" t="s">
        <v>11</v>
      </c>
      <c r="D118">
        <f>AVERAGE(per_seed!$L$52:$L$61)</f>
        <v>787.77777778006782</v>
      </c>
      <c r="E118">
        <v>787.77777778006782</v>
      </c>
    </row>
    <row r="119" spans="1:5">
      <c r="A119" t="s">
        <v>25</v>
      </c>
      <c r="B119" t="s">
        <v>18</v>
      </c>
      <c r="C119" t="s">
        <v>11</v>
      </c>
      <c r="D119">
        <f>_xlfn.STDEV.S(per_seed!$L$52:$L$61)</f>
        <v>40.322039707109951</v>
      </c>
      <c r="E119">
        <v>40.322039707109951</v>
      </c>
    </row>
    <row r="120" spans="1:5">
      <c r="A120" t="s">
        <v>24</v>
      </c>
      <c r="B120" t="s">
        <v>18</v>
      </c>
      <c r="C120" t="s">
        <v>12</v>
      </c>
      <c r="D120">
        <f>AVERAGE(per_seed!$M$52:$M$61)</f>
        <v>0.8557407408879818</v>
      </c>
      <c r="E120">
        <v>0.8557407408879818</v>
      </c>
    </row>
    <row r="121" spans="1:5">
      <c r="A121" t="s">
        <v>25</v>
      </c>
      <c r="B121" t="s">
        <v>18</v>
      </c>
      <c r="C121" t="s">
        <v>12</v>
      </c>
      <c r="D121">
        <f>_xlfn.STDEV.S(per_seed!$M$52:$M$61)</f>
        <v>0.15670302874636355</v>
      </c>
      <c r="E121">
        <v>0.15670302874636341</v>
      </c>
    </row>
    <row r="122" spans="1:5">
      <c r="A122" t="s">
        <v>26</v>
      </c>
      <c r="B122" t="s">
        <v>27</v>
      </c>
      <c r="C122" t="s">
        <v>3</v>
      </c>
      <c r="D122">
        <f>(AVERAGE(per_seed!$D$12:$D$21)-AVERAGE(per_seed!$D$2:$D$11))/AVERAGE(per_seed!$D$2:$D$11)*100</f>
        <v>12.86498736163167</v>
      </c>
      <c r="E122">
        <v>12.86498736163167</v>
      </c>
    </row>
    <row r="123" spans="1:5">
      <c r="A123" t="s">
        <v>28</v>
      </c>
      <c r="B123" t="s">
        <v>27</v>
      </c>
      <c r="C123" t="s">
        <v>3</v>
      </c>
      <c r="D123">
        <f>_xlfn.T.TEST(per_seed!$D$2:$D$11,per_seed!$D$12:$D$21,2,1)</f>
        <v>9.7601624085950967E-6</v>
      </c>
      <c r="E123">
        <v>9.7601624085951747E-6</v>
      </c>
    </row>
    <row r="124" spans="1:5">
      <c r="A124" t="s">
        <v>26</v>
      </c>
      <c r="B124" t="s">
        <v>27</v>
      </c>
      <c r="C124" t="s">
        <v>4</v>
      </c>
      <c r="D124">
        <f>(AVERAGE(per_seed!$E$12:$E$21)-AVERAGE(per_seed!$E$2:$E$11))/AVERAGE(per_seed!$E$2:$E$11)*100</f>
        <v>15.358909236733053</v>
      </c>
      <c r="E124">
        <v>15.35890923673305</v>
      </c>
    </row>
    <row r="125" spans="1:5">
      <c r="A125" t="s">
        <v>28</v>
      </c>
      <c r="B125" t="s">
        <v>27</v>
      </c>
      <c r="C125" t="s">
        <v>4</v>
      </c>
      <c r="D125">
        <f>_xlfn.T.TEST(per_seed!$E$2:$E$11,per_seed!$E$12:$E$21,2,1)</f>
        <v>2.5493528158387809E-6</v>
      </c>
      <c r="E125">
        <v>2.5493528158387749E-6</v>
      </c>
    </row>
    <row r="126" spans="1:5">
      <c r="A126" t="s">
        <v>26</v>
      </c>
      <c r="B126" t="s">
        <v>27</v>
      </c>
      <c r="C126" t="s">
        <v>5</v>
      </c>
      <c r="D126">
        <f>(AVERAGE(per_seed!$F$12:$F$21)-AVERAGE(per_seed!$F$2:$F$11))/AVERAGE(per_seed!$F$2:$F$11)*100</f>
        <v>6.8233944954128312</v>
      </c>
      <c r="E126">
        <v>6.8233944954128312</v>
      </c>
    </row>
    <row r="127" spans="1:5">
      <c r="A127" t="s">
        <v>28</v>
      </c>
      <c r="B127" t="s">
        <v>27</v>
      </c>
      <c r="C127" t="s">
        <v>5</v>
      </c>
      <c r="D127">
        <f>_xlfn.T.TEST(per_seed!$F$2:$F$11,per_seed!$F$12:$F$21,2,1)</f>
        <v>2.7696121894475959E-3</v>
      </c>
      <c r="E127">
        <v>2.769612189447566E-3</v>
      </c>
    </row>
    <row r="128" spans="1:5">
      <c r="A128" t="s">
        <v>26</v>
      </c>
      <c r="B128" t="s">
        <v>27</v>
      </c>
      <c r="C128" t="s">
        <v>6</v>
      </c>
      <c r="D128">
        <f>(AVERAGE(per_seed!$G$12:$G$21)-AVERAGE(per_seed!$G$2:$G$11))/AVERAGE(per_seed!$G$2:$G$11)*100</f>
        <v>62.929956301925557</v>
      </c>
      <c r="E128">
        <v>62.929956301925557</v>
      </c>
    </row>
    <row r="129" spans="1:5">
      <c r="A129" t="s">
        <v>28</v>
      </c>
      <c r="B129" t="s">
        <v>27</v>
      </c>
      <c r="C129" t="s">
        <v>6</v>
      </c>
      <c r="D129">
        <f>_xlfn.T.TEST(per_seed!$G$2:$G$11,per_seed!$G$12:$G$21,2,1)</f>
        <v>5.5181560695858894E-9</v>
      </c>
      <c r="E129">
        <v>5.5181560695858538E-9</v>
      </c>
    </row>
    <row r="130" spans="1:5">
      <c r="A130" t="s">
        <v>26</v>
      </c>
      <c r="B130" t="s">
        <v>27</v>
      </c>
      <c r="C130" t="s">
        <v>7</v>
      </c>
      <c r="D130">
        <f>(AVERAGE(per_seed!$H$12:$H$21)-AVERAGE(per_seed!$H$2:$H$11))/AVERAGE(per_seed!$H$2:$H$11)*100</f>
        <v>-34.393404004711428</v>
      </c>
      <c r="E130">
        <v>-34.393404004711428</v>
      </c>
    </row>
    <row r="131" spans="1:5">
      <c r="A131" t="s">
        <v>28</v>
      </c>
      <c r="B131" t="s">
        <v>27</v>
      </c>
      <c r="C131" t="s">
        <v>7</v>
      </c>
      <c r="D131">
        <f>_xlfn.T.TEST(per_seed!$H$2:$H$11,per_seed!$H$12:$H$21,2,1)</f>
        <v>9.2670628703032029E-10</v>
      </c>
      <c r="E131">
        <v>9.2670628703032132E-10</v>
      </c>
    </row>
    <row r="132" spans="1:5">
      <c r="A132" t="s">
        <v>26</v>
      </c>
      <c r="B132" t="s">
        <v>27</v>
      </c>
      <c r="C132" t="s">
        <v>8</v>
      </c>
      <c r="D132">
        <f>(AVERAGE(per_seed!$I$12:$I$21)-AVERAGE(per_seed!$I$2:$I$11))/AVERAGE(per_seed!$I$2:$I$11)*100</f>
        <v>-38.683914561113127</v>
      </c>
      <c r="E132">
        <v>-38.683914561113141</v>
      </c>
    </row>
    <row r="133" spans="1:5">
      <c r="A133" t="s">
        <v>28</v>
      </c>
      <c r="B133" t="s">
        <v>27</v>
      </c>
      <c r="C133" t="s">
        <v>8</v>
      </c>
      <c r="D133">
        <f>_xlfn.T.TEST(per_seed!$I$2:$I$11,per_seed!$I$12:$I$21,2,1)</f>
        <v>1.3290668830406206E-8</v>
      </c>
      <c r="E133">
        <v>1.3290668830406259E-8</v>
      </c>
    </row>
    <row r="134" spans="1:5">
      <c r="A134" t="s">
        <v>26</v>
      </c>
      <c r="B134" t="s">
        <v>27</v>
      </c>
      <c r="C134" t="s">
        <v>9</v>
      </c>
      <c r="D134">
        <f>(AVERAGE(per_seed!$J$12:$J$21)-AVERAGE(per_seed!$J$2:$J$11))/AVERAGE(per_seed!$J$2:$J$11)*100</f>
        <v>-35.45041709832752</v>
      </c>
      <c r="E134">
        <v>-35.45041709832752</v>
      </c>
    </row>
    <row r="135" spans="1:5">
      <c r="A135" t="s">
        <v>28</v>
      </c>
      <c r="B135" t="s">
        <v>27</v>
      </c>
      <c r="C135" t="s">
        <v>9</v>
      </c>
      <c r="D135">
        <f>_xlfn.T.TEST(per_seed!$J$2:$J$11,per_seed!$J$12:$J$21,2,1)</f>
        <v>9.7642331801914667E-9</v>
      </c>
      <c r="E135">
        <v>9.7642331801914402E-9</v>
      </c>
    </row>
    <row r="136" spans="1:5">
      <c r="A136" t="s">
        <v>26</v>
      </c>
      <c r="B136" t="s">
        <v>27</v>
      </c>
      <c r="C136" t="s">
        <v>10</v>
      </c>
      <c r="D136">
        <f>(AVERAGE(per_seed!$K$12:$K$21)-AVERAGE(per_seed!$K$2:$K$11))/AVERAGE(per_seed!$K$2:$K$11)*100</f>
        <v>-31.889092731669937</v>
      </c>
      <c r="E136">
        <v>-31.88909273166994</v>
      </c>
    </row>
    <row r="137" spans="1:5">
      <c r="A137" t="s">
        <v>28</v>
      </c>
      <c r="B137" t="s">
        <v>27</v>
      </c>
      <c r="C137" t="s">
        <v>10</v>
      </c>
      <c r="D137">
        <f>_xlfn.T.TEST(per_seed!$K$2:$K$11,per_seed!$K$12:$K$21,2,1)</f>
        <v>1.4721632710982185E-7</v>
      </c>
      <c r="E137">
        <v>1.4721632710982101E-7</v>
      </c>
    </row>
    <row r="138" spans="1:5">
      <c r="A138" t="s">
        <v>26</v>
      </c>
      <c r="B138" t="s">
        <v>27</v>
      </c>
      <c r="C138" t="s">
        <v>11</v>
      </c>
      <c r="D138">
        <f>(AVERAGE(per_seed!$L$12:$L$21)-AVERAGE(per_seed!$L$2:$L$11))/AVERAGE(per_seed!$L$2:$L$11)*100</f>
        <v>79.963869440091486</v>
      </c>
      <c r="E138">
        <v>79.963869440091528</v>
      </c>
    </row>
    <row r="139" spans="1:5">
      <c r="A139" t="s">
        <v>28</v>
      </c>
      <c r="B139" t="s">
        <v>27</v>
      </c>
      <c r="C139" t="s">
        <v>11</v>
      </c>
      <c r="D139">
        <f>_xlfn.T.TEST(per_seed!$L$2:$L$11,per_seed!$L$12:$L$21,2,1)</f>
        <v>2.0683927633986685E-10</v>
      </c>
      <c r="E139">
        <v>2.0683927633986631E-10</v>
      </c>
    </row>
    <row r="140" spans="1:5">
      <c r="A140" t="s">
        <v>26</v>
      </c>
      <c r="B140" t="s">
        <v>27</v>
      </c>
      <c r="C140" t="s">
        <v>12</v>
      </c>
      <c r="D140">
        <f>(AVERAGE(per_seed!$M$12:$M$21)-AVERAGE(per_seed!$M$2:$M$11))/AVERAGE(per_seed!$M$2:$M$11)*100</f>
        <v>-50.283408661085396</v>
      </c>
      <c r="E140">
        <v>-50.283408661085403</v>
      </c>
    </row>
    <row r="141" spans="1:5">
      <c r="A141" t="s">
        <v>28</v>
      </c>
      <c r="B141" t="s">
        <v>27</v>
      </c>
      <c r="C141" t="s">
        <v>12</v>
      </c>
      <c r="D141">
        <f>_xlfn.T.TEST(per_seed!$M$2:$M$11,per_seed!$M$12:$M$21,2,1)</f>
        <v>9.7947503264758862E-6</v>
      </c>
      <c r="E141">
        <v>9.7947503264758252E-6</v>
      </c>
    </row>
    <row r="142" spans="1:5">
      <c r="A142" t="s">
        <v>26</v>
      </c>
      <c r="B142" t="s">
        <v>29</v>
      </c>
      <c r="C142" t="s">
        <v>3</v>
      </c>
      <c r="D142">
        <f>(AVERAGE(per_seed!$D$22:$D$31)-AVERAGE(per_seed!$D$2:$D$11))/AVERAGE(per_seed!$D$2:$D$11)*100</f>
        <v>23.760132484964714</v>
      </c>
      <c r="E142">
        <v>23.760132484964711</v>
      </c>
    </row>
    <row r="143" spans="1:5">
      <c r="A143" t="s">
        <v>28</v>
      </c>
      <c r="B143" t="s">
        <v>29</v>
      </c>
      <c r="C143" t="s">
        <v>3</v>
      </c>
      <c r="D143">
        <f>_xlfn.T.TEST(per_seed!$D$2:$D$11,per_seed!$D$22:$D$31,2,1)</f>
        <v>1.3445878955806848E-8</v>
      </c>
      <c r="E143">
        <v>1.3445878955806909E-8</v>
      </c>
    </row>
    <row r="144" spans="1:5">
      <c r="A144" t="s">
        <v>26</v>
      </c>
      <c r="B144" t="s">
        <v>29</v>
      </c>
      <c r="C144" t="s">
        <v>4</v>
      </c>
      <c r="D144">
        <f>(AVERAGE(per_seed!$E$22:$E$31)-AVERAGE(per_seed!$E$2:$E$11))/AVERAGE(per_seed!$E$2:$E$11)*100</f>
        <v>26.467049859644433</v>
      </c>
      <c r="E144">
        <v>26.46704985964443</v>
      </c>
    </row>
    <row r="145" spans="1:5">
      <c r="A145" t="s">
        <v>28</v>
      </c>
      <c r="B145" t="s">
        <v>29</v>
      </c>
      <c r="C145" t="s">
        <v>4</v>
      </c>
      <c r="D145">
        <f>_xlfn.T.TEST(per_seed!$E$2:$E$11,per_seed!$E$22:$E$31,2,1)</f>
        <v>3.5143717760854299E-8</v>
      </c>
      <c r="E145">
        <v>3.5143717760854332E-8</v>
      </c>
    </row>
    <row r="146" spans="1:5">
      <c r="A146" t="s">
        <v>26</v>
      </c>
      <c r="B146" t="s">
        <v>29</v>
      </c>
      <c r="C146" t="s">
        <v>5</v>
      </c>
      <c r="D146">
        <f>(AVERAGE(per_seed!$F$22:$F$31)-AVERAGE(per_seed!$F$2:$F$11))/AVERAGE(per_seed!$F$2:$F$11)*100</f>
        <v>14.50688073394495</v>
      </c>
      <c r="E146">
        <v>14.50688073394495</v>
      </c>
    </row>
    <row r="147" spans="1:5">
      <c r="A147" t="s">
        <v>28</v>
      </c>
      <c r="B147" t="s">
        <v>29</v>
      </c>
      <c r="C147" t="s">
        <v>5</v>
      </c>
      <c r="D147">
        <f>_xlfn.T.TEST(per_seed!$F$2:$F$11,per_seed!$F$22:$F$31,2,1)</f>
        <v>1.1223431995377305E-5</v>
      </c>
      <c r="E147">
        <v>1.122343199537731E-5</v>
      </c>
    </row>
    <row r="148" spans="1:5">
      <c r="A148" t="s">
        <v>26</v>
      </c>
      <c r="B148" t="s">
        <v>29</v>
      </c>
      <c r="C148" t="s">
        <v>6</v>
      </c>
      <c r="D148">
        <f>(AVERAGE(per_seed!$G$22:$G$31)-AVERAGE(per_seed!$G$2:$G$11))/AVERAGE(per_seed!$G$2:$G$11)*100</f>
        <v>73.146484167756896</v>
      </c>
      <c r="E148">
        <v>73.146484167756867</v>
      </c>
    </row>
    <row r="149" spans="1:5">
      <c r="A149" t="s">
        <v>28</v>
      </c>
      <c r="B149" t="s">
        <v>29</v>
      </c>
      <c r="C149" t="s">
        <v>6</v>
      </c>
      <c r="D149">
        <f>_xlfn.T.TEST(per_seed!$G$2:$G$11,per_seed!$G$22:$G$31,2,1)</f>
        <v>5.7009741523932133E-11</v>
      </c>
      <c r="E149">
        <v>5.7009741523932592E-11</v>
      </c>
    </row>
    <row r="150" spans="1:5">
      <c r="A150" t="s">
        <v>26</v>
      </c>
      <c r="B150" t="s">
        <v>29</v>
      </c>
      <c r="C150" t="s">
        <v>7</v>
      </c>
      <c r="D150">
        <f>(AVERAGE(per_seed!$H$22:$H$31)-AVERAGE(per_seed!$H$2:$H$11))/AVERAGE(per_seed!$H$2:$H$11)*100</f>
        <v>-33.863368669022385</v>
      </c>
      <c r="E150">
        <v>-33.863368669022393</v>
      </c>
    </row>
    <row r="151" spans="1:5">
      <c r="A151" t="s">
        <v>28</v>
      </c>
      <c r="B151" t="s">
        <v>29</v>
      </c>
      <c r="C151" t="s">
        <v>7</v>
      </c>
      <c r="D151">
        <f>_xlfn.T.TEST(per_seed!$H$2:$H$11,per_seed!$H$22:$H$31,2,1)</f>
        <v>5.9664402527130838E-10</v>
      </c>
      <c r="E151">
        <v>5.9664402527131096E-10</v>
      </c>
    </row>
    <row r="152" spans="1:5">
      <c r="A152" t="s">
        <v>26</v>
      </c>
      <c r="B152" t="s">
        <v>29</v>
      </c>
      <c r="C152" t="s">
        <v>8</v>
      </c>
      <c r="D152">
        <f>(AVERAGE(per_seed!$I$22:$I$31)-AVERAGE(per_seed!$I$2:$I$11))/AVERAGE(per_seed!$I$2:$I$11)*100</f>
        <v>-42.327324444232424</v>
      </c>
      <c r="E152">
        <v>-42.327324444232431</v>
      </c>
    </row>
    <row r="153" spans="1:5">
      <c r="A153" t="s">
        <v>28</v>
      </c>
      <c r="B153" t="s">
        <v>29</v>
      </c>
      <c r="C153" t="s">
        <v>8</v>
      </c>
      <c r="D153">
        <f>_xlfn.T.TEST(per_seed!$I$2:$I$11,per_seed!$I$22:$I$31,2,1)</f>
        <v>6.8395352998931563E-10</v>
      </c>
      <c r="E153">
        <v>6.8395352998931604E-10</v>
      </c>
    </row>
    <row r="154" spans="1:5">
      <c r="A154" t="s">
        <v>26</v>
      </c>
      <c r="B154" t="s">
        <v>29</v>
      </c>
      <c r="C154" t="s">
        <v>9</v>
      </c>
      <c r="D154">
        <f>(AVERAGE(per_seed!$J$22:$J$31)-AVERAGE(per_seed!$J$2:$J$11))/AVERAGE(per_seed!$J$2:$J$11)*100</f>
        <v>-36.824218443395281</v>
      </c>
      <c r="E154">
        <v>-36.824218443395281</v>
      </c>
    </row>
    <row r="155" spans="1:5">
      <c r="A155" t="s">
        <v>28</v>
      </c>
      <c r="B155" t="s">
        <v>29</v>
      </c>
      <c r="C155" t="s">
        <v>9</v>
      </c>
      <c r="D155">
        <f>_xlfn.T.TEST(per_seed!$J$2:$J$11,per_seed!$J$22:$J$31,2,1)</f>
        <v>1.1257446254918947E-8</v>
      </c>
      <c r="E155">
        <v>1.125744625491884E-8</v>
      </c>
    </row>
    <row r="156" spans="1:5">
      <c r="A156" t="s">
        <v>26</v>
      </c>
      <c r="B156" t="s">
        <v>29</v>
      </c>
      <c r="C156" t="s">
        <v>10</v>
      </c>
      <c r="D156">
        <f>(AVERAGE(per_seed!$K$22:$K$31)-AVERAGE(per_seed!$K$2:$K$11))/AVERAGE(per_seed!$K$2:$K$11)*100</f>
        <v>-31.857594282101115</v>
      </c>
      <c r="E156">
        <v>-31.857594282101111</v>
      </c>
    </row>
    <row r="157" spans="1:5">
      <c r="A157" t="s">
        <v>28</v>
      </c>
      <c r="B157" t="s">
        <v>29</v>
      </c>
      <c r="C157" t="s">
        <v>10</v>
      </c>
      <c r="D157">
        <f>_xlfn.T.TEST(per_seed!$K$2:$K$11,per_seed!$K$22:$K$31,2,1)</f>
        <v>1.0329044994072119E-7</v>
      </c>
      <c r="E157">
        <v>1.032904499407209E-7</v>
      </c>
    </row>
    <row r="158" spans="1:5">
      <c r="A158" t="s">
        <v>26</v>
      </c>
      <c r="B158" t="s">
        <v>29</v>
      </c>
      <c r="C158" t="s">
        <v>11</v>
      </c>
      <c r="D158">
        <f>(AVERAGE(per_seed!$L$22:$L$31)-AVERAGE(per_seed!$L$2:$L$11))/AVERAGE(per_seed!$L$2:$L$11)*100</f>
        <v>90.784665945830142</v>
      </c>
      <c r="E158">
        <v>90.784665945830142</v>
      </c>
    </row>
    <row r="159" spans="1:5">
      <c r="A159" t="s">
        <v>28</v>
      </c>
      <c r="B159" t="s">
        <v>29</v>
      </c>
      <c r="C159" t="s">
        <v>11</v>
      </c>
      <c r="D159">
        <f>_xlfn.T.TEST(per_seed!$L$2:$L$11,per_seed!$L$22:$L$31,2,1)</f>
        <v>2.8133353854336475E-9</v>
      </c>
      <c r="E159">
        <v>2.81333538543365E-9</v>
      </c>
    </row>
    <row r="160" spans="1:5">
      <c r="A160" t="s">
        <v>26</v>
      </c>
      <c r="B160" t="s">
        <v>29</v>
      </c>
      <c r="C160" t="s">
        <v>12</v>
      </c>
      <c r="D160">
        <f>(AVERAGE(per_seed!$M$22:$M$31)-AVERAGE(per_seed!$M$2:$M$11))/AVERAGE(per_seed!$M$2:$M$11)*100</f>
        <v>-92.86682898896413</v>
      </c>
      <c r="E160">
        <v>-92.86682898896413</v>
      </c>
    </row>
    <row r="161" spans="1:5">
      <c r="A161" t="s">
        <v>28</v>
      </c>
      <c r="B161" t="s">
        <v>29</v>
      </c>
      <c r="C161" t="s">
        <v>12</v>
      </c>
      <c r="D161">
        <f>_xlfn.T.TEST(per_seed!$M$2:$M$11,per_seed!$M$22:$M$31,2,1)</f>
        <v>1.2889516632555276E-8</v>
      </c>
      <c r="E161">
        <v>1.288951663255524E-8</v>
      </c>
    </row>
    <row r="162" spans="1:5">
      <c r="A162" t="s">
        <v>26</v>
      </c>
      <c r="B162" t="s">
        <v>30</v>
      </c>
      <c r="C162" t="s">
        <v>3</v>
      </c>
      <c r="D162">
        <f>(AVERAGE(per_seed!$D$42:$D$51)-AVERAGE(per_seed!$D$32:$D$41))/AVERAGE(per_seed!$D$32:$D$41)*100</f>
        <v>-7.4900793650793673</v>
      </c>
      <c r="E162">
        <v>-7.4900793650793673</v>
      </c>
    </row>
    <row r="163" spans="1:5">
      <c r="A163" t="s">
        <v>28</v>
      </c>
      <c r="B163" t="s">
        <v>30</v>
      </c>
      <c r="C163" t="s">
        <v>3</v>
      </c>
      <c r="D163">
        <f>_xlfn.T.TEST(per_seed!$D$32:$D$41,per_seed!$D$42:$D$51,2,1)</f>
        <v>2.7823057478364602E-7</v>
      </c>
      <c r="E163">
        <v>2.7823057478364681E-7</v>
      </c>
    </row>
    <row r="164" spans="1:5">
      <c r="A164" t="s">
        <v>26</v>
      </c>
      <c r="B164" t="s">
        <v>30</v>
      </c>
      <c r="C164" t="s">
        <v>4</v>
      </c>
      <c r="D164">
        <f>(AVERAGE(per_seed!$E$42:$E$51)-AVERAGE(per_seed!$E$32:$E$41))/AVERAGE(per_seed!$E$32:$E$41)*100</f>
        <v>-5.0816104461371099</v>
      </c>
      <c r="E164">
        <v>-5.0816104461371099</v>
      </c>
    </row>
    <row r="165" spans="1:5">
      <c r="A165" t="s">
        <v>28</v>
      </c>
      <c r="B165" t="s">
        <v>30</v>
      </c>
      <c r="C165" t="s">
        <v>4</v>
      </c>
      <c r="D165">
        <f>_xlfn.T.TEST(per_seed!$E$32:$E$41,per_seed!$E$42:$E$51,2,1)</f>
        <v>3.3806876322869956E-5</v>
      </c>
      <c r="E165">
        <v>3.3806876322870221E-5</v>
      </c>
    </row>
    <row r="166" spans="1:5">
      <c r="A166" t="s">
        <v>26</v>
      </c>
      <c r="B166" t="s">
        <v>30</v>
      </c>
      <c r="C166" t="s">
        <v>5</v>
      </c>
      <c r="D166">
        <f>(AVERAGE(per_seed!$F$42:$F$51)-AVERAGE(per_seed!$F$32:$F$41))/AVERAGE(per_seed!$F$32:$F$41)*100</f>
        <v>-10.84318360914105</v>
      </c>
      <c r="E166">
        <v>-10.84318360914105</v>
      </c>
    </row>
    <row r="167" spans="1:5">
      <c r="A167" t="s">
        <v>28</v>
      </c>
      <c r="B167" t="s">
        <v>30</v>
      </c>
      <c r="C167" t="s">
        <v>5</v>
      </c>
      <c r="D167">
        <f>_xlfn.T.TEST(per_seed!$F$32:$F$41,per_seed!$F$42:$F$51,2,1)</f>
        <v>4.8465796664111954E-8</v>
      </c>
      <c r="E167">
        <v>4.8465796664111563E-8</v>
      </c>
    </row>
    <row r="168" spans="1:5">
      <c r="A168" t="s">
        <v>26</v>
      </c>
      <c r="B168" t="s">
        <v>30</v>
      </c>
      <c r="C168" t="s">
        <v>6</v>
      </c>
      <c r="D168">
        <f>(AVERAGE(per_seed!$G$42:$G$51)-AVERAGE(per_seed!$G$32:$G$41))/AVERAGE(per_seed!$G$32:$G$41)*100</f>
        <v>49.456683649040173</v>
      </c>
      <c r="E168">
        <v>49.45668364904013</v>
      </c>
    </row>
    <row r="169" spans="1:5">
      <c r="A169" t="s">
        <v>28</v>
      </c>
      <c r="B169" t="s">
        <v>30</v>
      </c>
      <c r="C169" t="s">
        <v>6</v>
      </c>
      <c r="D169">
        <f>_xlfn.T.TEST(per_seed!$G$32:$G$41,per_seed!$G$42:$G$51,2,1)</f>
        <v>4.4683413778672486E-9</v>
      </c>
      <c r="E169">
        <v>4.4683413778672528E-9</v>
      </c>
    </row>
    <row r="170" spans="1:5">
      <c r="A170" t="s">
        <v>26</v>
      </c>
      <c r="B170" t="s">
        <v>30</v>
      </c>
      <c r="C170" t="s">
        <v>7</v>
      </c>
      <c r="D170">
        <f>(AVERAGE(per_seed!$H$42:$H$51)-AVERAGE(per_seed!$H$32:$H$41))/AVERAGE(per_seed!$H$32:$H$41)*100</f>
        <v>-40.413723511604438</v>
      </c>
      <c r="E170">
        <v>-40.413723511604438</v>
      </c>
    </row>
    <row r="171" spans="1:5">
      <c r="A171" t="s">
        <v>28</v>
      </c>
      <c r="B171" t="s">
        <v>30</v>
      </c>
      <c r="C171" t="s">
        <v>7</v>
      </c>
      <c r="D171">
        <f>_xlfn.T.TEST(per_seed!$H$32:$H$41,per_seed!$H$42:$H$51,2,1)</f>
        <v>3.3612728985906431E-9</v>
      </c>
      <c r="E171">
        <v>3.361272898590646E-9</v>
      </c>
    </row>
    <row r="172" spans="1:5">
      <c r="A172" t="s">
        <v>26</v>
      </c>
      <c r="B172" t="s">
        <v>30</v>
      </c>
      <c r="C172" t="s">
        <v>8</v>
      </c>
      <c r="D172">
        <f>(AVERAGE(per_seed!$I$42:$I$51)-AVERAGE(per_seed!$I$32:$I$41))/AVERAGE(per_seed!$I$32:$I$41)*100</f>
        <v>-33.194678520788059</v>
      </c>
      <c r="E172">
        <v>-33.194678520788088</v>
      </c>
    </row>
    <row r="173" spans="1:5">
      <c r="A173" t="s">
        <v>28</v>
      </c>
      <c r="B173" t="s">
        <v>30</v>
      </c>
      <c r="C173" t="s">
        <v>8</v>
      </c>
      <c r="D173">
        <f>_xlfn.T.TEST(per_seed!$I$32:$I$41,per_seed!$I$42:$I$51,2,1)</f>
        <v>1.9093882103247868E-8</v>
      </c>
      <c r="E173">
        <v>1.909388210324754E-8</v>
      </c>
    </row>
    <row r="174" spans="1:5">
      <c r="A174" t="s">
        <v>26</v>
      </c>
      <c r="B174" t="s">
        <v>30</v>
      </c>
      <c r="C174" t="s">
        <v>9</v>
      </c>
      <c r="D174">
        <f>(AVERAGE(per_seed!$J$42:$J$51)-AVERAGE(per_seed!$J$32:$J$41))/AVERAGE(per_seed!$J$32:$J$41)*100</f>
        <v>-30.48472567601938</v>
      </c>
      <c r="E174">
        <v>-30.484725676019391</v>
      </c>
    </row>
    <row r="175" spans="1:5">
      <c r="A175" t="s">
        <v>28</v>
      </c>
      <c r="B175" t="s">
        <v>30</v>
      </c>
      <c r="C175" t="s">
        <v>9</v>
      </c>
      <c r="D175">
        <f>_xlfn.T.TEST(per_seed!$J$32:$J$41,per_seed!$J$42:$J$51,2,1)</f>
        <v>3.1044400666157673E-9</v>
      </c>
      <c r="E175">
        <v>3.104440066615781E-9</v>
      </c>
    </row>
    <row r="176" spans="1:5">
      <c r="A176" t="s">
        <v>26</v>
      </c>
      <c r="B176" t="s">
        <v>30</v>
      </c>
      <c r="C176" t="s">
        <v>10</v>
      </c>
      <c r="D176">
        <f>(AVERAGE(per_seed!$K$42:$K$51)-AVERAGE(per_seed!$K$32:$K$41))/AVERAGE(per_seed!$K$32:$K$41)*100</f>
        <v>-27.574477460027076</v>
      </c>
      <c r="E176">
        <v>-27.574477460027069</v>
      </c>
    </row>
    <row r="177" spans="1:5">
      <c r="A177" t="s">
        <v>28</v>
      </c>
      <c r="B177" t="s">
        <v>30</v>
      </c>
      <c r="C177" t="s">
        <v>10</v>
      </c>
      <c r="D177">
        <f>_xlfn.T.TEST(per_seed!$K$32:$K$41,per_seed!$K$42:$K$51,2,1)</f>
        <v>9.6976420827539909E-9</v>
      </c>
      <c r="E177">
        <v>9.6976420827539992E-9</v>
      </c>
    </row>
    <row r="178" spans="1:5">
      <c r="A178" t="s">
        <v>26</v>
      </c>
      <c r="B178" t="s">
        <v>30</v>
      </c>
      <c r="C178" t="s">
        <v>11</v>
      </c>
      <c r="D178">
        <f>(AVERAGE(per_seed!$L$42:$L$51)-AVERAGE(per_seed!$L$32:$L$41))/AVERAGE(per_seed!$L$32:$L$41)*100</f>
        <v>85.822682463680039</v>
      </c>
      <c r="E178">
        <v>85.822682463680039</v>
      </c>
    </row>
    <row r="179" spans="1:5">
      <c r="A179" t="s">
        <v>28</v>
      </c>
      <c r="B179" t="s">
        <v>30</v>
      </c>
      <c r="C179" t="s">
        <v>11</v>
      </c>
      <c r="D179">
        <f>_xlfn.T.TEST(per_seed!$L$32:$L$41,per_seed!$L$42:$L$51,2,1)</f>
        <v>2.0226127823587153E-9</v>
      </c>
      <c r="E179">
        <v>2.022612782358717E-9</v>
      </c>
    </row>
    <row r="180" spans="1:5">
      <c r="A180" t="s">
        <v>26</v>
      </c>
      <c r="B180" t="s">
        <v>30</v>
      </c>
      <c r="C180" t="s">
        <v>12</v>
      </c>
      <c r="D180">
        <f>(AVERAGE(per_seed!$M$42:$M$51)-AVERAGE(per_seed!$M$32:$M$41))/AVERAGE(per_seed!$M$32:$M$41)*100</f>
        <v>357.72641194876917</v>
      </c>
      <c r="E180">
        <v>357.72641194876923</v>
      </c>
    </row>
    <row r="181" spans="1:5">
      <c r="A181" t="s">
        <v>28</v>
      </c>
      <c r="B181" t="s">
        <v>30</v>
      </c>
      <c r="C181" t="s">
        <v>12</v>
      </c>
      <c r="D181">
        <f>_xlfn.T.TEST(per_seed!$M$32:$M$41,per_seed!$M$42:$M$51,2,1)</f>
        <v>2.7787240985819794E-7</v>
      </c>
      <c r="E181">
        <v>2.778724098581971E-7</v>
      </c>
    </row>
    <row r="182" spans="1:5">
      <c r="A182" t="s">
        <v>26</v>
      </c>
      <c r="B182" t="s">
        <v>31</v>
      </c>
      <c r="C182" t="s">
        <v>3</v>
      </c>
      <c r="D182">
        <f>(AVERAGE(per_seed!$D$52:$D$61)-AVERAGE(per_seed!$D$32:$D$41))/AVERAGE(per_seed!$D$32:$D$41)*100</f>
        <v>1.2400793650793651</v>
      </c>
      <c r="E182">
        <v>1.2400793650793649</v>
      </c>
    </row>
    <row r="183" spans="1:5">
      <c r="A183" t="s">
        <v>28</v>
      </c>
      <c r="B183" t="s">
        <v>31</v>
      </c>
      <c r="C183" t="s">
        <v>3</v>
      </c>
      <c r="D183">
        <f>_xlfn.T.TEST(per_seed!$D$32:$D$41,per_seed!$D$52:$D$61,2,1)</f>
        <v>1.7548524391491744E-4</v>
      </c>
      <c r="E183">
        <v>1.7548524391491739E-4</v>
      </c>
    </row>
    <row r="184" spans="1:5">
      <c r="A184" t="s">
        <v>26</v>
      </c>
      <c r="B184" t="s">
        <v>31</v>
      </c>
      <c r="C184" t="s">
        <v>4</v>
      </c>
      <c r="D184">
        <f>(AVERAGE(per_seed!$E$52:$E$61)-AVERAGE(per_seed!$E$32:$E$41))/AVERAGE(per_seed!$E$32:$E$41)*100</f>
        <v>3.6126224156692111</v>
      </c>
      <c r="E184">
        <v>3.6126224156692111</v>
      </c>
    </row>
    <row r="185" spans="1:5">
      <c r="A185" t="s">
        <v>28</v>
      </c>
      <c r="B185" t="s">
        <v>31</v>
      </c>
      <c r="C185" t="s">
        <v>4</v>
      </c>
      <c r="D185">
        <f>_xlfn.T.TEST(per_seed!$E$32:$E$41,per_seed!$E$52:$E$61,2,1)</f>
        <v>2.4683246479897579E-6</v>
      </c>
      <c r="E185">
        <v>2.4683246479897951E-6</v>
      </c>
    </row>
    <row r="186" spans="1:5">
      <c r="A186" t="s">
        <v>26</v>
      </c>
      <c r="B186" t="s">
        <v>31</v>
      </c>
      <c r="C186" t="s">
        <v>5</v>
      </c>
      <c r="D186">
        <f>(AVERAGE(per_seed!$F$52:$F$61)-AVERAGE(per_seed!$F$32:$F$41))/AVERAGE(per_seed!$F$32:$F$41)*100</f>
        <v>-4.8857368006304176</v>
      </c>
      <c r="E186">
        <v>-4.8857368006304176</v>
      </c>
    </row>
    <row r="187" spans="1:5">
      <c r="A187" t="s">
        <v>28</v>
      </c>
      <c r="B187" t="s">
        <v>31</v>
      </c>
      <c r="C187" t="s">
        <v>5</v>
      </c>
      <c r="D187">
        <f>_xlfn.T.TEST(per_seed!$F$32:$F$41,per_seed!$F$52:$F$61,2,1)</f>
        <v>9.8214573554824364E-7</v>
      </c>
      <c r="E187">
        <v>9.8214573554824449E-7</v>
      </c>
    </row>
    <row r="188" spans="1:5">
      <c r="A188" t="s">
        <v>26</v>
      </c>
      <c r="B188" t="s">
        <v>31</v>
      </c>
      <c r="C188" t="s">
        <v>6</v>
      </c>
      <c r="D188">
        <f>(AVERAGE(per_seed!$G$52:$G$61)-AVERAGE(per_seed!$G$32:$G$41))/AVERAGE(per_seed!$G$32:$G$41)*100</f>
        <v>59.535423224982253</v>
      </c>
      <c r="E188">
        <v>59.535423224982189</v>
      </c>
    </row>
    <row r="189" spans="1:5">
      <c r="A189" t="s">
        <v>28</v>
      </c>
      <c r="B189" t="s">
        <v>31</v>
      </c>
      <c r="C189" t="s">
        <v>6</v>
      </c>
      <c r="D189">
        <f>_xlfn.T.TEST(per_seed!$G$32:$G$41,per_seed!$G$52:$G$61,2,1)</f>
        <v>5.7637584115163137E-11</v>
      </c>
      <c r="E189">
        <v>5.7637584115163182E-11</v>
      </c>
    </row>
    <row r="190" spans="1:5">
      <c r="A190" t="s">
        <v>26</v>
      </c>
      <c r="B190" t="s">
        <v>31</v>
      </c>
      <c r="C190" t="s">
        <v>7</v>
      </c>
      <c r="D190">
        <f>(AVERAGE(per_seed!$H$52:$H$61)-AVERAGE(per_seed!$H$32:$H$41))/AVERAGE(per_seed!$H$32:$H$41)*100</f>
        <v>-40.464177598385461</v>
      </c>
      <c r="E190">
        <v>-40.464177598385461</v>
      </c>
    </row>
    <row r="191" spans="1:5">
      <c r="A191" t="s">
        <v>28</v>
      </c>
      <c r="B191" t="s">
        <v>31</v>
      </c>
      <c r="C191" t="s">
        <v>7</v>
      </c>
      <c r="D191">
        <f>_xlfn.T.TEST(per_seed!$H$32:$H$41,per_seed!$H$52:$H$61,2,1)</f>
        <v>9.4154538956896307E-10</v>
      </c>
      <c r="E191">
        <v>9.415453895689639E-10</v>
      </c>
    </row>
    <row r="192" spans="1:5">
      <c r="A192" t="s">
        <v>26</v>
      </c>
      <c r="B192" t="s">
        <v>31</v>
      </c>
      <c r="C192" t="s">
        <v>8</v>
      </c>
      <c r="D192">
        <f>(AVERAGE(per_seed!$I$52:$I$61)-AVERAGE(per_seed!$I$32:$I$41))/AVERAGE(per_seed!$I$32:$I$41)*100</f>
        <v>-37.419341617444886</v>
      </c>
      <c r="E192">
        <v>-37.419341617444907</v>
      </c>
    </row>
    <row r="193" spans="1:5">
      <c r="A193" t="s">
        <v>28</v>
      </c>
      <c r="B193" t="s">
        <v>31</v>
      </c>
      <c r="C193" t="s">
        <v>8</v>
      </c>
      <c r="D193">
        <f>_xlfn.T.TEST(per_seed!$I$32:$I$41,per_seed!$I$52:$I$61,2,1)</f>
        <v>9.8998181139809212E-10</v>
      </c>
      <c r="E193">
        <v>9.8998181139808963E-10</v>
      </c>
    </row>
    <row r="194" spans="1:5">
      <c r="A194" t="s">
        <v>26</v>
      </c>
      <c r="B194" t="s">
        <v>31</v>
      </c>
      <c r="C194" t="s">
        <v>9</v>
      </c>
      <c r="D194">
        <f>(AVERAGE(per_seed!$J$52:$J$61)-AVERAGE(per_seed!$J$32:$J$41))/AVERAGE(per_seed!$J$32:$J$41)*100</f>
        <v>-31.269112600621789</v>
      </c>
      <c r="E194">
        <v>-31.269112600621781</v>
      </c>
    </row>
    <row r="195" spans="1:5">
      <c r="A195" t="s">
        <v>28</v>
      </c>
      <c r="B195" t="s">
        <v>31</v>
      </c>
      <c r="C195" t="s">
        <v>9</v>
      </c>
      <c r="D195">
        <f>_xlfn.T.TEST(per_seed!$J$32:$J$41,per_seed!$J$52:$J$61,2,1)</f>
        <v>7.142767520315185E-11</v>
      </c>
      <c r="E195">
        <v>7.1427675203149886E-11</v>
      </c>
    </row>
    <row r="196" spans="1:5">
      <c r="A196" t="s">
        <v>26</v>
      </c>
      <c r="B196" t="s">
        <v>31</v>
      </c>
      <c r="C196" t="s">
        <v>10</v>
      </c>
      <c r="D196">
        <f>(AVERAGE(per_seed!$K$52:$K$61)-AVERAGE(per_seed!$K$32:$K$41))/AVERAGE(per_seed!$K$32:$K$41)*100</f>
        <v>-26.966544170982381</v>
      </c>
      <c r="E196">
        <v>-26.966544170982381</v>
      </c>
    </row>
    <row r="197" spans="1:5">
      <c r="A197" t="s">
        <v>28</v>
      </c>
      <c r="B197" t="s">
        <v>31</v>
      </c>
      <c r="C197" t="s">
        <v>10</v>
      </c>
      <c r="D197">
        <f>_xlfn.T.TEST(per_seed!$K$32:$K$41,per_seed!$K$52:$K$61,2,1)</f>
        <v>1.4537561830826161E-10</v>
      </c>
      <c r="E197">
        <v>1.453756183082622E-10</v>
      </c>
    </row>
    <row r="198" spans="1:5">
      <c r="A198" t="s">
        <v>26</v>
      </c>
      <c r="B198" t="s">
        <v>31</v>
      </c>
      <c r="C198" t="s">
        <v>11</v>
      </c>
      <c r="D198">
        <f>(AVERAGE(per_seed!$L$52:$L$61)-AVERAGE(per_seed!$L$32:$L$41))/AVERAGE(per_seed!$L$32:$L$41)*100</f>
        <v>83.733971867281014</v>
      </c>
      <c r="E198">
        <v>83.733971867281014</v>
      </c>
    </row>
    <row r="199" spans="1:5">
      <c r="A199" t="s">
        <v>28</v>
      </c>
      <c r="B199" t="s">
        <v>31</v>
      </c>
      <c r="C199" t="s">
        <v>11</v>
      </c>
      <c r="D199">
        <f>_xlfn.T.TEST(per_seed!$L$32:$L$41,per_seed!$L$52:$L$61,2,1)</f>
        <v>1.4000465311890428E-8</v>
      </c>
      <c r="E199">
        <v>1.4000465311890441E-8</v>
      </c>
    </row>
    <row r="200" spans="1:5">
      <c r="A200" t="s">
        <v>26</v>
      </c>
      <c r="B200" t="s">
        <v>31</v>
      </c>
      <c r="C200" t="s">
        <v>12</v>
      </c>
      <c r="D200">
        <f>(AVERAGE(per_seed!$M$52:$M$61)-AVERAGE(per_seed!$M$32:$M$41))/AVERAGE(per_seed!$M$32:$M$41)*100</f>
        <v>-58.330578011385747</v>
      </c>
      <c r="E200">
        <v>-58.33057801138574</v>
      </c>
    </row>
    <row r="201" spans="1:5">
      <c r="A201" t="s">
        <v>28</v>
      </c>
      <c r="B201" t="s">
        <v>31</v>
      </c>
      <c r="C201" t="s">
        <v>12</v>
      </c>
      <c r="D201">
        <f>_xlfn.T.TEST(per_seed!$M$32:$M$41,per_seed!$M$52:$M$61,2,1)</f>
        <v>2.1741556412643206E-4</v>
      </c>
      <c r="E201">
        <v>2.17415564126432E-4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2026-09-15T09:46:31Z</dcterms:created>
  <dcterms:modified xsi:type="dcterms:W3CDTF">2026-09-15T09:46:34Z</dcterms:modified>
</cp:coreProperties>
</file>