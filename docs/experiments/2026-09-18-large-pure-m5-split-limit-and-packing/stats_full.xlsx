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ormal\2026-09-18_large_pure_m5_split_limit_and_packing\"/>
    </mc:Choice>
  </mc:AlternateContent>
  <xr:revisionPtr revIDLastSave="0" documentId="13_ncr:1_{D0863A90-876B-4DD5-AE7A-B2F6B099A52D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51" i="2" l="1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<sst xmlns="http://schemas.openxmlformats.org/spreadsheetml/2006/main" count="838" uniqueCount="35">
  <si>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</si>
  <si>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</si>
  <si>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</si>
  <si>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</si>
  <si>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</si>
  <si>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</si>
  <si>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</si>
  <si>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</si>
  <si>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</si>
  <si>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</si>
  <si>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</si>
  <si>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</si>
  <si>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</si>
  <si>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m5_pure_45b</t>
  </si>
  <si>
    <t>m5_pure_n2_45b</t>
  </si>
  <si>
    <t>m5_pure_n3_45b</t>
  </si>
  <si>
    <t>m5_pure_n4_45b</t>
  </si>
  <si>
    <t>m5_pure_pk1_45b</t>
  </si>
  <si>
    <t>m5_pure_pk2_45b</t>
  </si>
  <si>
    <t>m5_pure_pk3_45b</t>
  </si>
  <si>
    <t>kind</t>
  </si>
  <si>
    <t>arm_or_comparison</t>
  </si>
  <si>
    <t>metric</t>
  </si>
  <si>
    <t>excel_value</t>
  </si>
  <si>
    <t>python_value</t>
  </si>
  <si>
    <t>mean</t>
  </si>
  <si>
    <t>sd</t>
  </si>
  <si>
    <t>pct</t>
  </si>
  <si>
    <t>m5_pure_n2_45b vs m5_pure_45b</t>
  </si>
  <si>
    <t>p</t>
  </si>
  <si>
    <t>m5_pure_n3_45b vs m5_pure_45b</t>
  </si>
  <si>
    <t>m5_pure_n4_45b vs m5_pure_45b</t>
  </si>
  <si>
    <t>m5_pure_pk1_45b vs m5_pure_45b</t>
  </si>
  <si>
    <t>m5_pure_pk2_45b vs m5_pure_45b</t>
  </si>
  <si>
    <t>m5_pure_pk3_45b vs m5_pure_45b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</si>
</sst>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8061</v>
      </c>
      <c r="E2">
        <v>5265</v>
      </c>
      <c r="F2">
        <v>3343</v>
      </c>
      <c r="G2">
        <v>8.3159203980099505</v>
      </c>
      <c r="H2">
        <v>402</v>
      </c>
      <c r="I2">
        <v>0.1202512713131917</v>
      </c>
      <c r="J2">
        <v>21.98411289694188</v>
      </c>
      <c r="K2">
        <v>3.9647353754421002</v>
      </c>
      <c r="L2">
        <v>396.52064934695198</v>
      </c>
      <c r="M2">
        <v>6.7373578374869094</v>
      </c>
    </row>
    <row r="3" spans="1:13">
      <c r="A3" t="s">
        <v>13</v>
      </c>
      <c r="B3">
        <v>45</v>
      </c>
      <c r="C3">
        <v>1</v>
      </c>
      <c r="D3">
        <v>8216</v>
      </c>
      <c r="E3">
        <v>5301</v>
      </c>
      <c r="F3">
        <v>3330</v>
      </c>
      <c r="G3">
        <v>8.4517766497461935</v>
      </c>
      <c r="H3">
        <v>394</v>
      </c>
      <c r="I3">
        <v>0.11831831831831829</v>
      </c>
      <c r="J3">
        <v>21.5536907380149</v>
      </c>
      <c r="K3">
        <v>3.8956570329039302</v>
      </c>
      <c r="L3">
        <v>406.14731601365401</v>
      </c>
      <c r="M3">
        <v>4.9771251948753958</v>
      </c>
    </row>
    <row r="4" spans="1:13">
      <c r="A4" t="s">
        <v>13</v>
      </c>
      <c r="B4">
        <v>45</v>
      </c>
      <c r="C4">
        <v>2</v>
      </c>
      <c r="D4">
        <v>8140</v>
      </c>
      <c r="E4">
        <v>5253</v>
      </c>
      <c r="F4">
        <v>3247</v>
      </c>
      <c r="G4">
        <v>8.4557291666666661</v>
      </c>
      <c r="H4">
        <v>384</v>
      </c>
      <c r="I4">
        <v>0.1182630120110872</v>
      </c>
      <c r="J4">
        <v>21.393125486000379</v>
      </c>
      <c r="K4">
        <v>3.9550945624009799</v>
      </c>
      <c r="L4">
        <v>412.05833333333499</v>
      </c>
      <c r="M4">
        <v>5.8609306104363146</v>
      </c>
    </row>
    <row r="5" spans="1:13">
      <c r="A5" t="s">
        <v>13</v>
      </c>
      <c r="B5">
        <v>45</v>
      </c>
      <c r="C5">
        <v>3</v>
      </c>
      <c r="D5">
        <v>8161</v>
      </c>
      <c r="E5">
        <v>5314</v>
      </c>
      <c r="F5">
        <v>3339</v>
      </c>
      <c r="G5">
        <v>8.2444444444444436</v>
      </c>
      <c r="H5">
        <v>405</v>
      </c>
      <c r="I5">
        <v>0.1212938005390836</v>
      </c>
      <c r="J5">
        <v>21.379936379639439</v>
      </c>
      <c r="K5">
        <v>3.9003463243036398</v>
      </c>
      <c r="L5">
        <v>404.65398268030202</v>
      </c>
      <c r="M5">
        <v>5.6091506741605626</v>
      </c>
    </row>
    <row r="6" spans="1:13">
      <c r="A6" t="s">
        <v>13</v>
      </c>
      <c r="B6">
        <v>45</v>
      </c>
      <c r="C6">
        <v>4</v>
      </c>
      <c r="D6">
        <v>8147</v>
      </c>
      <c r="E6">
        <v>5256</v>
      </c>
      <c r="F6">
        <v>3279</v>
      </c>
      <c r="G6">
        <v>8.156716417910447</v>
      </c>
      <c r="H6">
        <v>402</v>
      </c>
      <c r="I6">
        <v>0.1225983531564501</v>
      </c>
      <c r="J6">
        <v>21.919283233947109</v>
      </c>
      <c r="K6">
        <v>4.0125867545940803</v>
      </c>
      <c r="L6">
        <v>394.61888888889598</v>
      </c>
      <c r="M6">
        <v>5.7777726420707047</v>
      </c>
    </row>
    <row r="7" spans="1:13">
      <c r="A7" t="s">
        <v>13</v>
      </c>
      <c r="B7">
        <v>45</v>
      </c>
      <c r="C7">
        <v>5</v>
      </c>
      <c r="D7">
        <v>8150</v>
      </c>
      <c r="E7">
        <v>5392</v>
      </c>
      <c r="F7">
        <v>3393</v>
      </c>
      <c r="G7">
        <v>8.2554744525547452</v>
      </c>
      <c r="H7">
        <v>411</v>
      </c>
      <c r="I7">
        <v>0.12113174182139699</v>
      </c>
      <c r="J7">
        <v>21.270346033910609</v>
      </c>
      <c r="K7">
        <v>3.9047869393777601</v>
      </c>
      <c r="L7">
        <v>375.546392485372</v>
      </c>
      <c r="M7">
        <v>5.7197666810841099</v>
      </c>
    </row>
    <row r="8" spans="1:13">
      <c r="A8" t="s">
        <v>13</v>
      </c>
      <c r="B8">
        <v>45</v>
      </c>
      <c r="C8">
        <v>6</v>
      </c>
      <c r="D8">
        <v>8174</v>
      </c>
      <c r="E8">
        <v>5295</v>
      </c>
      <c r="F8">
        <v>3343</v>
      </c>
      <c r="G8">
        <v>8.5280612244897966</v>
      </c>
      <c r="H8">
        <v>392</v>
      </c>
      <c r="I8">
        <v>0.1172599461561472</v>
      </c>
      <c r="J8">
        <v>21.35536519217262</v>
      </c>
      <c r="K8">
        <v>3.8886185829208499</v>
      </c>
      <c r="L8">
        <v>407.48101731969803</v>
      </c>
      <c r="M8">
        <v>5.4341277604272564</v>
      </c>
    </row>
    <row r="9" spans="1:13">
      <c r="A9" t="s">
        <v>13</v>
      </c>
      <c r="B9">
        <v>45</v>
      </c>
      <c r="C9">
        <v>7</v>
      </c>
      <c r="D9">
        <v>8165</v>
      </c>
      <c r="E9">
        <v>5250</v>
      </c>
      <c r="F9">
        <v>3269</v>
      </c>
      <c r="G9">
        <v>8.2550505050505052</v>
      </c>
      <c r="H9">
        <v>396</v>
      </c>
      <c r="I9">
        <v>0.1211379626797186</v>
      </c>
      <c r="J9">
        <v>21.44192975674552</v>
      </c>
      <c r="K9">
        <v>3.98034615392524</v>
      </c>
      <c r="L9">
        <v>402.02750359644801</v>
      </c>
      <c r="M9">
        <v>5.5529551300340216</v>
      </c>
    </row>
    <row r="10" spans="1:13">
      <c r="A10" t="s">
        <v>13</v>
      </c>
      <c r="B10">
        <v>45</v>
      </c>
      <c r="C10">
        <v>8</v>
      </c>
      <c r="D10">
        <v>8143</v>
      </c>
      <c r="E10">
        <v>5277</v>
      </c>
      <c r="F10">
        <v>3331</v>
      </c>
      <c r="G10">
        <v>8.4116161616161609</v>
      </c>
      <c r="H10">
        <v>396</v>
      </c>
      <c r="I10">
        <v>0.1188832182527769</v>
      </c>
      <c r="J10">
        <v>21.616256633506922</v>
      </c>
      <c r="K10">
        <v>3.9236284111741102</v>
      </c>
      <c r="L10">
        <v>402.74018758284501</v>
      </c>
      <c r="M10">
        <v>5.8060751611577084</v>
      </c>
    </row>
    <row r="11" spans="1:13">
      <c r="A11" t="s">
        <v>13</v>
      </c>
      <c r="B11">
        <v>45</v>
      </c>
      <c r="C11">
        <v>9</v>
      </c>
      <c r="D11">
        <v>8156</v>
      </c>
      <c r="E11">
        <v>5293</v>
      </c>
      <c r="F11">
        <v>3360</v>
      </c>
      <c r="G11">
        <v>8.5496183206106871</v>
      </c>
      <c r="H11">
        <v>393</v>
      </c>
      <c r="I11">
        <v>0.1169642857142857</v>
      </c>
      <c r="J11">
        <v>21.797279578212731</v>
      </c>
      <c r="K11">
        <v>3.94987305220763</v>
      </c>
      <c r="L11">
        <v>388.55277777777798</v>
      </c>
      <c r="M11">
        <v>5.6616050128718411</v>
      </c>
    </row>
    <row r="12" spans="1:13">
      <c r="A12" t="s">
        <v>14</v>
      </c>
      <c r="B12">
        <v>45</v>
      </c>
      <c r="C12">
        <v>0</v>
      </c>
      <c r="D12">
        <v>7947</v>
      </c>
      <c r="E12">
        <v>5185</v>
      </c>
      <c r="F12">
        <v>3358</v>
      </c>
      <c r="G12">
        <v>5.2468750000000002</v>
      </c>
      <c r="H12">
        <v>640</v>
      </c>
      <c r="I12">
        <v>0.19058963668850509</v>
      </c>
      <c r="J12">
        <v>27.63387394921639</v>
      </c>
      <c r="K12">
        <v>4.8594795841075502</v>
      </c>
      <c r="L12">
        <v>314.53055555555602</v>
      </c>
      <c r="M12">
        <v>8.0552213772253669</v>
      </c>
    </row>
    <row r="13" spans="1:13">
      <c r="A13" t="s">
        <v>14</v>
      </c>
      <c r="B13">
        <v>45</v>
      </c>
      <c r="C13">
        <v>1</v>
      </c>
      <c r="D13">
        <v>7998</v>
      </c>
      <c r="E13">
        <v>5187</v>
      </c>
      <c r="F13">
        <v>3321</v>
      </c>
      <c r="G13">
        <v>4.6124999999999998</v>
      </c>
      <c r="H13">
        <v>720</v>
      </c>
      <c r="I13">
        <v>0.2168021680216802</v>
      </c>
      <c r="J13">
        <v>28.710080104258921</v>
      </c>
      <c r="K13">
        <v>5.02940263494287</v>
      </c>
      <c r="L13">
        <v>322.289444444455</v>
      </c>
      <c r="M13">
        <v>7.489062466044488</v>
      </c>
    </row>
    <row r="14" spans="1:13">
      <c r="A14" t="s">
        <v>14</v>
      </c>
      <c r="B14">
        <v>45</v>
      </c>
      <c r="C14">
        <v>2</v>
      </c>
      <c r="D14">
        <v>7940</v>
      </c>
      <c r="E14">
        <v>5154</v>
      </c>
      <c r="F14">
        <v>3344</v>
      </c>
      <c r="G14">
        <v>5.1604938271604937</v>
      </c>
      <c r="H14">
        <v>648</v>
      </c>
      <c r="I14">
        <v>0.19377990430622011</v>
      </c>
      <c r="J14">
        <v>27.435718957752041</v>
      </c>
      <c r="K14">
        <v>4.8457456249065096</v>
      </c>
      <c r="L14">
        <v>316.63611111112601</v>
      </c>
      <c r="M14">
        <v>8.1791028171253668</v>
      </c>
    </row>
    <row r="15" spans="1:13">
      <c r="A15" t="s">
        <v>14</v>
      </c>
      <c r="B15">
        <v>45</v>
      </c>
      <c r="C15">
        <v>3</v>
      </c>
      <c r="D15">
        <v>8013</v>
      </c>
      <c r="E15">
        <v>5177</v>
      </c>
      <c r="F15">
        <v>3398</v>
      </c>
      <c r="G15">
        <v>5.463022508038585</v>
      </c>
      <c r="H15">
        <v>622</v>
      </c>
      <c r="I15">
        <v>0.18304885226603879</v>
      </c>
      <c r="J15">
        <v>26.418844198392499</v>
      </c>
      <c r="K15">
        <v>4.57878955732187</v>
      </c>
      <c r="L15">
        <v>319.09109672527802</v>
      </c>
      <c r="M15">
        <v>7.3224273308983792</v>
      </c>
    </row>
    <row r="16" spans="1:13">
      <c r="A16" t="s">
        <v>14</v>
      </c>
      <c r="B16">
        <v>45</v>
      </c>
      <c r="C16">
        <v>4</v>
      </c>
      <c r="D16">
        <v>8035</v>
      </c>
      <c r="E16">
        <v>5162</v>
      </c>
      <c r="F16">
        <v>3334</v>
      </c>
      <c r="G16">
        <v>5.1770186335403734</v>
      </c>
      <c r="H16">
        <v>644</v>
      </c>
      <c r="I16">
        <v>0.1931613677264547</v>
      </c>
      <c r="J16">
        <v>27.21335420218384</v>
      </c>
      <c r="K16">
        <v>4.7694288096540198</v>
      </c>
      <c r="L16">
        <v>327.17223660806098</v>
      </c>
      <c r="M16">
        <v>7.0780286829134118</v>
      </c>
    </row>
    <row r="17" spans="1:13">
      <c r="A17" t="s">
        <v>14</v>
      </c>
      <c r="B17">
        <v>45</v>
      </c>
      <c r="C17">
        <v>5</v>
      </c>
      <c r="D17">
        <v>7926</v>
      </c>
      <c r="E17">
        <v>5215</v>
      </c>
      <c r="F17">
        <v>3381</v>
      </c>
      <c r="G17">
        <v>5.2418604651162788</v>
      </c>
      <c r="H17">
        <v>645</v>
      </c>
      <c r="I17">
        <v>0.19077196095829629</v>
      </c>
      <c r="J17">
        <v>27.124914374390411</v>
      </c>
      <c r="K17">
        <v>4.8022204534497801</v>
      </c>
      <c r="L17">
        <v>305.00518758284198</v>
      </c>
      <c r="M17">
        <v>8.3265639601805308</v>
      </c>
    </row>
    <row r="18" spans="1:13">
      <c r="A18" t="s">
        <v>14</v>
      </c>
      <c r="B18">
        <v>45</v>
      </c>
      <c r="C18">
        <v>6</v>
      </c>
      <c r="D18">
        <v>7911</v>
      </c>
      <c r="E18">
        <v>5127</v>
      </c>
      <c r="F18">
        <v>3339</v>
      </c>
      <c r="G18">
        <v>5.0210526315789474</v>
      </c>
      <c r="H18">
        <v>665</v>
      </c>
      <c r="I18">
        <v>0.19916142557651989</v>
      </c>
      <c r="J18">
        <v>27.983831672603081</v>
      </c>
      <c r="K18">
        <v>4.89147351964567</v>
      </c>
      <c r="L18">
        <v>296.77120490252997</v>
      </c>
      <c r="M18">
        <v>8.506108487833222</v>
      </c>
    </row>
    <row r="19" spans="1:13">
      <c r="A19" t="s">
        <v>14</v>
      </c>
      <c r="B19">
        <v>45</v>
      </c>
      <c r="C19">
        <v>7</v>
      </c>
      <c r="D19">
        <v>7976</v>
      </c>
      <c r="E19">
        <v>5131</v>
      </c>
      <c r="F19">
        <v>3311</v>
      </c>
      <c r="G19">
        <v>5.2059748427672954</v>
      </c>
      <c r="H19">
        <v>636</v>
      </c>
      <c r="I19">
        <v>0.19208698278465719</v>
      </c>
      <c r="J19">
        <v>27.246141836429349</v>
      </c>
      <c r="K19">
        <v>4.8378385249712803</v>
      </c>
      <c r="L19">
        <v>320.20898268027798</v>
      </c>
      <c r="M19">
        <v>7.7583571238307831</v>
      </c>
    </row>
    <row r="20" spans="1:13">
      <c r="A20" t="s">
        <v>14</v>
      </c>
      <c r="B20">
        <v>45</v>
      </c>
      <c r="C20">
        <v>8</v>
      </c>
      <c r="D20">
        <v>8019</v>
      </c>
      <c r="E20">
        <v>5117</v>
      </c>
      <c r="F20">
        <v>3346</v>
      </c>
      <c r="G20">
        <v>5.2859399684044233</v>
      </c>
      <c r="H20">
        <v>633</v>
      </c>
      <c r="I20">
        <v>0.18918111177525401</v>
      </c>
      <c r="J20">
        <v>27.13097510194255</v>
      </c>
      <c r="K20">
        <v>4.7107270398078498</v>
      </c>
      <c r="L20">
        <v>321.13777777779001</v>
      </c>
      <c r="M20">
        <v>7.2454535097079136</v>
      </c>
    </row>
    <row r="21" spans="1:13">
      <c r="A21" t="s">
        <v>14</v>
      </c>
      <c r="B21">
        <v>45</v>
      </c>
      <c r="C21">
        <v>9</v>
      </c>
      <c r="D21">
        <v>7966</v>
      </c>
      <c r="E21">
        <v>5149</v>
      </c>
      <c r="F21">
        <v>3347</v>
      </c>
      <c r="G21">
        <v>5.0943683409436833</v>
      </c>
      <c r="H21">
        <v>657</v>
      </c>
      <c r="I21">
        <v>0.19629518972213919</v>
      </c>
      <c r="J21">
        <v>27.537537078398529</v>
      </c>
      <c r="K21">
        <v>4.8211155385396998</v>
      </c>
      <c r="L21">
        <v>303.25323954190702</v>
      </c>
      <c r="M21">
        <v>7.8640099151908194</v>
      </c>
    </row>
    <row r="22" spans="1:13">
      <c r="A22" t="s">
        <v>15</v>
      </c>
      <c r="B22">
        <v>45</v>
      </c>
      <c r="C22">
        <v>0</v>
      </c>
      <c r="D22">
        <v>8172</v>
      </c>
      <c r="E22">
        <v>5312</v>
      </c>
      <c r="F22">
        <v>3375</v>
      </c>
      <c r="G22">
        <v>8.0166270783847988</v>
      </c>
      <c r="H22">
        <v>421</v>
      </c>
      <c r="I22">
        <v>0.12474074074074069</v>
      </c>
      <c r="J22">
        <v>21.866024649263181</v>
      </c>
      <c r="K22">
        <v>3.94146918828099</v>
      </c>
      <c r="L22">
        <v>399.222871569191</v>
      </c>
      <c r="M22">
        <v>5.4704153806585234</v>
      </c>
    </row>
    <row r="23" spans="1:13">
      <c r="A23" t="s">
        <v>15</v>
      </c>
      <c r="B23">
        <v>45</v>
      </c>
      <c r="C23">
        <v>1</v>
      </c>
      <c r="D23">
        <v>8165</v>
      </c>
      <c r="E23">
        <v>5293</v>
      </c>
      <c r="F23">
        <v>3331</v>
      </c>
      <c r="G23">
        <v>7.9309523809523812</v>
      </c>
      <c r="H23">
        <v>420</v>
      </c>
      <c r="I23">
        <v>0.12608826178324831</v>
      </c>
      <c r="J23">
        <v>22.135198576637819</v>
      </c>
      <c r="K23">
        <v>3.99250447146248</v>
      </c>
      <c r="L23">
        <v>406.63250359647799</v>
      </c>
      <c r="M23">
        <v>5.5745169004996384</v>
      </c>
    </row>
    <row r="24" spans="1:13">
      <c r="A24" t="s">
        <v>15</v>
      </c>
      <c r="B24">
        <v>45</v>
      </c>
      <c r="C24">
        <v>2</v>
      </c>
      <c r="D24">
        <v>8141</v>
      </c>
      <c r="E24">
        <v>5273</v>
      </c>
      <c r="F24">
        <v>3283</v>
      </c>
      <c r="G24">
        <v>7.706572769953052</v>
      </c>
      <c r="H24">
        <v>426</v>
      </c>
      <c r="I24">
        <v>0.1297593664331404</v>
      </c>
      <c r="J24">
        <v>21.770283528387441</v>
      </c>
      <c r="K24">
        <v>3.9908189940605698</v>
      </c>
      <c r="L24">
        <v>409.922308820708</v>
      </c>
      <c r="M24">
        <v>5.85235451391162</v>
      </c>
    </row>
    <row r="25" spans="1:13">
      <c r="A25" t="s">
        <v>15</v>
      </c>
      <c r="B25">
        <v>45</v>
      </c>
      <c r="C25">
        <v>3</v>
      </c>
      <c r="D25">
        <v>8119</v>
      </c>
      <c r="E25">
        <v>5260</v>
      </c>
      <c r="F25">
        <v>3340</v>
      </c>
      <c r="G25">
        <v>8.0095923261390887</v>
      </c>
      <c r="H25">
        <v>417</v>
      </c>
      <c r="I25">
        <v>0.1248502994011976</v>
      </c>
      <c r="J25">
        <v>21.846865226679469</v>
      </c>
      <c r="K25">
        <v>3.92447263815634</v>
      </c>
      <c r="L25">
        <v>394.07629869394299</v>
      </c>
      <c r="M25">
        <v>6.0640471088716277</v>
      </c>
    </row>
    <row r="26" spans="1:13">
      <c r="A26" t="s">
        <v>15</v>
      </c>
      <c r="B26">
        <v>45</v>
      </c>
      <c r="C26">
        <v>4</v>
      </c>
      <c r="D26">
        <v>8181</v>
      </c>
      <c r="E26">
        <v>5247</v>
      </c>
      <c r="F26">
        <v>3279</v>
      </c>
      <c r="G26">
        <v>7.6433566433566433</v>
      </c>
      <c r="H26">
        <v>429</v>
      </c>
      <c r="I26">
        <v>0.13083257090576389</v>
      </c>
      <c r="J26">
        <v>22.257037973641701</v>
      </c>
      <c r="K26">
        <v>4.0384870103627701</v>
      </c>
      <c r="L26">
        <v>404.81917026314198</v>
      </c>
      <c r="M26">
        <v>5.3761208227746904</v>
      </c>
    </row>
    <row r="27" spans="1:13">
      <c r="A27" t="s">
        <v>15</v>
      </c>
      <c r="B27">
        <v>45</v>
      </c>
      <c r="C27">
        <v>5</v>
      </c>
      <c r="D27">
        <v>8137</v>
      </c>
      <c r="E27">
        <v>5342</v>
      </c>
      <c r="F27">
        <v>3376</v>
      </c>
      <c r="G27">
        <v>7.4197802197802201</v>
      </c>
      <c r="H27">
        <v>455</v>
      </c>
      <c r="I27">
        <v>0.1347748815165877</v>
      </c>
      <c r="J27">
        <v>22.28634138758742</v>
      </c>
      <c r="K27">
        <v>4.0248708486017701</v>
      </c>
      <c r="L27">
        <v>395.03759019497198</v>
      </c>
      <c r="M27">
        <v>5.9025034487810872</v>
      </c>
    </row>
    <row r="28" spans="1:13">
      <c r="A28" t="s">
        <v>15</v>
      </c>
      <c r="B28">
        <v>45</v>
      </c>
      <c r="C28">
        <v>6</v>
      </c>
      <c r="D28">
        <v>8196</v>
      </c>
      <c r="E28">
        <v>5290</v>
      </c>
      <c r="F28">
        <v>3298</v>
      </c>
      <c r="G28">
        <v>7.3616071428571432</v>
      </c>
      <c r="H28">
        <v>448</v>
      </c>
      <c r="I28">
        <v>0.13583990297149789</v>
      </c>
      <c r="J28">
        <v>22.280216734682991</v>
      </c>
      <c r="K28">
        <v>4.09914327054046</v>
      </c>
      <c r="L28">
        <v>403.15917026311001</v>
      </c>
      <c r="M28">
        <v>5.2050218618130559</v>
      </c>
    </row>
    <row r="29" spans="1:13">
      <c r="A29" t="s">
        <v>15</v>
      </c>
      <c r="B29">
        <v>45</v>
      </c>
      <c r="C29">
        <v>7</v>
      </c>
      <c r="D29">
        <v>8117</v>
      </c>
      <c r="E29">
        <v>5255</v>
      </c>
      <c r="F29">
        <v>3266</v>
      </c>
      <c r="G29">
        <v>7.7947494033412887</v>
      </c>
      <c r="H29">
        <v>419</v>
      </c>
      <c r="I29">
        <v>0.12829148805878751</v>
      </c>
      <c r="J29">
        <v>22.174023922680689</v>
      </c>
      <c r="K29">
        <v>4.0762869105371902</v>
      </c>
      <c r="L29">
        <v>417.51981961011001</v>
      </c>
      <c r="M29">
        <v>6.1368282774819987</v>
      </c>
    </row>
    <row r="30" spans="1:13">
      <c r="A30" t="s">
        <v>15</v>
      </c>
      <c r="B30">
        <v>45</v>
      </c>
      <c r="C30">
        <v>8</v>
      </c>
      <c r="D30">
        <v>8185</v>
      </c>
      <c r="E30">
        <v>5272</v>
      </c>
      <c r="F30">
        <v>3333</v>
      </c>
      <c r="G30">
        <v>7.6797235023041477</v>
      </c>
      <c r="H30">
        <v>434</v>
      </c>
      <c r="I30">
        <v>0.13021302130213019</v>
      </c>
      <c r="J30">
        <v>22.391112355850531</v>
      </c>
      <c r="K30">
        <v>4.0316828666186399</v>
      </c>
      <c r="L30">
        <v>403.16240980504102</v>
      </c>
      <c r="M30">
        <v>5.3399247588831242</v>
      </c>
    </row>
    <row r="31" spans="1:13">
      <c r="A31" t="s">
        <v>15</v>
      </c>
      <c r="B31">
        <v>45</v>
      </c>
      <c r="C31">
        <v>9</v>
      </c>
      <c r="D31">
        <v>8142</v>
      </c>
      <c r="E31">
        <v>5283</v>
      </c>
      <c r="F31">
        <v>3350</v>
      </c>
      <c r="G31">
        <v>7.3951434878587197</v>
      </c>
      <c r="H31">
        <v>453</v>
      </c>
      <c r="I31">
        <v>0.1352238805970149</v>
      </c>
      <c r="J31">
        <v>22.401281679180961</v>
      </c>
      <c r="K31">
        <v>4.05062665480291</v>
      </c>
      <c r="L31">
        <v>389.79769117936797</v>
      </c>
      <c r="M31">
        <v>5.8267406121403207</v>
      </c>
    </row>
    <row r="32" spans="1:13">
      <c r="A32" t="s">
        <v>16</v>
      </c>
      <c r="B32">
        <v>45</v>
      </c>
      <c r="C32">
        <v>0</v>
      </c>
      <c r="D32">
        <v>8061</v>
      </c>
      <c r="E32">
        <v>5265</v>
      </c>
      <c r="F32">
        <v>3343</v>
      </c>
      <c r="G32">
        <v>8.3159203980099505</v>
      </c>
      <c r="H32">
        <v>402</v>
      </c>
      <c r="I32">
        <v>0.1202512713131917</v>
      </c>
      <c r="J32">
        <v>21.98411289694188</v>
      </c>
      <c r="K32">
        <v>3.9647353754421002</v>
      </c>
      <c r="L32">
        <v>396.52064934695198</v>
      </c>
      <c r="M32">
        <v>6.7373578374869094</v>
      </c>
    </row>
    <row r="33" spans="1:13">
      <c r="A33" t="s">
        <v>16</v>
      </c>
      <c r="B33">
        <v>45</v>
      </c>
      <c r="C33">
        <v>1</v>
      </c>
      <c r="D33">
        <v>8216</v>
      </c>
      <c r="E33">
        <v>5301</v>
      </c>
      <c r="F33">
        <v>3330</v>
      </c>
      <c r="G33">
        <v>8.4517766497461935</v>
      </c>
      <c r="H33">
        <v>394</v>
      </c>
      <c r="I33">
        <v>0.11831831831831829</v>
      </c>
      <c r="J33">
        <v>21.5536907380149</v>
      </c>
      <c r="K33">
        <v>3.8956570329039302</v>
      </c>
      <c r="L33">
        <v>406.14731601365401</v>
      </c>
      <c r="M33">
        <v>4.9771251948753958</v>
      </c>
    </row>
    <row r="34" spans="1:13">
      <c r="A34" t="s">
        <v>16</v>
      </c>
      <c r="B34">
        <v>45</v>
      </c>
      <c r="C34">
        <v>2</v>
      </c>
      <c r="D34">
        <v>8159</v>
      </c>
      <c r="E34">
        <v>5264</v>
      </c>
      <c r="F34">
        <v>3259</v>
      </c>
      <c r="G34">
        <v>8.4869791666666661</v>
      </c>
      <c r="H34">
        <v>384</v>
      </c>
      <c r="I34">
        <v>0.1178275544645597</v>
      </c>
      <c r="J34">
        <v>21.242831186333401</v>
      </c>
      <c r="K34">
        <v>3.9322754009576402</v>
      </c>
      <c r="L34">
        <v>411.53166666668102</v>
      </c>
      <c r="M34">
        <v>5.6234175998465892</v>
      </c>
    </row>
    <row r="35" spans="1:13">
      <c r="A35" t="s">
        <v>16</v>
      </c>
      <c r="B35">
        <v>45</v>
      </c>
      <c r="C35">
        <v>3</v>
      </c>
      <c r="D35">
        <v>8162</v>
      </c>
      <c r="E35">
        <v>5313</v>
      </c>
      <c r="F35">
        <v>3337</v>
      </c>
      <c r="G35">
        <v>8.2395061728395067</v>
      </c>
      <c r="H35">
        <v>405</v>
      </c>
      <c r="I35">
        <v>0.12136649685346119</v>
      </c>
      <c r="J35">
        <v>21.390707294636549</v>
      </c>
      <c r="K35">
        <v>3.9027030758289798</v>
      </c>
      <c r="L35">
        <v>404.65398268030202</v>
      </c>
      <c r="M35">
        <v>5.6030039390874196</v>
      </c>
    </row>
    <row r="36" spans="1:13">
      <c r="A36" t="s">
        <v>16</v>
      </c>
      <c r="B36">
        <v>45</v>
      </c>
      <c r="C36">
        <v>4</v>
      </c>
      <c r="D36">
        <v>8156</v>
      </c>
      <c r="E36">
        <v>5268</v>
      </c>
      <c r="F36">
        <v>3290</v>
      </c>
      <c r="G36">
        <v>8.308080808080808</v>
      </c>
      <c r="H36">
        <v>396</v>
      </c>
      <c r="I36">
        <v>0.1203647416413374</v>
      </c>
      <c r="J36">
        <v>21.601747540784171</v>
      </c>
      <c r="K36">
        <v>3.9758501237045198</v>
      </c>
      <c r="L36">
        <v>395.10953823585902</v>
      </c>
      <c r="M36">
        <v>5.6474968102818934</v>
      </c>
    </row>
    <row r="37" spans="1:13">
      <c r="A37" t="s">
        <v>16</v>
      </c>
      <c r="B37">
        <v>45</v>
      </c>
      <c r="C37">
        <v>5</v>
      </c>
      <c r="D37">
        <v>8137</v>
      </c>
      <c r="E37">
        <v>5389</v>
      </c>
      <c r="F37">
        <v>3414</v>
      </c>
      <c r="G37">
        <v>8.1870503597122308</v>
      </c>
      <c r="H37">
        <v>417</v>
      </c>
      <c r="I37">
        <v>0.1221441124780316</v>
      </c>
      <c r="J37">
        <v>21.479878025447761</v>
      </c>
      <c r="K37">
        <v>3.90474289333903</v>
      </c>
      <c r="L37">
        <v>375.54666666667799</v>
      </c>
      <c r="M37">
        <v>5.8960657831567831</v>
      </c>
    </row>
    <row r="38" spans="1:13">
      <c r="A38" t="s">
        <v>16</v>
      </c>
      <c r="B38">
        <v>45</v>
      </c>
      <c r="C38">
        <v>6</v>
      </c>
      <c r="D38">
        <v>8175</v>
      </c>
      <c r="E38">
        <v>5288</v>
      </c>
      <c r="F38">
        <v>3349</v>
      </c>
      <c r="G38">
        <v>8.5</v>
      </c>
      <c r="H38">
        <v>394</v>
      </c>
      <c r="I38">
        <v>0.1176470588235294</v>
      </c>
      <c r="J38">
        <v>21.380427037926061</v>
      </c>
      <c r="K38">
        <v>3.8785777970336301</v>
      </c>
      <c r="L38">
        <v>407.48101731969803</v>
      </c>
      <c r="M38">
        <v>5.4806714215017651</v>
      </c>
    </row>
    <row r="39" spans="1:13">
      <c r="A39" t="s">
        <v>16</v>
      </c>
      <c r="B39">
        <v>45</v>
      </c>
      <c r="C39">
        <v>7</v>
      </c>
      <c r="D39">
        <v>8165</v>
      </c>
      <c r="E39">
        <v>5250</v>
      </c>
      <c r="F39">
        <v>3269</v>
      </c>
      <c r="G39">
        <v>8.2550505050505052</v>
      </c>
      <c r="H39">
        <v>396</v>
      </c>
      <c r="I39">
        <v>0.1211379626797186</v>
      </c>
      <c r="J39">
        <v>21.44192975674552</v>
      </c>
      <c r="K39">
        <v>3.98034615392524</v>
      </c>
      <c r="L39">
        <v>402.02750359644801</v>
      </c>
      <c r="M39">
        <v>5.5529551300340216</v>
      </c>
    </row>
    <row r="40" spans="1:13">
      <c r="A40" t="s">
        <v>16</v>
      </c>
      <c r="B40">
        <v>45</v>
      </c>
      <c r="C40">
        <v>8</v>
      </c>
      <c r="D40">
        <v>8138</v>
      </c>
      <c r="E40">
        <v>5229</v>
      </c>
      <c r="F40">
        <v>3309</v>
      </c>
      <c r="G40">
        <v>8.2932330827067666</v>
      </c>
      <c r="H40">
        <v>399</v>
      </c>
      <c r="I40">
        <v>0.1205802357207616</v>
      </c>
      <c r="J40">
        <v>22.04625382784835</v>
      </c>
      <c r="K40">
        <v>3.9633545694744998</v>
      </c>
      <c r="L40">
        <v>396.82380229039802</v>
      </c>
      <c r="M40">
        <v>5.8601697863876607</v>
      </c>
    </row>
    <row r="41" spans="1:13">
      <c r="A41" t="s">
        <v>16</v>
      </c>
      <c r="B41">
        <v>45</v>
      </c>
      <c r="C41">
        <v>9</v>
      </c>
      <c r="D41">
        <v>8178</v>
      </c>
      <c r="E41">
        <v>5291</v>
      </c>
      <c r="F41">
        <v>3341</v>
      </c>
      <c r="G41">
        <v>8.5666666666666664</v>
      </c>
      <c r="H41">
        <v>390</v>
      </c>
      <c r="I41">
        <v>0.1167315175097276</v>
      </c>
      <c r="J41">
        <v>21.68727788698866</v>
      </c>
      <c r="K41">
        <v>3.9289278015228399</v>
      </c>
      <c r="L41">
        <v>398.66777777777702</v>
      </c>
      <c r="M41">
        <v>5.4114442205438209</v>
      </c>
    </row>
    <row r="42" spans="1:13">
      <c r="A42" t="s">
        <v>17</v>
      </c>
      <c r="B42">
        <v>45</v>
      </c>
      <c r="C42">
        <v>0</v>
      </c>
      <c r="D42">
        <v>8024</v>
      </c>
      <c r="E42">
        <v>5240</v>
      </c>
      <c r="F42">
        <v>3399</v>
      </c>
      <c r="G42">
        <v>4.2754716981132077</v>
      </c>
      <c r="H42">
        <v>795</v>
      </c>
      <c r="I42">
        <v>0.23389232127096199</v>
      </c>
      <c r="J42">
        <v>31.10178524195592</v>
      </c>
      <c r="K42">
        <v>5.6510478540911704</v>
      </c>
      <c r="L42">
        <v>290.86194084798501</v>
      </c>
      <c r="M42">
        <v>7.1842423656699692</v>
      </c>
    </row>
    <row r="43" spans="1:13">
      <c r="A43" t="s">
        <v>17</v>
      </c>
      <c r="B43">
        <v>45</v>
      </c>
      <c r="C43">
        <v>1</v>
      </c>
      <c r="D43">
        <v>8037</v>
      </c>
      <c r="E43">
        <v>5202</v>
      </c>
      <c r="F43">
        <v>3356</v>
      </c>
      <c r="G43">
        <v>4.2970550576184383</v>
      </c>
      <c r="H43">
        <v>781</v>
      </c>
      <c r="I43">
        <v>0.23271752085816449</v>
      </c>
      <c r="J43">
        <v>30.64011563499097</v>
      </c>
      <c r="K43">
        <v>5.6525270221233903</v>
      </c>
      <c r="L43">
        <v>297.566666666679</v>
      </c>
      <c r="M43">
        <v>7.0359396960737746</v>
      </c>
    </row>
    <row r="44" spans="1:13">
      <c r="A44" t="s">
        <v>17</v>
      </c>
      <c r="B44">
        <v>45</v>
      </c>
      <c r="C44">
        <v>2</v>
      </c>
      <c r="D44">
        <v>8041</v>
      </c>
      <c r="E44">
        <v>5183</v>
      </c>
      <c r="F44">
        <v>3327</v>
      </c>
      <c r="G44">
        <v>4.1074074074074076</v>
      </c>
      <c r="H44">
        <v>810</v>
      </c>
      <c r="I44">
        <v>0.2434625788999098</v>
      </c>
      <c r="J44">
        <v>31.581501101223608</v>
      </c>
      <c r="K44">
        <v>5.8523734893830497</v>
      </c>
      <c r="L44">
        <v>285.42139248535602</v>
      </c>
      <c r="M44">
        <v>6.9851366252317071</v>
      </c>
    </row>
    <row r="45" spans="1:13">
      <c r="A45" t="s">
        <v>17</v>
      </c>
      <c r="B45">
        <v>45</v>
      </c>
      <c r="C45">
        <v>3</v>
      </c>
      <c r="D45">
        <v>7925</v>
      </c>
      <c r="E45">
        <v>5156</v>
      </c>
      <c r="F45">
        <v>3353</v>
      </c>
      <c r="G45">
        <v>3.9727488151658772</v>
      </c>
      <c r="H45">
        <v>844</v>
      </c>
      <c r="I45">
        <v>0.25171488219504923</v>
      </c>
      <c r="J45">
        <v>31.981164656205198</v>
      </c>
      <c r="K45">
        <v>5.9725868898449903</v>
      </c>
      <c r="L45">
        <v>273.21574313836402</v>
      </c>
      <c r="M45">
        <v>8.3484512784726483</v>
      </c>
    </row>
    <row r="46" spans="1:13">
      <c r="A46" t="s">
        <v>17</v>
      </c>
      <c r="B46">
        <v>45</v>
      </c>
      <c r="C46">
        <v>4</v>
      </c>
      <c r="D46">
        <v>8144</v>
      </c>
      <c r="E46">
        <v>5227</v>
      </c>
      <c r="F46">
        <v>3383</v>
      </c>
      <c r="G46">
        <v>4.4571805006587617</v>
      </c>
      <c r="H46">
        <v>759</v>
      </c>
      <c r="I46">
        <v>0.22435707951522321</v>
      </c>
      <c r="J46">
        <v>30.451012890169309</v>
      </c>
      <c r="K46">
        <v>5.5180233695633198</v>
      </c>
      <c r="L46">
        <v>296.65287876211897</v>
      </c>
      <c r="M46">
        <v>5.7929841148421977</v>
      </c>
    </row>
    <row r="47" spans="1:13">
      <c r="A47" t="s">
        <v>17</v>
      </c>
      <c r="B47">
        <v>45</v>
      </c>
      <c r="C47">
        <v>5</v>
      </c>
      <c r="D47">
        <v>8073</v>
      </c>
      <c r="E47">
        <v>5306</v>
      </c>
      <c r="F47">
        <v>3444</v>
      </c>
      <c r="G47">
        <v>4.5196850393700787</v>
      </c>
      <c r="H47">
        <v>762</v>
      </c>
      <c r="I47">
        <v>0.22125435540069691</v>
      </c>
      <c r="J47">
        <v>30.086487559148889</v>
      </c>
      <c r="K47">
        <v>5.4427756589582401</v>
      </c>
      <c r="L47">
        <v>287.59509379140098</v>
      </c>
      <c r="M47">
        <v>6.6164742412780946</v>
      </c>
    </row>
    <row r="48" spans="1:13">
      <c r="A48" t="s">
        <v>17</v>
      </c>
      <c r="B48">
        <v>45</v>
      </c>
      <c r="C48">
        <v>6</v>
      </c>
      <c r="D48">
        <v>8023</v>
      </c>
      <c r="E48">
        <v>5228</v>
      </c>
      <c r="F48">
        <v>3393</v>
      </c>
      <c r="G48">
        <v>4.1378048780487804</v>
      </c>
      <c r="H48">
        <v>820</v>
      </c>
      <c r="I48">
        <v>0.24167403477748309</v>
      </c>
      <c r="J48">
        <v>31.36764285376071</v>
      </c>
      <c r="K48">
        <v>5.7980261754925797</v>
      </c>
      <c r="L48">
        <v>277.45731601362297</v>
      </c>
      <c r="M48">
        <v>7.1991807874551261</v>
      </c>
    </row>
    <row r="49" spans="1:13">
      <c r="A49" t="s">
        <v>17</v>
      </c>
      <c r="B49">
        <v>45</v>
      </c>
      <c r="C49">
        <v>7</v>
      </c>
      <c r="D49">
        <v>8003</v>
      </c>
      <c r="E49">
        <v>5173</v>
      </c>
      <c r="F49">
        <v>3312</v>
      </c>
      <c r="G49">
        <v>4.0096852300242132</v>
      </c>
      <c r="H49">
        <v>826</v>
      </c>
      <c r="I49">
        <v>0.24939613526570051</v>
      </c>
      <c r="J49">
        <v>31.362161152797022</v>
      </c>
      <c r="K49">
        <v>5.8939272177507798</v>
      </c>
      <c r="L49">
        <v>277.75120490251902</v>
      </c>
      <c r="M49">
        <v>7.4412430771356419</v>
      </c>
    </row>
    <row r="50" spans="1:13">
      <c r="A50" t="s">
        <v>17</v>
      </c>
      <c r="B50">
        <v>45</v>
      </c>
      <c r="C50">
        <v>8</v>
      </c>
      <c r="D50">
        <v>8066</v>
      </c>
      <c r="E50">
        <v>5177</v>
      </c>
      <c r="F50">
        <v>3339</v>
      </c>
      <c r="G50">
        <v>4.2535031847133764</v>
      </c>
      <c r="H50">
        <v>785</v>
      </c>
      <c r="I50">
        <v>0.2351003294399521</v>
      </c>
      <c r="J50">
        <v>30.927578251747729</v>
      </c>
      <c r="K50">
        <v>5.68278023826677</v>
      </c>
      <c r="L50">
        <v>281.29361470758499</v>
      </c>
      <c r="M50">
        <v>6.7198269816143386</v>
      </c>
    </row>
    <row r="51" spans="1:13">
      <c r="A51" t="s">
        <v>17</v>
      </c>
      <c r="B51">
        <v>45</v>
      </c>
      <c r="C51">
        <v>9</v>
      </c>
      <c r="D51">
        <v>7929</v>
      </c>
      <c r="E51">
        <v>5151</v>
      </c>
      <c r="F51">
        <v>3369</v>
      </c>
      <c r="G51">
        <v>3.8993055555555549</v>
      </c>
      <c r="H51">
        <v>864</v>
      </c>
      <c r="I51">
        <v>0.25645592163846842</v>
      </c>
      <c r="J51">
        <v>32.557360327633077</v>
      </c>
      <c r="K51">
        <v>6.0252319278531496</v>
      </c>
      <c r="L51">
        <v>258.69296536061302</v>
      </c>
      <c r="M51">
        <v>8.2846688435735683</v>
      </c>
    </row>
    <row r="52" spans="1:13">
      <c r="A52" t="s">
        <v>18</v>
      </c>
      <c r="B52">
        <v>45</v>
      </c>
      <c r="C52">
        <v>0</v>
      </c>
      <c r="D52">
        <v>8113</v>
      </c>
      <c r="E52">
        <v>5307</v>
      </c>
      <c r="F52">
        <v>3396</v>
      </c>
      <c r="G52">
        <v>7.6486486486486482</v>
      </c>
      <c r="H52">
        <v>444</v>
      </c>
      <c r="I52">
        <v>0.13074204946996471</v>
      </c>
      <c r="J52">
        <v>22.619240992094969</v>
      </c>
      <c r="K52">
        <v>4.0771004380123097</v>
      </c>
      <c r="L52">
        <v>369.46989901566099</v>
      </c>
      <c r="M52">
        <v>6.1580256933285957</v>
      </c>
    </row>
    <row r="53" spans="1:13">
      <c r="A53" t="s">
        <v>18</v>
      </c>
      <c r="B53">
        <v>45</v>
      </c>
      <c r="C53">
        <v>1</v>
      </c>
      <c r="D53">
        <v>8226</v>
      </c>
      <c r="E53">
        <v>5277</v>
      </c>
      <c r="F53">
        <v>3313</v>
      </c>
      <c r="G53">
        <v>7.3296460176991154</v>
      </c>
      <c r="H53">
        <v>452</v>
      </c>
      <c r="I53">
        <v>0.1364322366435255</v>
      </c>
      <c r="J53">
        <v>22.663067741889328</v>
      </c>
      <c r="K53">
        <v>4.1491178812709499</v>
      </c>
      <c r="L53">
        <v>398.17592352828098</v>
      </c>
      <c r="M53">
        <v>4.8524893939402656</v>
      </c>
    </row>
    <row r="54" spans="1:13">
      <c r="A54" t="s">
        <v>18</v>
      </c>
      <c r="B54">
        <v>45</v>
      </c>
      <c r="C54">
        <v>2</v>
      </c>
      <c r="D54">
        <v>8094</v>
      </c>
      <c r="E54">
        <v>5272</v>
      </c>
      <c r="F54">
        <v>3285</v>
      </c>
      <c r="G54">
        <v>7.0797413793103452</v>
      </c>
      <c r="H54">
        <v>464</v>
      </c>
      <c r="I54">
        <v>0.14124809741248101</v>
      </c>
      <c r="J54">
        <v>23.01631089719082</v>
      </c>
      <c r="K54">
        <v>4.2911980762709296</v>
      </c>
      <c r="L54">
        <v>378.69601731971102</v>
      </c>
      <c r="M54">
        <v>6.3933316374269227</v>
      </c>
    </row>
    <row r="55" spans="1:13">
      <c r="A55" t="s">
        <v>18</v>
      </c>
      <c r="B55">
        <v>45</v>
      </c>
      <c r="C55">
        <v>3</v>
      </c>
      <c r="D55">
        <v>8131</v>
      </c>
      <c r="E55">
        <v>5269</v>
      </c>
      <c r="F55">
        <v>3382</v>
      </c>
      <c r="G55">
        <v>7.1350210970464136</v>
      </c>
      <c r="H55">
        <v>474</v>
      </c>
      <c r="I55">
        <v>0.140153755174453</v>
      </c>
      <c r="J55">
        <v>23.57866995496337</v>
      </c>
      <c r="K55">
        <v>4.19056802044335</v>
      </c>
      <c r="L55">
        <v>377.04509379143002</v>
      </c>
      <c r="M55">
        <v>5.9656619852245374</v>
      </c>
    </row>
    <row r="56" spans="1:13">
      <c r="A56" t="s">
        <v>18</v>
      </c>
      <c r="B56">
        <v>45</v>
      </c>
      <c r="C56">
        <v>4</v>
      </c>
      <c r="D56">
        <v>8173</v>
      </c>
      <c r="E56">
        <v>5272</v>
      </c>
      <c r="F56">
        <v>3315</v>
      </c>
      <c r="G56">
        <v>6.90625</v>
      </c>
      <c r="H56">
        <v>480</v>
      </c>
      <c r="I56">
        <v>0.14479638009049781</v>
      </c>
      <c r="J56">
        <v>23.944292894596551</v>
      </c>
      <c r="K56">
        <v>4.3691726351681499</v>
      </c>
      <c r="L56">
        <v>384.45000000002199</v>
      </c>
      <c r="M56">
        <v>5.4730865026778019</v>
      </c>
    </row>
    <row r="57" spans="1:13">
      <c r="A57" t="s">
        <v>18</v>
      </c>
      <c r="B57">
        <v>45</v>
      </c>
      <c r="C57">
        <v>5</v>
      </c>
      <c r="D57">
        <v>8049</v>
      </c>
      <c r="E57">
        <v>5291</v>
      </c>
      <c r="F57">
        <v>3405</v>
      </c>
      <c r="G57">
        <v>7.2756410256410264</v>
      </c>
      <c r="H57">
        <v>468</v>
      </c>
      <c r="I57">
        <v>0.13744493392070481</v>
      </c>
      <c r="J57">
        <v>23.037637142708181</v>
      </c>
      <c r="K57">
        <v>4.0980419567058002</v>
      </c>
      <c r="L57">
        <v>365.51175326521098</v>
      </c>
      <c r="M57">
        <v>6.8931693672854957</v>
      </c>
    </row>
    <row r="58" spans="1:13">
      <c r="A58" t="s">
        <v>18</v>
      </c>
      <c r="B58">
        <v>45</v>
      </c>
      <c r="C58">
        <v>6</v>
      </c>
      <c r="D58">
        <v>8159</v>
      </c>
      <c r="E58">
        <v>5281</v>
      </c>
      <c r="F58">
        <v>3345</v>
      </c>
      <c r="G58">
        <v>6.911157024793388</v>
      </c>
      <c r="H58">
        <v>484</v>
      </c>
      <c r="I58">
        <v>0.14469357249626311</v>
      </c>
      <c r="J58">
        <v>23.61236270190475</v>
      </c>
      <c r="K58">
        <v>4.3313343390988104</v>
      </c>
      <c r="L58">
        <v>376.238239541957</v>
      </c>
      <c r="M58">
        <v>5.6382053838404653</v>
      </c>
    </row>
    <row r="59" spans="1:13">
      <c r="A59" t="s">
        <v>18</v>
      </c>
      <c r="B59">
        <v>45</v>
      </c>
      <c r="C59">
        <v>7</v>
      </c>
      <c r="D59">
        <v>8181</v>
      </c>
      <c r="E59">
        <v>5291</v>
      </c>
      <c r="F59">
        <v>3338</v>
      </c>
      <c r="G59">
        <v>6.9397089397089404</v>
      </c>
      <c r="H59">
        <v>481</v>
      </c>
      <c r="I59">
        <v>0.14409826243259441</v>
      </c>
      <c r="J59">
        <v>23.534759661456061</v>
      </c>
      <c r="K59">
        <v>4.2930142842235197</v>
      </c>
      <c r="L59">
        <v>378.95574313838102</v>
      </c>
      <c r="M59">
        <v>5.3725881415158954</v>
      </c>
    </row>
    <row r="60" spans="1:13">
      <c r="A60" t="s">
        <v>18</v>
      </c>
      <c r="B60">
        <v>45</v>
      </c>
      <c r="C60">
        <v>8</v>
      </c>
      <c r="D60">
        <v>8123</v>
      </c>
      <c r="E60">
        <v>5242</v>
      </c>
      <c r="F60">
        <v>3350</v>
      </c>
      <c r="G60">
        <v>7.665903890160183</v>
      </c>
      <c r="H60">
        <v>437</v>
      </c>
      <c r="I60">
        <v>0.13044776119402979</v>
      </c>
      <c r="J60">
        <v>22.930235379028041</v>
      </c>
      <c r="K60">
        <v>4.0974077487077798</v>
      </c>
      <c r="L60">
        <v>377.42777777780202</v>
      </c>
      <c r="M60">
        <v>6.035778836162784</v>
      </c>
    </row>
    <row r="61" spans="1:13">
      <c r="A61" t="s">
        <v>18</v>
      </c>
      <c r="B61">
        <v>45</v>
      </c>
      <c r="C61">
        <v>9</v>
      </c>
      <c r="D61">
        <v>8080</v>
      </c>
      <c r="E61">
        <v>5259</v>
      </c>
      <c r="F61">
        <v>3375</v>
      </c>
      <c r="G61">
        <v>7.584269662921348</v>
      </c>
      <c r="H61">
        <v>445</v>
      </c>
      <c r="I61">
        <v>0.13185185185185189</v>
      </c>
      <c r="J61">
        <v>23.26217463206218</v>
      </c>
      <c r="K61">
        <v>4.1416714221560298</v>
      </c>
      <c r="L61">
        <v>373.15833333335001</v>
      </c>
      <c r="M61">
        <v>6.5509434865135461</v>
      </c>
    </row>
    <row r="62" spans="1:13">
      <c r="A62" t="s">
        <v>19</v>
      </c>
      <c r="B62">
        <v>45</v>
      </c>
      <c r="C62">
        <v>0</v>
      </c>
      <c r="D62">
        <v>8061</v>
      </c>
      <c r="E62">
        <v>5265</v>
      </c>
      <c r="F62">
        <v>3343</v>
      </c>
      <c r="G62">
        <v>8.3159203980099505</v>
      </c>
      <c r="H62">
        <v>402</v>
      </c>
      <c r="I62">
        <v>0.1202512713131917</v>
      </c>
      <c r="J62">
        <v>21.98411289694188</v>
      </c>
      <c r="K62">
        <v>3.9647353754421002</v>
      </c>
      <c r="L62">
        <v>396.52064934695198</v>
      </c>
      <c r="M62">
        <v>6.7373578374869094</v>
      </c>
    </row>
    <row r="63" spans="1:13">
      <c r="A63" t="s">
        <v>19</v>
      </c>
      <c r="B63">
        <v>45</v>
      </c>
      <c r="C63">
        <v>1</v>
      </c>
      <c r="D63">
        <v>8216</v>
      </c>
      <c r="E63">
        <v>5301</v>
      </c>
      <c r="F63">
        <v>3330</v>
      </c>
      <c r="G63">
        <v>8.4517766497461935</v>
      </c>
      <c r="H63">
        <v>394</v>
      </c>
      <c r="I63">
        <v>0.11831831831831829</v>
      </c>
      <c r="J63">
        <v>21.5536907380149</v>
      </c>
      <c r="K63">
        <v>3.8956570329039302</v>
      </c>
      <c r="L63">
        <v>406.14731601365401</v>
      </c>
      <c r="M63">
        <v>4.9771251948753958</v>
      </c>
    </row>
    <row r="64" spans="1:13">
      <c r="A64" t="s">
        <v>19</v>
      </c>
      <c r="B64">
        <v>45</v>
      </c>
      <c r="C64">
        <v>2</v>
      </c>
      <c r="D64">
        <v>8140</v>
      </c>
      <c r="E64">
        <v>5253</v>
      </c>
      <c r="F64">
        <v>3247</v>
      </c>
      <c r="G64">
        <v>8.4557291666666661</v>
      </c>
      <c r="H64">
        <v>384</v>
      </c>
      <c r="I64">
        <v>0.1182630120110872</v>
      </c>
      <c r="J64">
        <v>21.393125486000379</v>
      </c>
      <c r="K64">
        <v>3.9550945624009799</v>
      </c>
      <c r="L64">
        <v>412.05833333333499</v>
      </c>
      <c r="M64">
        <v>5.8609306104363146</v>
      </c>
    </row>
    <row r="65" spans="1:13">
      <c r="A65" t="s">
        <v>19</v>
      </c>
      <c r="B65">
        <v>45</v>
      </c>
      <c r="C65">
        <v>3</v>
      </c>
      <c r="D65">
        <v>8161</v>
      </c>
      <c r="E65">
        <v>5314</v>
      </c>
      <c r="F65">
        <v>3339</v>
      </c>
      <c r="G65">
        <v>8.2444444444444436</v>
      </c>
      <c r="H65">
        <v>405</v>
      </c>
      <c r="I65">
        <v>0.1212938005390836</v>
      </c>
      <c r="J65">
        <v>21.379936379639439</v>
      </c>
      <c r="K65">
        <v>3.9003463243036398</v>
      </c>
      <c r="L65">
        <v>404.65398268030202</v>
      </c>
      <c r="M65">
        <v>5.6091506741605626</v>
      </c>
    </row>
    <row r="66" spans="1:13">
      <c r="A66" t="s">
        <v>19</v>
      </c>
      <c r="B66">
        <v>45</v>
      </c>
      <c r="C66">
        <v>4</v>
      </c>
      <c r="D66">
        <v>8147</v>
      </c>
      <c r="E66">
        <v>5256</v>
      </c>
      <c r="F66">
        <v>3279</v>
      </c>
      <c r="G66">
        <v>8.156716417910447</v>
      </c>
      <c r="H66">
        <v>402</v>
      </c>
      <c r="I66">
        <v>0.1225983531564501</v>
      </c>
      <c r="J66">
        <v>21.919283233947109</v>
      </c>
      <c r="K66">
        <v>4.0125867545940803</v>
      </c>
      <c r="L66">
        <v>394.61888888889598</v>
      </c>
      <c r="M66">
        <v>5.7777726420707047</v>
      </c>
    </row>
    <row r="67" spans="1:13">
      <c r="A67" t="s">
        <v>19</v>
      </c>
      <c r="B67">
        <v>45</v>
      </c>
      <c r="C67">
        <v>5</v>
      </c>
      <c r="D67">
        <v>8150</v>
      </c>
      <c r="E67">
        <v>5392</v>
      </c>
      <c r="F67">
        <v>3393</v>
      </c>
      <c r="G67">
        <v>8.2554744525547452</v>
      </c>
      <c r="H67">
        <v>411</v>
      </c>
      <c r="I67">
        <v>0.12113174182139699</v>
      </c>
      <c r="J67">
        <v>21.270346033910609</v>
      </c>
      <c r="K67">
        <v>3.9047869393777601</v>
      </c>
      <c r="L67">
        <v>375.546392485372</v>
      </c>
      <c r="M67">
        <v>5.7197666810841099</v>
      </c>
    </row>
    <row r="68" spans="1:13">
      <c r="A68" t="s">
        <v>19</v>
      </c>
      <c r="B68">
        <v>45</v>
      </c>
      <c r="C68">
        <v>6</v>
      </c>
      <c r="D68">
        <v>8174</v>
      </c>
      <c r="E68">
        <v>5295</v>
      </c>
      <c r="F68">
        <v>3343</v>
      </c>
      <c r="G68">
        <v>8.5280612244897966</v>
      </c>
      <c r="H68">
        <v>392</v>
      </c>
      <c r="I68">
        <v>0.1172599461561472</v>
      </c>
      <c r="J68">
        <v>21.35536519217262</v>
      </c>
      <c r="K68">
        <v>3.8886185829208499</v>
      </c>
      <c r="L68">
        <v>407.48101731969803</v>
      </c>
      <c r="M68">
        <v>5.4341277604272564</v>
      </c>
    </row>
    <row r="69" spans="1:13">
      <c r="A69" t="s">
        <v>19</v>
      </c>
      <c r="B69">
        <v>45</v>
      </c>
      <c r="C69">
        <v>7</v>
      </c>
      <c r="D69">
        <v>8165</v>
      </c>
      <c r="E69">
        <v>5250</v>
      </c>
      <c r="F69">
        <v>3269</v>
      </c>
      <c r="G69">
        <v>8.2550505050505052</v>
      </c>
      <c r="H69">
        <v>396</v>
      </c>
      <c r="I69">
        <v>0.1211379626797186</v>
      </c>
      <c r="J69">
        <v>21.44192975674552</v>
      </c>
      <c r="K69">
        <v>3.98034615392524</v>
      </c>
      <c r="L69">
        <v>402.02750359644801</v>
      </c>
      <c r="M69">
        <v>5.5529551300340216</v>
      </c>
    </row>
    <row r="70" spans="1:13">
      <c r="A70" t="s">
        <v>19</v>
      </c>
      <c r="B70">
        <v>45</v>
      </c>
      <c r="C70">
        <v>8</v>
      </c>
      <c r="D70">
        <v>8143</v>
      </c>
      <c r="E70">
        <v>5277</v>
      </c>
      <c r="F70">
        <v>3331</v>
      </c>
      <c r="G70">
        <v>8.4116161616161609</v>
      </c>
      <c r="H70">
        <v>396</v>
      </c>
      <c r="I70">
        <v>0.1188832182527769</v>
      </c>
      <c r="J70">
        <v>21.616256633506922</v>
      </c>
      <c r="K70">
        <v>3.9236284111741102</v>
      </c>
      <c r="L70">
        <v>402.74018758284501</v>
      </c>
      <c r="M70">
        <v>5.8060751611577084</v>
      </c>
    </row>
    <row r="71" spans="1:13">
      <c r="A71" t="s">
        <v>19</v>
      </c>
      <c r="B71">
        <v>45</v>
      </c>
      <c r="C71">
        <v>9</v>
      </c>
      <c r="D71">
        <v>8156</v>
      </c>
      <c r="E71">
        <v>5293</v>
      </c>
      <c r="F71">
        <v>3360</v>
      </c>
      <c r="G71">
        <v>8.5496183206106871</v>
      </c>
      <c r="H71">
        <v>393</v>
      </c>
      <c r="I71">
        <v>0.1169642857142857</v>
      </c>
      <c r="J71">
        <v>21.797279578212731</v>
      </c>
      <c r="K71">
        <v>3.94987305220763</v>
      </c>
      <c r="L71">
        <v>388.55277777777798</v>
      </c>
      <c r="M71">
        <v>5.6616050128718411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1"/>
  <sheetViews>
    <sheetView workbookViewId="0"/>
  </sheetViews>
  <sheetFormatPr defaultRowHeight="15.75"/>
  <cols>
    <col min="1" max="5" width="18" customWidth="1"/>
  </cols>
  <sheetData>
    <row r="1" spans="1:5">
      <c r="A1" t="s">
        <v>20</v>
      </c>
      <c r="B1" t="s">
        <v>21</v>
      </c>
      <c r="C1" t="s">
        <v>22</v>
      </c>
      <c r="D1" t="s">
        <v>23</v>
      </c>
      <c r="E1" t="s">
        <v>24</v>
      </c>
    </row>
    <row r="2" spans="1:5">
      <c r="A2" t="s">
        <v>25</v>
      </c>
      <c r="B2" t="s">
        <v>13</v>
      </c>
      <c r="C2" t="s">
        <v>3</v>
      </c>
      <c r="D2">
        <f>AVERAGE(per_seed!$D$2:$D$11)</f>
        <v>8151.3</v>
      </c>
      <c r="E2">
        <v>8151.3</v>
      </c>
    </row>
    <row r="3" spans="1:5">
      <c r="A3" t="s">
        <v>26</v>
      </c>
      <c r="B3" t="s">
        <v>13</v>
      </c>
      <c r="C3" t="s">
        <v>3</v>
      </c>
      <c r="D3">
        <f>_xlfn.STDEV.S(per_seed!$D$2:$D$11)</f>
        <v>38.551696893046525</v>
      </c>
      <c r="E3">
        <v>38.551696893046532</v>
      </c>
    </row>
    <row r="4" spans="1:5">
      <c r="A4" t="s">
        <v>25</v>
      </c>
      <c r="B4" t="s">
        <v>13</v>
      </c>
      <c r="C4" t="s">
        <v>4</v>
      </c>
      <c r="D4">
        <f>AVERAGE(per_seed!$E$2:$E$11)</f>
        <v>5289.6</v>
      </c>
      <c r="E4">
        <v>5289.6</v>
      </c>
    </row>
    <row r="5" spans="1:5">
      <c r="A5" t="s">
        <v>26</v>
      </c>
      <c r="B5" t="s">
        <v>13</v>
      </c>
      <c r="C5" t="s">
        <v>4</v>
      </c>
      <c r="D5">
        <f>_xlfn.STDEV.S(per_seed!$E$2:$E$11)</f>
        <v>42.232688761195398</v>
      </c>
      <c r="E5">
        <v>42.232688761195398</v>
      </c>
    </row>
    <row r="6" spans="1:5">
      <c r="A6" t="s">
        <v>25</v>
      </c>
      <c r="B6" t="s">
        <v>13</v>
      </c>
      <c r="C6" t="s">
        <v>5</v>
      </c>
      <c r="D6">
        <f>AVERAGE(per_seed!$F$2:$F$11)</f>
        <v>3323.4</v>
      </c>
      <c r="E6">
        <v>3323.4</v>
      </c>
    </row>
    <row r="7" spans="1:5">
      <c r="A7" t="s">
        <v>26</v>
      </c>
      <c r="B7" t="s">
        <v>13</v>
      </c>
      <c r="C7" t="s">
        <v>5</v>
      </c>
      <c r="D7">
        <f>_xlfn.STDEV.S(per_seed!$F$2:$F$11)</f>
        <v>44.801289663976817</v>
      </c>
      <c r="E7">
        <v>44.801289663976817</v>
      </c>
    </row>
    <row r="8" spans="1:5">
      <c r="A8" t="s">
        <v>25</v>
      </c>
      <c r="B8" t="s">
        <v>13</v>
      </c>
      <c r="C8" t="s">
        <v>6</v>
      </c>
      <c r="D8">
        <f>AVERAGE(per_seed!$G$2:$G$11)</f>
        <v>8.3624407741099596</v>
      </c>
      <c r="E8">
        <v>8.3624407741099596</v>
      </c>
    </row>
    <row r="9" spans="1:5">
      <c r="A9" t="s">
        <v>26</v>
      </c>
      <c r="B9" t="s">
        <v>13</v>
      </c>
      <c r="C9" t="s">
        <v>6</v>
      </c>
      <c r="D9">
        <f>_xlfn.STDEV.S(per_seed!$G$2:$G$11)</f>
        <v>0.13455757250765801</v>
      </c>
      <c r="E9">
        <v>0.13455757250765801</v>
      </c>
    </row>
    <row r="10" spans="1:5">
      <c r="A10" t="s">
        <v>25</v>
      </c>
      <c r="B10" t="s">
        <v>13</v>
      </c>
      <c r="C10" t="s">
        <v>7</v>
      </c>
      <c r="D10">
        <f>AVERAGE(per_seed!$H$2:$H$11)</f>
        <v>397.5</v>
      </c>
      <c r="E10">
        <v>397.5</v>
      </c>
    </row>
    <row r="11" spans="1:5">
      <c r="A11" t="s">
        <v>26</v>
      </c>
      <c r="B11" t="s">
        <v>13</v>
      </c>
      <c r="C11" t="s">
        <v>7</v>
      </c>
      <c r="D11">
        <f>_xlfn.STDEV.S(per_seed!$H$2:$H$11)</f>
        <v>7.6630426217150989</v>
      </c>
      <c r="E11">
        <v>7.6630426217150989</v>
      </c>
    </row>
    <row r="12" spans="1:5">
      <c r="A12" t="s">
        <v>25</v>
      </c>
      <c r="B12" t="s">
        <v>13</v>
      </c>
      <c r="C12" t="s">
        <v>8</v>
      </c>
      <c r="D12">
        <f>AVERAGE(per_seed!$I$2:$I$11)</f>
        <v>0.11961019099624562</v>
      </c>
      <c r="E12">
        <v>0.11961019099624561</v>
      </c>
    </row>
    <row r="13" spans="1:5">
      <c r="A13" t="s">
        <v>26</v>
      </c>
      <c r="B13" t="s">
        <v>13</v>
      </c>
      <c r="C13" t="s">
        <v>8</v>
      </c>
      <c r="D13">
        <f>_xlfn.STDEV.S(per_seed!$I$2:$I$11)</f>
        <v>1.9252885083890989E-3</v>
      </c>
      <c r="E13">
        <v>1.9252885083891019E-3</v>
      </c>
    </row>
    <row r="14" spans="1:5">
      <c r="A14" t="s">
        <v>25</v>
      </c>
      <c r="B14" t="s">
        <v>13</v>
      </c>
      <c r="C14" t="s">
        <v>9</v>
      </c>
      <c r="D14">
        <f>AVERAGE(per_seed!$J$2:$J$11)</f>
        <v>21.571132592909215</v>
      </c>
      <c r="E14">
        <v>21.571132592909208</v>
      </c>
    </row>
    <row r="15" spans="1:5">
      <c r="A15" t="s">
        <v>26</v>
      </c>
      <c r="B15" t="s">
        <v>13</v>
      </c>
      <c r="C15" t="s">
        <v>9</v>
      </c>
      <c r="D15">
        <f>_xlfn.STDEV.S(per_seed!$J$2:$J$11)</f>
        <v>0.25104414771647943</v>
      </c>
      <c r="E15">
        <v>0.2510441477164792</v>
      </c>
    </row>
    <row r="16" spans="1:5">
      <c r="A16" t="s">
        <v>25</v>
      </c>
      <c r="B16" t="s">
        <v>13</v>
      </c>
      <c r="C16" t="s">
        <v>10</v>
      </c>
      <c r="D16">
        <f>AVERAGE(per_seed!$K$2:$K$11)</f>
        <v>3.9375673189250322</v>
      </c>
      <c r="E16">
        <v>3.9375673189250322</v>
      </c>
    </row>
    <row r="17" spans="1:5">
      <c r="A17" t="s">
        <v>26</v>
      </c>
      <c r="B17" t="s">
        <v>13</v>
      </c>
      <c r="C17" t="s">
        <v>10</v>
      </c>
      <c r="D17">
        <f>_xlfn.STDEV.S(per_seed!$K$2:$K$11)</f>
        <v>4.1447936266028704E-2</v>
      </c>
      <c r="E17">
        <v>4.1447936266028697E-2</v>
      </c>
    </row>
    <row r="18" spans="1:5">
      <c r="A18" t="s">
        <v>25</v>
      </c>
      <c r="B18" t="s">
        <v>13</v>
      </c>
      <c r="C18" t="s">
        <v>11</v>
      </c>
      <c r="D18">
        <f>AVERAGE(per_seed!$L$2:$L$11)</f>
        <v>399.03470490252801</v>
      </c>
      <c r="E18">
        <v>399.03470490252801</v>
      </c>
    </row>
    <row r="19" spans="1:5">
      <c r="A19" t="s">
        <v>26</v>
      </c>
      <c r="B19" t="s">
        <v>13</v>
      </c>
      <c r="C19" t="s">
        <v>11</v>
      </c>
      <c r="D19">
        <f>_xlfn.STDEV.S(per_seed!$L$2:$L$11)</f>
        <v>10.714474007350928</v>
      </c>
      <c r="E19">
        <v>10.71447400735093</v>
      </c>
    </row>
    <row r="20" spans="1:5">
      <c r="A20" t="s">
        <v>25</v>
      </c>
      <c r="B20" t="s">
        <v>13</v>
      </c>
      <c r="C20" t="s">
        <v>12</v>
      </c>
      <c r="D20">
        <f>AVERAGE(per_seed!$M$2:$M$11)</f>
        <v>5.7136866704604827</v>
      </c>
      <c r="E20">
        <v>5.7136866704604818</v>
      </c>
    </row>
    <row r="21" spans="1:5">
      <c r="A21" t="s">
        <v>26</v>
      </c>
      <c r="B21" t="s">
        <v>13</v>
      </c>
      <c r="C21" t="s">
        <v>12</v>
      </c>
      <c r="D21">
        <f>_xlfn.STDEV.S(per_seed!$M$2:$M$11)</f>
        <v>0.44000176018878739</v>
      </c>
      <c r="E21">
        <v>0.44000176018878723</v>
      </c>
    </row>
    <row r="22" spans="1:5">
      <c r="A22" t="s">
        <v>25</v>
      </c>
      <c r="B22" t="s">
        <v>14</v>
      </c>
      <c r="C22" t="s">
        <v>3</v>
      </c>
      <c r="D22">
        <f>AVERAGE(per_seed!$D$12:$D$21)</f>
        <v>7973.1</v>
      </c>
      <c r="E22">
        <v>7973.1</v>
      </c>
    </row>
    <row r="23" spans="1:5">
      <c r="A23" t="s">
        <v>26</v>
      </c>
      <c r="B23" t="s">
        <v>14</v>
      </c>
      <c r="C23" t="s">
        <v>3</v>
      </c>
      <c r="D23">
        <f>_xlfn.STDEV.S(per_seed!$D$12:$D$21)</f>
        <v>42.243868720140263</v>
      </c>
      <c r="E23">
        <v>42.243868720140263</v>
      </c>
    </row>
    <row r="24" spans="1:5">
      <c r="A24" t="s">
        <v>25</v>
      </c>
      <c r="B24" t="s">
        <v>14</v>
      </c>
      <c r="C24" t="s">
        <v>4</v>
      </c>
      <c r="D24">
        <f>AVERAGE(per_seed!$E$12:$E$21)</f>
        <v>5160.3999999999996</v>
      </c>
      <c r="E24">
        <v>5160.3999999999996</v>
      </c>
    </row>
    <row r="25" spans="1:5">
      <c r="A25" t="s">
        <v>26</v>
      </c>
      <c r="B25" t="s">
        <v>14</v>
      </c>
      <c r="C25" t="s">
        <v>4</v>
      </c>
      <c r="D25">
        <f>_xlfn.STDEV.S(per_seed!$E$12:$E$21)</f>
        <v>30.923561674986061</v>
      </c>
      <c r="E25">
        <v>30.923561674986061</v>
      </c>
    </row>
    <row r="26" spans="1:5">
      <c r="A26" t="s">
        <v>25</v>
      </c>
      <c r="B26" t="s">
        <v>14</v>
      </c>
      <c r="C26" t="s">
        <v>5</v>
      </c>
      <c r="D26">
        <f>AVERAGE(per_seed!$F$12:$F$21)</f>
        <v>3347.9</v>
      </c>
      <c r="E26">
        <v>3347.9</v>
      </c>
    </row>
    <row r="27" spans="1:5">
      <c r="A27" t="s">
        <v>26</v>
      </c>
      <c r="B27" t="s">
        <v>14</v>
      </c>
      <c r="C27" t="s">
        <v>5</v>
      </c>
      <c r="D27">
        <f>_xlfn.STDEV.S(per_seed!$F$12:$F$21)</f>
        <v>26.001923005808631</v>
      </c>
      <c r="E27">
        <v>26.001923005808631</v>
      </c>
    </row>
    <row r="28" spans="1:5">
      <c r="A28" t="s">
        <v>25</v>
      </c>
      <c r="B28" t="s">
        <v>14</v>
      </c>
      <c r="C28" t="s">
        <v>6</v>
      </c>
      <c r="D28">
        <f>AVERAGE(per_seed!$G$12:$G$21)</f>
        <v>5.150910621755008</v>
      </c>
      <c r="E28">
        <v>5.150910621755008</v>
      </c>
    </row>
    <row r="29" spans="1:5">
      <c r="A29" t="s">
        <v>26</v>
      </c>
      <c r="B29" t="s">
        <v>14</v>
      </c>
      <c r="C29" t="s">
        <v>6</v>
      </c>
      <c r="D29">
        <f>_xlfn.STDEV.S(per_seed!$G$12:$G$21)</f>
        <v>0.22283014188861275</v>
      </c>
      <c r="E29">
        <v>0.22283014188861269</v>
      </c>
    </row>
    <row r="30" spans="1:5">
      <c r="A30" t="s">
        <v>25</v>
      </c>
      <c r="B30" t="s">
        <v>14</v>
      </c>
      <c r="C30" t="s">
        <v>7</v>
      </c>
      <c r="D30">
        <f>AVERAGE(per_seed!$H$12:$H$21)</f>
        <v>651</v>
      </c>
      <c r="E30">
        <v>651</v>
      </c>
    </row>
    <row r="31" spans="1:5">
      <c r="A31" t="s">
        <v>26</v>
      </c>
      <c r="B31" t="s">
        <v>14</v>
      </c>
      <c r="C31" t="s">
        <v>7</v>
      </c>
      <c r="D31">
        <f>_xlfn.STDEV.S(per_seed!$H$12:$H$21)</f>
        <v>27.076024654869684</v>
      </c>
      <c r="E31">
        <v>27.076024654869681</v>
      </c>
    </row>
    <row r="32" spans="1:5">
      <c r="A32" t="s">
        <v>25</v>
      </c>
      <c r="B32" t="s">
        <v>14</v>
      </c>
      <c r="C32" t="s">
        <v>8</v>
      </c>
      <c r="D32">
        <f>AVERAGE(per_seed!$I$12:$I$21)</f>
        <v>0.19448785998257656</v>
      </c>
      <c r="E32">
        <v>0.19448785998257659</v>
      </c>
    </row>
    <row r="33" spans="1:5">
      <c r="A33" t="s">
        <v>26</v>
      </c>
      <c r="B33" t="s">
        <v>14</v>
      </c>
      <c r="C33" t="s">
        <v>8</v>
      </c>
      <c r="D33">
        <f>_xlfn.STDEV.S(per_seed!$I$12:$I$21)</f>
        <v>8.9385464774210735E-3</v>
      </c>
      <c r="E33">
        <v>8.93854647742107E-3</v>
      </c>
    </row>
    <row r="34" spans="1:5">
      <c r="A34" t="s">
        <v>25</v>
      </c>
      <c r="B34" t="s">
        <v>14</v>
      </c>
      <c r="C34" t="s">
        <v>9</v>
      </c>
      <c r="D34">
        <f>AVERAGE(per_seed!$J$12:$J$21)</f>
        <v>27.443527147556761</v>
      </c>
      <c r="E34">
        <v>27.443527147556761</v>
      </c>
    </row>
    <row r="35" spans="1:5">
      <c r="A35" t="s">
        <v>26</v>
      </c>
      <c r="B35" t="s">
        <v>14</v>
      </c>
      <c r="C35" t="s">
        <v>9</v>
      </c>
      <c r="D35">
        <f>_xlfn.STDEV.S(per_seed!$J$12:$J$21)</f>
        <v>0.60390715661748362</v>
      </c>
      <c r="E35">
        <v>0.60390715661748218</v>
      </c>
    </row>
    <row r="36" spans="1:5">
      <c r="A36" t="s">
        <v>25</v>
      </c>
      <c r="B36" t="s">
        <v>14</v>
      </c>
      <c r="C36" t="s">
        <v>10</v>
      </c>
      <c r="D36">
        <f>AVERAGE(per_seed!$K$12:$K$21)</f>
        <v>4.81462212873471</v>
      </c>
      <c r="E36">
        <v>4.81462212873471</v>
      </c>
    </row>
    <row r="37" spans="1:5">
      <c r="A37" t="s">
        <v>26</v>
      </c>
      <c r="B37" t="s">
        <v>14</v>
      </c>
      <c r="C37" t="s">
        <v>10</v>
      </c>
      <c r="D37">
        <f>_xlfn.STDEV.S(per_seed!$K$12:$K$21)</f>
        <v>0.11747636157272395</v>
      </c>
      <c r="E37">
        <v>0.11747636157272399</v>
      </c>
    </row>
    <row r="38" spans="1:5">
      <c r="A38" t="s">
        <v>25</v>
      </c>
      <c r="B38" t="s">
        <v>14</v>
      </c>
      <c r="C38" t="s">
        <v>11</v>
      </c>
      <c r="D38">
        <f>AVERAGE(per_seed!$L$12:$L$21)</f>
        <v>314.60958369298226</v>
      </c>
      <c r="E38">
        <v>314.60958369298231</v>
      </c>
    </row>
    <row r="39" spans="1:5">
      <c r="A39" t="s">
        <v>26</v>
      </c>
      <c r="B39" t="s">
        <v>14</v>
      </c>
      <c r="C39" t="s">
        <v>11</v>
      </c>
      <c r="D39">
        <f>_xlfn.STDEV.S(per_seed!$L$12:$L$21)</f>
        <v>9.7432988329074508</v>
      </c>
      <c r="E39">
        <v>9.7432988329074508</v>
      </c>
    </row>
    <row r="40" spans="1:5">
      <c r="A40" t="s">
        <v>25</v>
      </c>
      <c r="B40" t="s">
        <v>14</v>
      </c>
      <c r="C40" t="s">
        <v>12</v>
      </c>
      <c r="D40">
        <f>AVERAGE(per_seed!$M$12:$M$21)</f>
        <v>7.782433567095028</v>
      </c>
      <c r="E40">
        <v>7.782433567095028</v>
      </c>
    </row>
    <row r="41" spans="1:5">
      <c r="A41" t="s">
        <v>26</v>
      </c>
      <c r="B41" t="s">
        <v>14</v>
      </c>
      <c r="C41" t="s">
        <v>12</v>
      </c>
      <c r="D41">
        <f>_xlfn.STDEV.S(per_seed!$M$12:$M$21)</f>
        <v>0.48773666593891202</v>
      </c>
      <c r="E41">
        <v>0.48773666593891202</v>
      </c>
    </row>
    <row r="42" spans="1:5">
      <c r="A42" t="s">
        <v>25</v>
      </c>
      <c r="B42" t="s">
        <v>15</v>
      </c>
      <c r="C42" t="s">
        <v>3</v>
      </c>
      <c r="D42">
        <f>AVERAGE(per_seed!$D$22:$D$31)</f>
        <v>8155.5</v>
      </c>
      <c r="E42">
        <v>8155.5</v>
      </c>
    </row>
    <row r="43" spans="1:5">
      <c r="A43" t="s">
        <v>26</v>
      </c>
      <c r="B43" t="s">
        <v>15</v>
      </c>
      <c r="C43" t="s">
        <v>3</v>
      </c>
      <c r="D43">
        <f>_xlfn.STDEV.S(per_seed!$D$22:$D$31)</f>
        <v>28.032718978603082</v>
      </c>
      <c r="E43">
        <v>28.032718978603079</v>
      </c>
    </row>
    <row r="44" spans="1:5">
      <c r="A44" t="s">
        <v>25</v>
      </c>
      <c r="B44" t="s">
        <v>15</v>
      </c>
      <c r="C44" t="s">
        <v>4</v>
      </c>
      <c r="D44">
        <f>AVERAGE(per_seed!$E$22:$E$31)</f>
        <v>5282.7</v>
      </c>
      <c r="E44">
        <v>5282.7</v>
      </c>
    </row>
    <row r="45" spans="1:5">
      <c r="A45" t="s">
        <v>26</v>
      </c>
      <c r="B45" t="s">
        <v>15</v>
      </c>
      <c r="C45" t="s">
        <v>4</v>
      </c>
      <c r="D45">
        <f>_xlfn.STDEV.S(per_seed!$E$22:$E$31)</f>
        <v>28.480207552302392</v>
      </c>
      <c r="E45">
        <v>28.480207552302389</v>
      </c>
    </row>
    <row r="46" spans="1:5">
      <c r="A46" t="s">
        <v>25</v>
      </c>
      <c r="B46" t="s">
        <v>15</v>
      </c>
      <c r="C46" t="s">
        <v>5</v>
      </c>
      <c r="D46">
        <f>AVERAGE(per_seed!$F$22:$F$31)</f>
        <v>3323.1</v>
      </c>
      <c r="E46">
        <v>3323.1</v>
      </c>
    </row>
    <row r="47" spans="1:5">
      <c r="A47" t="s">
        <v>26</v>
      </c>
      <c r="B47" t="s">
        <v>15</v>
      </c>
      <c r="C47" t="s">
        <v>5</v>
      </c>
      <c r="D47">
        <f>_xlfn.STDEV.S(per_seed!$F$22:$F$31)</f>
        <v>39.5880172667325</v>
      </c>
      <c r="E47">
        <v>39.5880172667325</v>
      </c>
    </row>
    <row r="48" spans="1:5">
      <c r="A48" t="s">
        <v>25</v>
      </c>
      <c r="B48" t="s">
        <v>15</v>
      </c>
      <c r="C48" t="s">
        <v>6</v>
      </c>
      <c r="D48">
        <f>AVERAGE(per_seed!$G$22:$G$31)</f>
        <v>7.695810495492748</v>
      </c>
      <c r="E48">
        <v>7.695810495492748</v>
      </c>
    </row>
    <row r="49" spans="1:5">
      <c r="A49" t="s">
        <v>26</v>
      </c>
      <c r="B49" t="s">
        <v>15</v>
      </c>
      <c r="C49" t="s">
        <v>6</v>
      </c>
      <c r="D49">
        <f>_xlfn.STDEV.S(per_seed!$G$22:$G$31)</f>
        <v>0.24672841544540719</v>
      </c>
      <c r="E49">
        <v>0.24672841544540719</v>
      </c>
    </row>
    <row r="50" spans="1:5">
      <c r="A50" t="s">
        <v>25</v>
      </c>
      <c r="B50" t="s">
        <v>15</v>
      </c>
      <c r="C50" t="s">
        <v>7</v>
      </c>
      <c r="D50">
        <f>AVERAGE(per_seed!$H$22:$H$31)</f>
        <v>432.2</v>
      </c>
      <c r="E50">
        <v>432.2</v>
      </c>
    </row>
    <row r="51" spans="1:5">
      <c r="A51" t="s">
        <v>26</v>
      </c>
      <c r="B51" t="s">
        <v>15</v>
      </c>
      <c r="C51" t="s">
        <v>7</v>
      </c>
      <c r="D51">
        <f>_xlfn.STDEV.S(per_seed!$H$22:$H$31)</f>
        <v>14.657572938397559</v>
      </c>
      <c r="E51">
        <v>14.657572938397561</v>
      </c>
    </row>
    <row r="52" spans="1:5">
      <c r="A52" t="s">
        <v>25</v>
      </c>
      <c r="B52" t="s">
        <v>15</v>
      </c>
      <c r="C52" t="s">
        <v>8</v>
      </c>
      <c r="D52">
        <f>AVERAGE(per_seed!$I$22:$I$31)</f>
        <v>0.13006144137101089</v>
      </c>
      <c r="E52">
        <v>0.13006144137101089</v>
      </c>
    </row>
    <row r="53" spans="1:5">
      <c r="A53" t="s">
        <v>26</v>
      </c>
      <c r="B53" t="s">
        <v>15</v>
      </c>
      <c r="C53" t="s">
        <v>8</v>
      </c>
      <c r="D53">
        <f>_xlfn.STDEV.S(per_seed!$I$22:$I$31)</f>
        <v>4.1813279167956232E-3</v>
      </c>
      <c r="E53">
        <v>4.1813279167956172E-3</v>
      </c>
    </row>
    <row r="54" spans="1:5">
      <c r="A54" t="s">
        <v>25</v>
      </c>
      <c r="B54" t="s">
        <v>15</v>
      </c>
      <c r="C54" t="s">
        <v>9</v>
      </c>
      <c r="D54">
        <f>AVERAGE(per_seed!$J$22:$J$31)</f>
        <v>22.140838603459223</v>
      </c>
      <c r="E54">
        <v>22.140838603459219</v>
      </c>
    </row>
    <row r="55" spans="1:5">
      <c r="A55" t="s">
        <v>26</v>
      </c>
      <c r="B55" t="s">
        <v>15</v>
      </c>
      <c r="C55" t="s">
        <v>9</v>
      </c>
      <c r="D55">
        <f>_xlfn.STDEV.S(per_seed!$J$22:$J$31)</f>
        <v>0.23212888152985225</v>
      </c>
      <c r="E55">
        <v>0.23212888152985189</v>
      </c>
    </row>
    <row r="56" spans="1:5">
      <c r="A56" t="s">
        <v>25</v>
      </c>
      <c r="B56" t="s">
        <v>15</v>
      </c>
      <c r="C56" t="s">
        <v>10</v>
      </c>
      <c r="D56">
        <f>AVERAGE(per_seed!$K$22:$K$31)</f>
        <v>4.017036285342412</v>
      </c>
      <c r="E56">
        <v>4.017036285342412</v>
      </c>
    </row>
    <row r="57" spans="1:5">
      <c r="A57" t="s">
        <v>26</v>
      </c>
      <c r="B57" t="s">
        <v>15</v>
      </c>
      <c r="C57" t="s">
        <v>10</v>
      </c>
      <c r="D57">
        <f>_xlfn.STDEV.S(per_seed!$K$22:$K$31)</f>
        <v>5.5461812734626435E-2</v>
      </c>
      <c r="E57">
        <v>5.5461812734626442E-2</v>
      </c>
    </row>
    <row r="58" spans="1:5">
      <c r="A58" t="s">
        <v>25</v>
      </c>
      <c r="B58" t="s">
        <v>15</v>
      </c>
      <c r="C58" t="s">
        <v>11</v>
      </c>
      <c r="D58">
        <f>AVERAGE(per_seed!$L$22:$L$31)</f>
        <v>402.33498339960636</v>
      </c>
      <c r="E58">
        <v>402.3349833996063</v>
      </c>
    </row>
    <row r="59" spans="1:5">
      <c r="A59" t="s">
        <v>26</v>
      </c>
      <c r="B59" t="s">
        <v>15</v>
      </c>
      <c r="C59" t="s">
        <v>11</v>
      </c>
      <c r="D59">
        <f>_xlfn.STDEV.S(per_seed!$L$22:$L$31)</f>
        <v>8.1818043198486503</v>
      </c>
      <c r="E59">
        <v>8.1818043198486485</v>
      </c>
    </row>
    <row r="60" spans="1:5">
      <c r="A60" t="s">
        <v>25</v>
      </c>
      <c r="B60" t="s">
        <v>15</v>
      </c>
      <c r="C60" t="s">
        <v>12</v>
      </c>
      <c r="D60">
        <f>AVERAGE(per_seed!$M$22:$M$31)</f>
        <v>5.6748473685815686</v>
      </c>
      <c r="E60">
        <v>5.6748473685815686</v>
      </c>
    </row>
    <row r="61" spans="1:5">
      <c r="A61" t="s">
        <v>26</v>
      </c>
      <c r="B61" t="s">
        <v>15</v>
      </c>
      <c r="C61" t="s">
        <v>12</v>
      </c>
      <c r="D61">
        <f>_xlfn.STDEV.S(per_seed!$M$22:$M$31)</f>
        <v>0.32409117097629442</v>
      </c>
      <c r="E61">
        <v>0.32409117097629447</v>
      </c>
    </row>
    <row r="62" spans="1:5">
      <c r="A62" t="s">
        <v>25</v>
      </c>
      <c r="B62" t="s">
        <v>16</v>
      </c>
      <c r="C62" t="s">
        <v>3</v>
      </c>
      <c r="D62">
        <f>AVERAGE(per_seed!$D$32:$D$41)</f>
        <v>8154.7</v>
      </c>
      <c r="E62">
        <v>8154.7</v>
      </c>
    </row>
    <row r="63" spans="1:5">
      <c r="A63" t="s">
        <v>26</v>
      </c>
      <c r="B63" t="s">
        <v>16</v>
      </c>
      <c r="C63" t="s">
        <v>3</v>
      </c>
      <c r="D63">
        <f>_xlfn.STDEV.S(per_seed!$D$32:$D$41)</f>
        <v>39.810802554080723</v>
      </c>
      <c r="E63">
        <v>39.810802554080723</v>
      </c>
    </row>
    <row r="64" spans="1:5">
      <c r="A64" t="s">
        <v>25</v>
      </c>
      <c r="B64" t="s">
        <v>16</v>
      </c>
      <c r="C64" t="s">
        <v>4</v>
      </c>
      <c r="D64">
        <f>AVERAGE(per_seed!$E$32:$E$41)</f>
        <v>5285.8</v>
      </c>
      <c r="E64">
        <v>5285.8</v>
      </c>
    </row>
    <row r="65" spans="1:5">
      <c r="A65" t="s">
        <v>26</v>
      </c>
      <c r="B65" t="s">
        <v>16</v>
      </c>
      <c r="C65" t="s">
        <v>4</v>
      </c>
      <c r="D65">
        <f>_xlfn.STDEV.S(per_seed!$E$32:$E$41)</f>
        <v>43.951488408623121</v>
      </c>
      <c r="E65">
        <v>43.951488408623128</v>
      </c>
    </row>
    <row r="66" spans="1:5">
      <c r="A66" t="s">
        <v>25</v>
      </c>
      <c r="B66" t="s">
        <v>16</v>
      </c>
      <c r="C66" t="s">
        <v>5</v>
      </c>
      <c r="D66">
        <f>AVERAGE(per_seed!$F$32:$F$41)</f>
        <v>3324.1</v>
      </c>
      <c r="E66">
        <v>3324.1</v>
      </c>
    </row>
    <row r="67" spans="1:5">
      <c r="A67" t="s">
        <v>26</v>
      </c>
      <c r="B67" t="s">
        <v>16</v>
      </c>
      <c r="C67" t="s">
        <v>5</v>
      </c>
      <c r="D67">
        <f>_xlfn.STDEV.S(per_seed!$F$32:$F$41)</f>
        <v>44.98258922442475</v>
      </c>
      <c r="E67">
        <v>44.98258922442475</v>
      </c>
    </row>
    <row r="68" spans="1:5">
      <c r="A68" t="s">
        <v>25</v>
      </c>
      <c r="B68" t="s">
        <v>16</v>
      </c>
      <c r="C68" t="s">
        <v>6</v>
      </c>
      <c r="D68">
        <f>AVERAGE(per_seed!$G$32:$G$41)</f>
        <v>8.3604263809479278</v>
      </c>
      <c r="E68">
        <v>8.3604263809479278</v>
      </c>
    </row>
    <row r="69" spans="1:5">
      <c r="A69" t="s">
        <v>26</v>
      </c>
      <c r="B69" t="s">
        <v>16</v>
      </c>
      <c r="C69" t="s">
        <v>6</v>
      </c>
      <c r="D69">
        <f>_xlfn.STDEV.S(per_seed!$G$32:$G$41)</f>
        <v>0.12969927923451319</v>
      </c>
      <c r="E69">
        <v>0.12969927923451319</v>
      </c>
    </row>
    <row r="70" spans="1:5">
      <c r="A70" t="s">
        <v>25</v>
      </c>
      <c r="B70" t="s">
        <v>16</v>
      </c>
      <c r="C70" t="s">
        <v>7</v>
      </c>
      <c r="D70">
        <f>AVERAGE(per_seed!$H$32:$H$41)</f>
        <v>397.7</v>
      </c>
      <c r="E70">
        <v>397.7</v>
      </c>
    </row>
    <row r="71" spans="1:5">
      <c r="A71" t="s">
        <v>26</v>
      </c>
      <c r="B71" t="s">
        <v>16</v>
      </c>
      <c r="C71" t="s">
        <v>7</v>
      </c>
      <c r="D71">
        <f>_xlfn.STDEV.S(per_seed!$H$32:$H$41)</f>
        <v>8.9820809269221016</v>
      </c>
      <c r="E71">
        <v>8.9820809269220998</v>
      </c>
    </row>
    <row r="72" spans="1:5">
      <c r="A72" t="s">
        <v>25</v>
      </c>
      <c r="B72" t="s">
        <v>16</v>
      </c>
      <c r="C72" t="s">
        <v>8</v>
      </c>
      <c r="D72">
        <f>AVERAGE(per_seed!$I$32:$I$41)</f>
        <v>0.11963692698026374</v>
      </c>
      <c r="E72">
        <v>0.11963692698026369</v>
      </c>
    </row>
    <row r="73" spans="1:5">
      <c r="A73" t="s">
        <v>26</v>
      </c>
      <c r="B73" t="s">
        <v>16</v>
      </c>
      <c r="C73" t="s">
        <v>8</v>
      </c>
      <c r="D73">
        <f>_xlfn.STDEV.S(per_seed!$I$32:$I$41)</f>
        <v>1.8481522584676282E-3</v>
      </c>
      <c r="E73">
        <v>1.848152258467623E-3</v>
      </c>
    </row>
    <row r="74" spans="1:5">
      <c r="A74" t="s">
        <v>25</v>
      </c>
      <c r="B74" t="s">
        <v>16</v>
      </c>
      <c r="C74" t="s">
        <v>9</v>
      </c>
      <c r="D74">
        <f>AVERAGE(per_seed!$J$32:$J$41)</f>
        <v>21.580885619166725</v>
      </c>
      <c r="E74">
        <v>21.580885619166729</v>
      </c>
    </row>
    <row r="75" spans="1:5">
      <c r="A75" t="s">
        <v>26</v>
      </c>
      <c r="B75" t="s">
        <v>16</v>
      </c>
      <c r="C75" t="s">
        <v>9</v>
      </c>
      <c r="D75">
        <f>_xlfn.STDEV.S(per_seed!$J$32:$J$41)</f>
        <v>0.26072493090158722</v>
      </c>
      <c r="E75">
        <v>0.26072493090158633</v>
      </c>
    </row>
    <row r="76" spans="1:5">
      <c r="A76" t="s">
        <v>25</v>
      </c>
      <c r="B76" t="s">
        <v>16</v>
      </c>
      <c r="C76" t="s">
        <v>10</v>
      </c>
      <c r="D76">
        <f>AVERAGE(per_seed!$K$32:$K$41)</f>
        <v>3.9327170224132404</v>
      </c>
      <c r="E76">
        <v>3.9327170224132408</v>
      </c>
    </row>
    <row r="77" spans="1:5">
      <c r="A77" t="s">
        <v>26</v>
      </c>
      <c r="B77" t="s">
        <v>16</v>
      </c>
      <c r="C77" t="s">
        <v>10</v>
      </c>
      <c r="D77">
        <f>_xlfn.STDEV.S(per_seed!$K$32:$K$41)</f>
        <v>3.6659504565402429E-2</v>
      </c>
      <c r="E77">
        <v>3.6659504565402429E-2</v>
      </c>
    </row>
    <row r="78" spans="1:5">
      <c r="A78" t="s">
        <v>25</v>
      </c>
      <c r="B78" t="s">
        <v>16</v>
      </c>
      <c r="C78" t="s">
        <v>11</v>
      </c>
      <c r="D78">
        <f>AVERAGE(per_seed!$L$32:$L$41)</f>
        <v>399.45099205944473</v>
      </c>
      <c r="E78">
        <v>399.45099205944467</v>
      </c>
    </row>
    <row r="79" spans="1:5">
      <c r="A79" t="s">
        <v>26</v>
      </c>
      <c r="B79" t="s">
        <v>16</v>
      </c>
      <c r="C79" t="s">
        <v>11</v>
      </c>
      <c r="D79">
        <f>_xlfn.STDEV.S(per_seed!$L$32:$L$41)</f>
        <v>9.9740871770516613</v>
      </c>
      <c r="E79">
        <v>9.9740871770516613</v>
      </c>
    </row>
    <row r="80" spans="1:5">
      <c r="A80" t="s">
        <v>25</v>
      </c>
      <c r="B80" t="s">
        <v>16</v>
      </c>
      <c r="C80" t="s">
        <v>12</v>
      </c>
      <c r="D80">
        <f>AVERAGE(per_seed!$M$32:$M$41)</f>
        <v>5.6789707723202261</v>
      </c>
      <c r="E80">
        <v>5.6789707723202252</v>
      </c>
    </row>
    <row r="81" spans="1:5">
      <c r="A81" t="s">
        <v>26</v>
      </c>
      <c r="B81" t="s">
        <v>16</v>
      </c>
      <c r="C81" t="s">
        <v>12</v>
      </c>
      <c r="D81">
        <f>_xlfn.STDEV.S(per_seed!$M$32:$M$41)</f>
        <v>0.4508454374556326</v>
      </c>
      <c r="E81">
        <v>0.45084543745563233</v>
      </c>
    </row>
    <row r="82" spans="1:5">
      <c r="A82" t="s">
        <v>25</v>
      </c>
      <c r="B82" t="s">
        <v>17</v>
      </c>
      <c r="C82" t="s">
        <v>3</v>
      </c>
      <c r="D82">
        <f>AVERAGE(per_seed!$D$42:$D$51)</f>
        <v>8026.5</v>
      </c>
      <c r="E82">
        <v>8026.5</v>
      </c>
    </row>
    <row r="83" spans="1:5">
      <c r="A83" t="s">
        <v>26</v>
      </c>
      <c r="B83" t="s">
        <v>17</v>
      </c>
      <c r="C83" t="s">
        <v>3</v>
      </c>
      <c r="D83">
        <f>_xlfn.STDEV.S(per_seed!$D$42:$D$51)</f>
        <v>65.173699535250506</v>
      </c>
      <c r="E83">
        <v>65.173699535250506</v>
      </c>
    </row>
    <row r="84" spans="1:5">
      <c r="A84" t="s">
        <v>25</v>
      </c>
      <c r="B84" t="s">
        <v>17</v>
      </c>
      <c r="C84" t="s">
        <v>4</v>
      </c>
      <c r="D84">
        <f>AVERAGE(per_seed!$E$42:$E$51)</f>
        <v>5204.3</v>
      </c>
      <c r="E84">
        <v>5204.3</v>
      </c>
    </row>
    <row r="85" spans="1:5">
      <c r="A85" t="s">
        <v>26</v>
      </c>
      <c r="B85" t="s">
        <v>17</v>
      </c>
      <c r="C85" t="s">
        <v>4</v>
      </c>
      <c r="D85">
        <f>_xlfn.STDEV.S(per_seed!$E$42:$E$51)</f>
        <v>47.201812582898881</v>
      </c>
      <c r="E85">
        <v>47.201812582898881</v>
      </c>
    </row>
    <row r="86" spans="1:5">
      <c r="A86" t="s">
        <v>25</v>
      </c>
      <c r="B86" t="s">
        <v>17</v>
      </c>
      <c r="C86" t="s">
        <v>5</v>
      </c>
      <c r="D86">
        <f>AVERAGE(per_seed!$F$42:$F$51)</f>
        <v>3367.5</v>
      </c>
      <c r="E86">
        <v>3367.5</v>
      </c>
    </row>
    <row r="87" spans="1:5">
      <c r="A87" t="s">
        <v>26</v>
      </c>
      <c r="B87" t="s">
        <v>17</v>
      </c>
      <c r="C87" t="s">
        <v>5</v>
      </c>
      <c r="D87">
        <f>_xlfn.STDEV.S(per_seed!$F$42:$F$51)</f>
        <v>38.890872965260115</v>
      </c>
      <c r="E87">
        <v>38.890872965260122</v>
      </c>
    </row>
    <row r="88" spans="1:5">
      <c r="A88" t="s">
        <v>25</v>
      </c>
      <c r="B88" t="s">
        <v>17</v>
      </c>
      <c r="C88" t="s">
        <v>6</v>
      </c>
      <c r="D88">
        <f>AVERAGE(per_seed!$G$42:$G$51)</f>
        <v>4.1929847366675697</v>
      </c>
      <c r="E88">
        <v>4.1929847366675697</v>
      </c>
    </row>
    <row r="89" spans="1:5">
      <c r="A89" t="s">
        <v>26</v>
      </c>
      <c r="B89" t="s">
        <v>17</v>
      </c>
      <c r="C89" t="s">
        <v>6</v>
      </c>
      <c r="D89">
        <f>_xlfn.STDEV.S(per_seed!$G$42:$G$51)</f>
        <v>0.20454503180270803</v>
      </c>
      <c r="E89">
        <v>0.204545031802708</v>
      </c>
    </row>
    <row r="90" spans="1:5">
      <c r="A90" t="s">
        <v>25</v>
      </c>
      <c r="B90" t="s">
        <v>17</v>
      </c>
      <c r="C90" t="s">
        <v>7</v>
      </c>
      <c r="D90">
        <f>AVERAGE(per_seed!$H$42:$H$51)</f>
        <v>804.6</v>
      </c>
      <c r="E90">
        <v>804.6</v>
      </c>
    </row>
    <row r="91" spans="1:5">
      <c r="A91" t="s">
        <v>26</v>
      </c>
      <c r="B91" t="s">
        <v>17</v>
      </c>
      <c r="C91" t="s">
        <v>7</v>
      </c>
      <c r="D91">
        <f>_xlfn.STDEV.S(per_seed!$H$42:$H$51)</f>
        <v>34.532432420680834</v>
      </c>
      <c r="E91">
        <v>34.532432420680827</v>
      </c>
    </row>
    <row r="92" spans="1:5">
      <c r="A92" t="s">
        <v>25</v>
      </c>
      <c r="B92" t="s">
        <v>17</v>
      </c>
      <c r="C92" t="s">
        <v>8</v>
      </c>
      <c r="D92">
        <f>AVERAGE(per_seed!$I$42:$I$51)</f>
        <v>0.23900251592616101</v>
      </c>
      <c r="E92">
        <v>0.23900251592616101</v>
      </c>
    </row>
    <row r="93" spans="1:5">
      <c r="A93" t="s">
        <v>26</v>
      </c>
      <c r="B93" t="s">
        <v>17</v>
      </c>
      <c r="C93" t="s">
        <v>8</v>
      </c>
      <c r="D93">
        <f>_xlfn.STDEV.S(per_seed!$I$42:$I$51)</f>
        <v>1.1602731700802076E-2</v>
      </c>
      <c r="E93">
        <v>1.1602731700802079E-2</v>
      </c>
    </row>
    <row r="94" spans="1:5">
      <c r="A94" t="s">
        <v>25</v>
      </c>
      <c r="B94" t="s">
        <v>17</v>
      </c>
      <c r="C94" t="s">
        <v>9</v>
      </c>
      <c r="D94">
        <f>AVERAGE(per_seed!$J$42:$J$51)</f>
        <v>31.205680966963246</v>
      </c>
      <c r="E94">
        <v>31.20568096696325</v>
      </c>
    </row>
    <row r="95" spans="1:5">
      <c r="A95" t="s">
        <v>26</v>
      </c>
      <c r="B95" t="s">
        <v>17</v>
      </c>
      <c r="C95" t="s">
        <v>9</v>
      </c>
      <c r="D95">
        <f>_xlfn.STDEV.S(per_seed!$J$42:$J$51)</f>
        <v>0.73412744108840466</v>
      </c>
      <c r="E95">
        <v>0.73412744108840644</v>
      </c>
    </row>
    <row r="96" spans="1:5">
      <c r="A96" t="s">
        <v>25</v>
      </c>
      <c r="B96" t="s">
        <v>17</v>
      </c>
      <c r="C96" t="s">
        <v>10</v>
      </c>
      <c r="D96">
        <f>AVERAGE(per_seed!$K$42:$K$51)</f>
        <v>5.7489299843327446</v>
      </c>
      <c r="E96">
        <v>5.7489299843327437</v>
      </c>
    </row>
    <row r="97" spans="1:5">
      <c r="A97" t="s">
        <v>26</v>
      </c>
      <c r="B97" t="s">
        <v>17</v>
      </c>
      <c r="C97" t="s">
        <v>10</v>
      </c>
      <c r="D97">
        <f>_xlfn.STDEV.S(per_seed!$K$42:$K$51)</f>
        <v>0.19171707596137003</v>
      </c>
      <c r="E97">
        <v>0.19171707596137</v>
      </c>
    </row>
    <row r="98" spans="1:5">
      <c r="A98" t="s">
        <v>25</v>
      </c>
      <c r="B98" t="s">
        <v>17</v>
      </c>
      <c r="C98" t="s">
        <v>11</v>
      </c>
      <c r="D98">
        <f>AVERAGE(per_seed!$L$42:$L$51)</f>
        <v>282.65088166762445</v>
      </c>
      <c r="E98">
        <v>282.65088166762439</v>
      </c>
    </row>
    <row r="99" spans="1:5">
      <c r="A99" t="s">
        <v>26</v>
      </c>
      <c r="B99" t="s">
        <v>17</v>
      </c>
      <c r="C99" t="s">
        <v>11</v>
      </c>
      <c r="D99">
        <f>_xlfn.STDEV.S(per_seed!$L$42:$L$51)</f>
        <v>11.708993430491107</v>
      </c>
      <c r="E99">
        <v>11.708993430491111</v>
      </c>
    </row>
    <row r="100" spans="1:5">
      <c r="A100" t="s">
        <v>25</v>
      </c>
      <c r="B100" t="s">
        <v>17</v>
      </c>
      <c r="C100" t="s">
        <v>12</v>
      </c>
      <c r="D100">
        <f>AVERAGE(per_seed!$M$42:$M$51)</f>
        <v>7.1608148011347073</v>
      </c>
      <c r="E100">
        <v>7.1608148011347073</v>
      </c>
    </row>
    <row r="101" spans="1:5">
      <c r="A101" t="s">
        <v>26</v>
      </c>
      <c r="B101" t="s">
        <v>17</v>
      </c>
      <c r="C101" t="s">
        <v>12</v>
      </c>
      <c r="D101">
        <f>_xlfn.STDEV.S(per_seed!$M$42:$M$51)</f>
        <v>0.75736263371015589</v>
      </c>
      <c r="E101">
        <v>0.75736263371015577</v>
      </c>
    </row>
    <row r="102" spans="1:5">
      <c r="A102" t="s">
        <v>25</v>
      </c>
      <c r="B102" t="s">
        <v>18</v>
      </c>
      <c r="C102" t="s">
        <v>3</v>
      </c>
      <c r="D102">
        <f>AVERAGE(per_seed!$D$52:$D$61)</f>
        <v>8132.9</v>
      </c>
      <c r="E102">
        <v>8132.9</v>
      </c>
    </row>
    <row r="103" spans="1:5">
      <c r="A103" t="s">
        <v>26</v>
      </c>
      <c r="B103" t="s">
        <v>18</v>
      </c>
      <c r="C103" t="s">
        <v>3</v>
      </c>
      <c r="D103">
        <f>_xlfn.STDEV.S(per_seed!$D$52:$D$61)</f>
        <v>52.82981060811111</v>
      </c>
      <c r="E103">
        <v>52.82981060811111</v>
      </c>
    </row>
    <row r="104" spans="1:5">
      <c r="A104" t="s">
        <v>25</v>
      </c>
      <c r="B104" t="s">
        <v>18</v>
      </c>
      <c r="C104" t="s">
        <v>4</v>
      </c>
      <c r="D104">
        <f>AVERAGE(per_seed!$E$52:$E$61)</f>
        <v>5276.1</v>
      </c>
      <c r="E104">
        <v>5276.1</v>
      </c>
    </row>
    <row r="105" spans="1:5">
      <c r="A105" t="s">
        <v>26</v>
      </c>
      <c r="B105" t="s">
        <v>18</v>
      </c>
      <c r="C105" t="s">
        <v>4</v>
      </c>
      <c r="D105">
        <f>_xlfn.STDEV.S(per_seed!$E$52:$E$61)</f>
        <v>18.14417568012146</v>
      </c>
      <c r="E105">
        <v>18.14417568012146</v>
      </c>
    </row>
    <row r="106" spans="1:5">
      <c r="A106" t="s">
        <v>25</v>
      </c>
      <c r="B106" t="s">
        <v>18</v>
      </c>
      <c r="C106" t="s">
        <v>5</v>
      </c>
      <c r="D106">
        <f>AVERAGE(per_seed!$F$52:$F$61)</f>
        <v>3350.4</v>
      </c>
      <c r="E106">
        <v>3350.4</v>
      </c>
    </row>
    <row r="107" spans="1:5">
      <c r="A107" t="s">
        <v>26</v>
      </c>
      <c r="B107" t="s">
        <v>18</v>
      </c>
      <c r="C107" t="s">
        <v>5</v>
      </c>
      <c r="D107">
        <f>_xlfn.STDEV.S(per_seed!$F$52:$F$61)</f>
        <v>39.124303330680675</v>
      </c>
      <c r="E107">
        <v>39.124303330680682</v>
      </c>
    </row>
    <row r="108" spans="1:5">
      <c r="A108" t="s">
        <v>25</v>
      </c>
      <c r="B108" t="s">
        <v>18</v>
      </c>
      <c r="C108" t="s">
        <v>6</v>
      </c>
      <c r="D108">
        <f>AVERAGE(per_seed!$G$52:$G$61)</f>
        <v>7.2475987685929413</v>
      </c>
      <c r="E108">
        <v>7.2475987685929413</v>
      </c>
    </row>
    <row r="109" spans="1:5">
      <c r="A109" t="s">
        <v>26</v>
      </c>
      <c r="B109" t="s">
        <v>18</v>
      </c>
      <c r="C109" t="s">
        <v>6</v>
      </c>
      <c r="D109">
        <f>_xlfn.STDEV.S(per_seed!$G$52:$G$61)</f>
        <v>0.30222206739137297</v>
      </c>
      <c r="E109">
        <v>0.30222206739137297</v>
      </c>
    </row>
    <row r="110" spans="1:5">
      <c r="A110" t="s">
        <v>25</v>
      </c>
      <c r="B110" t="s">
        <v>18</v>
      </c>
      <c r="C110" t="s">
        <v>7</v>
      </c>
      <c r="D110">
        <f>AVERAGE(per_seed!$H$52:$H$61)</f>
        <v>462.9</v>
      </c>
      <c r="E110">
        <v>462.9</v>
      </c>
    </row>
    <row r="111" spans="1:5">
      <c r="A111" t="s">
        <v>26</v>
      </c>
      <c r="B111" t="s">
        <v>18</v>
      </c>
      <c r="C111" t="s">
        <v>7</v>
      </c>
      <c r="D111">
        <f>_xlfn.STDEV.S(per_seed!$H$52:$H$61)</f>
        <v>17.265572680916204</v>
      </c>
      <c r="E111">
        <v>17.2655726809162</v>
      </c>
    </row>
    <row r="112" spans="1:5">
      <c r="A112" t="s">
        <v>25</v>
      </c>
      <c r="B112" t="s">
        <v>18</v>
      </c>
      <c r="C112" t="s">
        <v>8</v>
      </c>
      <c r="D112">
        <f>AVERAGE(per_seed!$I$52:$I$61)</f>
        <v>0.13819089006863661</v>
      </c>
      <c r="E112">
        <v>0.13819089006863661</v>
      </c>
    </row>
    <row r="113" spans="1:5">
      <c r="A113" t="s">
        <v>26</v>
      </c>
      <c r="B113" t="s">
        <v>18</v>
      </c>
      <c r="C113" t="s">
        <v>8</v>
      </c>
      <c r="D113">
        <f>_xlfn.STDEV.S(per_seed!$I$52:$I$61)</f>
        <v>5.7085488581031076E-3</v>
      </c>
      <c r="E113">
        <v>5.7085488581030902E-3</v>
      </c>
    </row>
    <row r="114" spans="1:5">
      <c r="A114" t="s">
        <v>25</v>
      </c>
      <c r="B114" t="s">
        <v>18</v>
      </c>
      <c r="C114" t="s">
        <v>9</v>
      </c>
      <c r="D114">
        <f>AVERAGE(per_seed!$J$52:$J$61)</f>
        <v>23.219875199789421</v>
      </c>
      <c r="E114">
        <v>23.219875199789421</v>
      </c>
    </row>
    <row r="115" spans="1:5">
      <c r="A115" t="s">
        <v>26</v>
      </c>
      <c r="B115" t="s">
        <v>18</v>
      </c>
      <c r="C115" t="s">
        <v>9</v>
      </c>
      <c r="D115">
        <f>_xlfn.STDEV.S(per_seed!$J$52:$J$61)</f>
        <v>0.43942373064860218</v>
      </c>
      <c r="E115">
        <v>0.43942373064860141</v>
      </c>
    </row>
    <row r="116" spans="1:5">
      <c r="A116" t="s">
        <v>25</v>
      </c>
      <c r="B116" t="s">
        <v>18</v>
      </c>
      <c r="C116" t="s">
        <v>10</v>
      </c>
      <c r="D116">
        <f>AVERAGE(per_seed!$K$52:$K$61)</f>
        <v>4.2038626802057628</v>
      </c>
      <c r="E116">
        <v>4.2038626802057628</v>
      </c>
    </row>
    <row r="117" spans="1:5">
      <c r="A117" t="s">
        <v>26</v>
      </c>
      <c r="B117" t="s">
        <v>18</v>
      </c>
      <c r="C117" t="s">
        <v>10</v>
      </c>
      <c r="D117">
        <f>_xlfn.STDEV.S(per_seed!$K$52:$K$61)</f>
        <v>0.10790568026961621</v>
      </c>
      <c r="E117">
        <v>0.10790568026961619</v>
      </c>
    </row>
    <row r="118" spans="1:5">
      <c r="A118" t="s">
        <v>25</v>
      </c>
      <c r="B118" t="s">
        <v>18</v>
      </c>
      <c r="C118" t="s">
        <v>11</v>
      </c>
      <c r="D118">
        <f>AVERAGE(per_seed!$L$52:$L$61)</f>
        <v>377.91287807118067</v>
      </c>
      <c r="E118">
        <v>377.91287807118061</v>
      </c>
    </row>
    <row r="119" spans="1:5">
      <c r="A119" t="s">
        <v>26</v>
      </c>
      <c r="B119" t="s">
        <v>18</v>
      </c>
      <c r="C119" t="s">
        <v>11</v>
      </c>
      <c r="D119">
        <f>_xlfn.STDEV.S(per_seed!$L$52:$L$61)</f>
        <v>8.859998259616205</v>
      </c>
      <c r="E119">
        <v>8.859998259616205</v>
      </c>
    </row>
    <row r="120" spans="1:5">
      <c r="A120" t="s">
        <v>25</v>
      </c>
      <c r="B120" t="s">
        <v>18</v>
      </c>
      <c r="C120" t="s">
        <v>12</v>
      </c>
      <c r="D120">
        <f>AVERAGE(per_seed!$M$52:$M$61)</f>
        <v>5.9333280427916311</v>
      </c>
      <c r="E120">
        <v>5.9333280427916311</v>
      </c>
    </row>
    <row r="121" spans="1:5">
      <c r="A121" t="s">
        <v>26</v>
      </c>
      <c r="B121" t="s">
        <v>18</v>
      </c>
      <c r="C121" t="s">
        <v>12</v>
      </c>
      <c r="D121">
        <f>_xlfn.STDEV.S(per_seed!$M$52:$M$61)</f>
        <v>0.61082269435629299</v>
      </c>
      <c r="E121">
        <v>0.61082269435629277</v>
      </c>
    </row>
    <row r="122" spans="1:5">
      <c r="A122" t="s">
        <v>25</v>
      </c>
      <c r="B122" t="s">
        <v>19</v>
      </c>
      <c r="C122" t="s">
        <v>3</v>
      </c>
      <c r="D122">
        <f>AVERAGE(per_seed!$D$62:$D$71)</f>
        <v>8151.3</v>
      </c>
      <c r="E122">
        <v>8151.3</v>
      </c>
    </row>
    <row r="123" spans="1:5">
      <c r="A123" t="s">
        <v>26</v>
      </c>
      <c r="B123" t="s">
        <v>19</v>
      </c>
      <c r="C123" t="s">
        <v>3</v>
      </c>
      <c r="D123">
        <f>_xlfn.STDEV.S(per_seed!$D$62:$D$71)</f>
        <v>38.551696893046525</v>
      </c>
      <c r="E123">
        <v>38.551696893046532</v>
      </c>
    </row>
    <row r="124" spans="1:5">
      <c r="A124" t="s">
        <v>25</v>
      </c>
      <c r="B124" t="s">
        <v>19</v>
      </c>
      <c r="C124" t="s">
        <v>4</v>
      </c>
      <c r="D124">
        <f>AVERAGE(per_seed!$E$62:$E$71)</f>
        <v>5289.6</v>
      </c>
      <c r="E124">
        <v>5289.6</v>
      </c>
    </row>
    <row r="125" spans="1:5">
      <c r="A125" t="s">
        <v>26</v>
      </c>
      <c r="B125" t="s">
        <v>19</v>
      </c>
      <c r="C125" t="s">
        <v>4</v>
      </c>
      <c r="D125">
        <f>_xlfn.STDEV.S(per_seed!$E$62:$E$71)</f>
        <v>42.232688761195398</v>
      </c>
      <c r="E125">
        <v>42.232688761195398</v>
      </c>
    </row>
    <row r="126" spans="1:5">
      <c r="A126" t="s">
        <v>25</v>
      </c>
      <c r="B126" t="s">
        <v>19</v>
      </c>
      <c r="C126" t="s">
        <v>5</v>
      </c>
      <c r="D126">
        <f>AVERAGE(per_seed!$F$62:$F$71)</f>
        <v>3323.4</v>
      </c>
      <c r="E126">
        <v>3323.4</v>
      </c>
    </row>
    <row r="127" spans="1:5">
      <c r="A127" t="s">
        <v>26</v>
      </c>
      <c r="B127" t="s">
        <v>19</v>
      </c>
      <c r="C127" t="s">
        <v>5</v>
      </c>
      <c r="D127">
        <f>_xlfn.STDEV.S(per_seed!$F$62:$F$71)</f>
        <v>44.801289663976817</v>
      </c>
      <c r="E127">
        <v>44.801289663976817</v>
      </c>
    </row>
    <row r="128" spans="1:5">
      <c r="A128" t="s">
        <v>25</v>
      </c>
      <c r="B128" t="s">
        <v>19</v>
      </c>
      <c r="C128" t="s">
        <v>6</v>
      </c>
      <c r="D128">
        <f>AVERAGE(per_seed!$G$62:$G$71)</f>
        <v>8.3624407741099596</v>
      </c>
      <c r="E128">
        <v>8.3624407741099596</v>
      </c>
    </row>
    <row r="129" spans="1:5">
      <c r="A129" t="s">
        <v>26</v>
      </c>
      <c r="B129" t="s">
        <v>19</v>
      </c>
      <c r="C129" t="s">
        <v>6</v>
      </c>
      <c r="D129">
        <f>_xlfn.STDEV.S(per_seed!$G$62:$G$71)</f>
        <v>0.13455757250765801</v>
      </c>
      <c r="E129">
        <v>0.13455757250765801</v>
      </c>
    </row>
    <row r="130" spans="1:5">
      <c r="A130" t="s">
        <v>25</v>
      </c>
      <c r="B130" t="s">
        <v>19</v>
      </c>
      <c r="C130" t="s">
        <v>7</v>
      </c>
      <c r="D130">
        <f>AVERAGE(per_seed!$H$62:$H$71)</f>
        <v>397.5</v>
      </c>
      <c r="E130">
        <v>397.5</v>
      </c>
    </row>
    <row r="131" spans="1:5">
      <c r="A131" t="s">
        <v>26</v>
      </c>
      <c r="B131" t="s">
        <v>19</v>
      </c>
      <c r="C131" t="s">
        <v>7</v>
      </c>
      <c r="D131">
        <f>_xlfn.STDEV.S(per_seed!$H$62:$H$71)</f>
        <v>7.6630426217150989</v>
      </c>
      <c r="E131">
        <v>7.6630426217150989</v>
      </c>
    </row>
    <row r="132" spans="1:5">
      <c r="A132" t="s">
        <v>25</v>
      </c>
      <c r="B132" t="s">
        <v>19</v>
      </c>
      <c r="C132" t="s">
        <v>8</v>
      </c>
      <c r="D132">
        <f>AVERAGE(per_seed!$I$62:$I$71)</f>
        <v>0.11961019099624562</v>
      </c>
      <c r="E132">
        <v>0.11961019099624561</v>
      </c>
    </row>
    <row r="133" spans="1:5">
      <c r="A133" t="s">
        <v>26</v>
      </c>
      <c r="B133" t="s">
        <v>19</v>
      </c>
      <c r="C133" t="s">
        <v>8</v>
      </c>
      <c r="D133">
        <f>_xlfn.STDEV.S(per_seed!$I$62:$I$71)</f>
        <v>1.9252885083890989E-3</v>
      </c>
      <c r="E133">
        <v>1.9252885083891019E-3</v>
      </c>
    </row>
    <row r="134" spans="1:5">
      <c r="A134" t="s">
        <v>25</v>
      </c>
      <c r="B134" t="s">
        <v>19</v>
      </c>
      <c r="C134" t="s">
        <v>9</v>
      </c>
      <c r="D134">
        <f>AVERAGE(per_seed!$J$62:$J$71)</f>
        <v>21.571132592909215</v>
      </c>
      <c r="E134">
        <v>21.571132592909208</v>
      </c>
    </row>
    <row r="135" spans="1:5">
      <c r="A135" t="s">
        <v>26</v>
      </c>
      <c r="B135" t="s">
        <v>19</v>
      </c>
      <c r="C135" t="s">
        <v>9</v>
      </c>
      <c r="D135">
        <f>_xlfn.STDEV.S(per_seed!$J$62:$J$71)</f>
        <v>0.25104414771647943</v>
      </c>
      <c r="E135">
        <v>0.2510441477164792</v>
      </c>
    </row>
    <row r="136" spans="1:5">
      <c r="A136" t="s">
        <v>25</v>
      </c>
      <c r="B136" t="s">
        <v>19</v>
      </c>
      <c r="C136" t="s">
        <v>10</v>
      </c>
      <c r="D136">
        <f>AVERAGE(per_seed!$K$62:$K$71)</f>
        <v>3.9375673189250322</v>
      </c>
      <c r="E136">
        <v>3.9375673189250322</v>
      </c>
    </row>
    <row r="137" spans="1:5">
      <c r="A137" t="s">
        <v>26</v>
      </c>
      <c r="B137" t="s">
        <v>19</v>
      </c>
      <c r="C137" t="s">
        <v>10</v>
      </c>
      <c r="D137">
        <f>_xlfn.STDEV.S(per_seed!$K$62:$K$71)</f>
        <v>4.1447936266028704E-2</v>
      </c>
      <c r="E137">
        <v>4.1447936266028697E-2</v>
      </c>
    </row>
    <row r="138" spans="1:5">
      <c r="A138" t="s">
        <v>25</v>
      </c>
      <c r="B138" t="s">
        <v>19</v>
      </c>
      <c r="C138" t="s">
        <v>11</v>
      </c>
      <c r="D138">
        <f>AVERAGE(per_seed!$L$62:$L$71)</f>
        <v>399.03470490252801</v>
      </c>
      <c r="E138">
        <v>399.03470490252801</v>
      </c>
    </row>
    <row r="139" spans="1:5">
      <c r="A139" t="s">
        <v>26</v>
      </c>
      <c r="B139" t="s">
        <v>19</v>
      </c>
      <c r="C139" t="s">
        <v>11</v>
      </c>
      <c r="D139">
        <f>_xlfn.STDEV.S(per_seed!$L$62:$L$71)</f>
        <v>10.714474007350928</v>
      </c>
      <c r="E139">
        <v>10.71447400735093</v>
      </c>
    </row>
    <row r="140" spans="1:5">
      <c r="A140" t="s">
        <v>25</v>
      </c>
      <c r="B140" t="s">
        <v>19</v>
      </c>
      <c r="C140" t="s">
        <v>12</v>
      </c>
      <c r="D140">
        <f>AVERAGE(per_seed!$M$62:$M$71)</f>
        <v>5.7136866704604827</v>
      </c>
      <c r="E140">
        <v>5.7136866704604818</v>
      </c>
    </row>
    <row r="141" spans="1:5">
      <c r="A141" t="s">
        <v>26</v>
      </c>
      <c r="B141" t="s">
        <v>19</v>
      </c>
      <c r="C141" t="s">
        <v>12</v>
      </c>
      <c r="D141">
        <f>_xlfn.STDEV.S(per_seed!$M$62:$M$71)</f>
        <v>0.44000176018878739</v>
      </c>
      <c r="E141">
        <v>0.44000176018878723</v>
      </c>
    </row>
    <row r="142" spans="1:5">
      <c r="A142" t="s">
        <v>27</v>
      </c>
      <c r="B142" t="s">
        <v>28</v>
      </c>
      <c r="C142" t="s">
        <v>3</v>
      </c>
      <c r="D142">
        <f>(AVERAGE(per_seed!$D$12:$D$21)-AVERAGE(per_seed!$D$2:$D$11))/AVERAGE(per_seed!$D$2:$D$11)*100</f>
        <v>-2.1861543557469338</v>
      </c>
      <c r="E142">
        <v>-2.1861543557469338</v>
      </c>
    </row>
    <row r="143" spans="1:5">
      <c r="A143" t="s">
        <v>29</v>
      </c>
      <c r="B143" t="s">
        <v>28</v>
      </c>
      <c r="C143" t="s">
        <v>3</v>
      </c>
      <c r="D143">
        <f>_xlfn.T.TEST(per_seed!$D$2:$D$11,per_seed!$D$12:$D$21,2,1)</f>
        <v>1.7092872784907049E-6</v>
      </c>
      <c r="E143">
        <v>1.709287278490688E-6</v>
      </c>
    </row>
    <row r="144" spans="1:5">
      <c r="A144" t="s">
        <v>27</v>
      </c>
      <c r="B144" t="s">
        <v>28</v>
      </c>
      <c r="C144" t="s">
        <v>4</v>
      </c>
      <c r="D144">
        <f>(AVERAGE(per_seed!$E$12:$E$21)-AVERAGE(per_seed!$E$2:$E$11))/AVERAGE(per_seed!$E$2:$E$11)*100</f>
        <v>-2.4425287356321976</v>
      </c>
      <c r="E144">
        <v>-2.4425287356321981</v>
      </c>
    </row>
    <row r="145" spans="1:5">
      <c r="A145" t="s">
        <v>29</v>
      </c>
      <c r="B145" t="s">
        <v>28</v>
      </c>
      <c r="C145" t="s">
        <v>4</v>
      </c>
      <c r="D145">
        <f>_xlfn.T.TEST(per_seed!$E$2:$E$11,per_seed!$E$12:$E$21,2,1)</f>
        <v>6.2253013711527073E-7</v>
      </c>
      <c r="E145">
        <v>6.2253013711530228E-7</v>
      </c>
    </row>
    <row r="146" spans="1:5">
      <c r="A146" t="s">
        <v>27</v>
      </c>
      <c r="B146" t="s">
        <v>28</v>
      </c>
      <c r="C146" t="s">
        <v>5</v>
      </c>
      <c r="D146">
        <f>(AVERAGE(per_seed!$F$12:$F$21)-AVERAGE(per_seed!$F$2:$F$11))/AVERAGE(per_seed!$F$2:$F$11)*100</f>
        <v>0.73719684660287654</v>
      </c>
      <c r="E146">
        <v>0.73719684660287654</v>
      </c>
    </row>
    <row r="147" spans="1:5">
      <c r="A147" t="s">
        <v>29</v>
      </c>
      <c r="B147" t="s">
        <v>28</v>
      </c>
      <c r="C147" t="s">
        <v>5</v>
      </c>
      <c r="D147">
        <f>_xlfn.T.TEST(per_seed!$F$2:$F$11,per_seed!$F$12:$F$21,2,1)</f>
        <v>6.7717434970939502E-2</v>
      </c>
      <c r="E147">
        <v>6.7717434970939391E-2</v>
      </c>
    </row>
    <row r="148" spans="1:5">
      <c r="A148" t="s">
        <v>27</v>
      </c>
      <c r="B148" t="s">
        <v>28</v>
      </c>
      <c r="C148" t="s">
        <v>6</v>
      </c>
      <c r="D148">
        <f>(AVERAGE(per_seed!$G$12:$G$21)-AVERAGE(per_seed!$G$2:$G$11))/AVERAGE(per_seed!$G$2:$G$11)*100</f>
        <v>-38.404220001148701</v>
      </c>
      <c r="E148">
        <v>-38.404220001148701</v>
      </c>
    </row>
    <row r="149" spans="1:5">
      <c r="A149" t="s">
        <v>29</v>
      </c>
      <c r="B149" t="s">
        <v>28</v>
      </c>
      <c r="C149" t="s">
        <v>6</v>
      </c>
      <c r="D149">
        <f>_xlfn.T.TEST(per_seed!$G$2:$G$11,per_seed!$G$12:$G$21,2,1)</f>
        <v>1.2215320841576954E-10</v>
      </c>
      <c r="E149">
        <v>1.2215320841576921E-10</v>
      </c>
    </row>
    <row r="150" spans="1:5">
      <c r="A150" t="s">
        <v>27</v>
      </c>
      <c r="B150" t="s">
        <v>28</v>
      </c>
      <c r="C150" t="s">
        <v>7</v>
      </c>
      <c r="D150">
        <f>(AVERAGE(per_seed!$H$12:$H$21)-AVERAGE(per_seed!$H$2:$H$11))/AVERAGE(per_seed!$H$2:$H$11)*100</f>
        <v>63.773584905660371</v>
      </c>
      <c r="E150">
        <v>63.773584905660371</v>
      </c>
    </row>
    <row r="151" spans="1:5">
      <c r="A151" t="s">
        <v>29</v>
      </c>
      <c r="B151" t="s">
        <v>28</v>
      </c>
      <c r="C151" t="s">
        <v>7</v>
      </c>
      <c r="D151">
        <f>_xlfn.T.TEST(per_seed!$H$2:$H$11,per_seed!$H$12:$H$21,2,1)</f>
        <v>8.1724941315893721E-10</v>
      </c>
      <c r="E151">
        <v>8.1724941315893793E-10</v>
      </c>
    </row>
    <row r="152" spans="1:5">
      <c r="A152" t="s">
        <v>27</v>
      </c>
      <c r="B152" t="s">
        <v>28</v>
      </c>
      <c r="C152" t="s">
        <v>8</v>
      </c>
      <c r="D152">
        <f>(AVERAGE(per_seed!$I$12:$I$21)-AVERAGE(per_seed!$I$2:$I$11))/AVERAGE(per_seed!$I$2:$I$11)*100</f>
        <v>62.60141244041759</v>
      </c>
      <c r="E152">
        <v>62.601412440417569</v>
      </c>
    </row>
    <row r="153" spans="1:5">
      <c r="A153" t="s">
        <v>29</v>
      </c>
      <c r="B153" t="s">
        <v>28</v>
      </c>
      <c r="C153" t="s">
        <v>8</v>
      </c>
      <c r="D153">
        <f>_xlfn.T.TEST(per_seed!$I$2:$I$11,per_seed!$I$12:$I$21,2,1)</f>
        <v>2.0600183268397047E-9</v>
      </c>
      <c r="E153">
        <v>2.0600183268396989E-9</v>
      </c>
    </row>
    <row r="154" spans="1:5">
      <c r="A154" t="s">
        <v>27</v>
      </c>
      <c r="B154" t="s">
        <v>28</v>
      </c>
      <c r="C154" t="s">
        <v>9</v>
      </c>
      <c r="D154">
        <f>(AVERAGE(per_seed!$J$12:$J$21)-AVERAGE(per_seed!$J$2:$J$11))/AVERAGE(per_seed!$J$2:$J$11)*100</f>
        <v>27.223394642606287</v>
      </c>
      <c r="E154">
        <v>27.223394642606308</v>
      </c>
    </row>
    <row r="155" spans="1:5">
      <c r="A155" t="s">
        <v>29</v>
      </c>
      <c r="B155" t="s">
        <v>28</v>
      </c>
      <c r="C155" t="s">
        <v>9</v>
      </c>
      <c r="D155">
        <f>_xlfn.T.TEST(per_seed!$J$2:$J$11,per_seed!$J$12:$J$21,2,1)</f>
        <v>2.5809748741933784E-10</v>
      </c>
      <c r="E155">
        <v>2.5809748741932982E-10</v>
      </c>
    </row>
    <row r="156" spans="1:5">
      <c r="A156" t="s">
        <v>27</v>
      </c>
      <c r="B156" t="s">
        <v>28</v>
      </c>
      <c r="C156" t="s">
        <v>10</v>
      </c>
      <c r="D156">
        <f>(AVERAGE(per_seed!$K$12:$K$21)-AVERAGE(per_seed!$K$2:$K$11))/AVERAGE(per_seed!$K$2:$K$11)*100</f>
        <v>22.274027052040761</v>
      </c>
      <c r="E156">
        <v>22.274027052040761</v>
      </c>
    </row>
    <row r="157" spans="1:5">
      <c r="A157" t="s">
        <v>29</v>
      </c>
      <c r="B157" t="s">
        <v>28</v>
      </c>
      <c r="C157" t="s">
        <v>10</v>
      </c>
      <c r="D157">
        <f>_xlfn.T.TEST(per_seed!$K$2:$K$11,per_seed!$K$12:$K$21,2,1)</f>
        <v>4.1588934757560842E-9</v>
      </c>
      <c r="E157">
        <v>4.1588934757560867E-9</v>
      </c>
    </row>
    <row r="158" spans="1:5">
      <c r="A158" t="s">
        <v>27</v>
      </c>
      <c r="B158" t="s">
        <v>28</v>
      </c>
      <c r="C158" t="s">
        <v>11</v>
      </c>
      <c r="D158">
        <f>(AVERAGE(per_seed!$L$12:$L$21)-AVERAGE(per_seed!$L$2:$L$11))/AVERAGE(per_seed!$L$2:$L$11)*100</f>
        <v>-21.157337988977233</v>
      </c>
      <c r="E158">
        <v>-21.157337988977229</v>
      </c>
    </row>
    <row r="159" spans="1:5">
      <c r="A159" t="s">
        <v>29</v>
      </c>
      <c r="B159" t="s">
        <v>28</v>
      </c>
      <c r="C159" t="s">
        <v>11</v>
      </c>
      <c r="D159">
        <f>_xlfn.T.TEST(per_seed!$L$2:$L$11,per_seed!$L$12:$L$21,2,1)</f>
        <v>3.7893796254264007E-9</v>
      </c>
      <c r="E159">
        <v>3.7893796254264313E-9</v>
      </c>
    </row>
    <row r="160" spans="1:5">
      <c r="A160" t="s">
        <v>27</v>
      </c>
      <c r="B160" t="s">
        <v>28</v>
      </c>
      <c r="C160" t="s">
        <v>12</v>
      </c>
      <c r="D160">
        <f>(AVERAGE(per_seed!$M$12:$M$21)-AVERAGE(per_seed!$M$2:$M$11))/AVERAGE(per_seed!$M$2:$M$11)*100</f>
        <v>36.206866353555554</v>
      </c>
      <c r="E160">
        <v>36.206866353555583</v>
      </c>
    </row>
    <row r="161" spans="1:5">
      <c r="A161" t="s">
        <v>29</v>
      </c>
      <c r="B161" t="s">
        <v>28</v>
      </c>
      <c r="C161" t="s">
        <v>12</v>
      </c>
      <c r="D161">
        <f>_xlfn.T.TEST(per_seed!$M$2:$M$11,per_seed!$M$12:$M$21,2,1)</f>
        <v>1.7984012423442506E-6</v>
      </c>
      <c r="E161">
        <v>1.7984012423442389E-6</v>
      </c>
    </row>
    <row r="162" spans="1:5">
      <c r="A162" t="s">
        <v>27</v>
      </c>
      <c r="B162" t="s">
        <v>30</v>
      </c>
      <c r="C162" t="s">
        <v>3</v>
      </c>
      <c r="D162">
        <f>(AVERAGE(per_seed!$D$22:$D$31)-AVERAGE(per_seed!$D$2:$D$11))/AVERAGE(per_seed!$D$2:$D$11)*100</f>
        <v>5.1525523536120846E-2</v>
      </c>
      <c r="E162">
        <v>5.1525523536120853E-2</v>
      </c>
    </row>
    <row r="163" spans="1:5">
      <c r="A163" t="s">
        <v>29</v>
      </c>
      <c r="B163" t="s">
        <v>30</v>
      </c>
      <c r="C163" t="s">
        <v>3</v>
      </c>
      <c r="D163">
        <f>_xlfn.T.TEST(per_seed!$D$2:$D$11,per_seed!$D$22:$D$31,2,1)</f>
        <v>0.79687501321001664</v>
      </c>
      <c r="E163">
        <v>0.79687501321000731</v>
      </c>
    </row>
    <row r="164" spans="1:5">
      <c r="A164" t="s">
        <v>27</v>
      </c>
      <c r="B164" t="s">
        <v>30</v>
      </c>
      <c r="C164" t="s">
        <v>4</v>
      </c>
      <c r="D164">
        <f>(AVERAGE(per_seed!$E$22:$E$31)-AVERAGE(per_seed!$E$2:$E$11))/AVERAGE(per_seed!$E$2:$E$11)*100</f>
        <v>-0.13044464609801393</v>
      </c>
      <c r="E164">
        <v>-0.1304446460980139</v>
      </c>
    </row>
    <row r="165" spans="1:5">
      <c r="A165" t="s">
        <v>29</v>
      </c>
      <c r="B165" t="s">
        <v>30</v>
      </c>
      <c r="C165" t="s">
        <v>4</v>
      </c>
      <c r="D165">
        <f>_xlfn.T.TEST(per_seed!$E$2:$E$11,per_seed!$E$22:$E$31,2,1)</f>
        <v>0.47935666298634361</v>
      </c>
      <c r="E165">
        <v>0.47935666298637719</v>
      </c>
    </row>
    <row r="166" spans="1:5">
      <c r="A166" t="s">
        <v>27</v>
      </c>
      <c r="B166" t="s">
        <v>30</v>
      </c>
      <c r="C166" t="s">
        <v>5</v>
      </c>
      <c r="D166">
        <f>(AVERAGE(per_seed!$F$22:$F$31)-AVERAGE(per_seed!$F$2:$F$11))/AVERAGE(per_seed!$F$2:$F$11)*100</f>
        <v>-9.0269001624896771E-3</v>
      </c>
      <c r="E166">
        <v>-9.0269001624896771E-3</v>
      </c>
    </row>
    <row r="167" spans="1:5">
      <c r="A167" t="s">
        <v>29</v>
      </c>
      <c r="B167" t="s">
        <v>30</v>
      </c>
      <c r="C167" t="s">
        <v>5</v>
      </c>
      <c r="D167">
        <f>_xlfn.T.TEST(per_seed!$F$2:$F$11,per_seed!$F$22:$F$31,2,1)</f>
        <v>0.96795603866192936</v>
      </c>
      <c r="E167">
        <v>0.9679560386619428</v>
      </c>
    </row>
    <row r="168" spans="1:5">
      <c r="A168" t="s">
        <v>27</v>
      </c>
      <c r="B168" t="s">
        <v>30</v>
      </c>
      <c r="C168" t="s">
        <v>6</v>
      </c>
      <c r="D168">
        <f>(AVERAGE(per_seed!$G$22:$G$31)-AVERAGE(per_seed!$G$2:$G$11))/AVERAGE(per_seed!$G$2:$G$11)*100</f>
        <v>-7.9717189828248811</v>
      </c>
      <c r="E168">
        <v>-7.9717189828248811</v>
      </c>
    </row>
    <row r="169" spans="1:5">
      <c r="A169" t="s">
        <v>29</v>
      </c>
      <c r="B169" t="s">
        <v>30</v>
      </c>
      <c r="C169" t="s">
        <v>6</v>
      </c>
      <c r="D169">
        <f>_xlfn.T.TEST(per_seed!$G$2:$G$11,per_seed!$G$22:$G$31,2,1)</f>
        <v>1.0685390120977715E-4</v>
      </c>
      <c r="E169">
        <v>1.068539012097777E-4</v>
      </c>
    </row>
    <row r="170" spans="1:5">
      <c r="A170" t="s">
        <v>27</v>
      </c>
      <c r="B170" t="s">
        <v>30</v>
      </c>
      <c r="C170" t="s">
        <v>7</v>
      </c>
      <c r="D170">
        <f>(AVERAGE(per_seed!$H$22:$H$31)-AVERAGE(per_seed!$H$2:$H$11))/AVERAGE(per_seed!$H$2:$H$11)*100</f>
        <v>8.7295597484276701</v>
      </c>
      <c r="E170">
        <v>8.7295597484276701</v>
      </c>
    </row>
    <row r="171" spans="1:5">
      <c r="A171" t="s">
        <v>29</v>
      </c>
      <c r="B171" t="s">
        <v>30</v>
      </c>
      <c r="C171" t="s">
        <v>7</v>
      </c>
      <c r="D171">
        <f>_xlfn.T.TEST(per_seed!$H$2:$H$11,per_seed!$H$22:$H$31,2,1)</f>
        <v>7.0901334753902188E-5</v>
      </c>
      <c r="E171">
        <v>7.0901334753902039E-5</v>
      </c>
    </row>
    <row r="172" spans="1:5">
      <c r="A172" t="s">
        <v>27</v>
      </c>
      <c r="B172" t="s">
        <v>30</v>
      </c>
      <c r="C172" t="s">
        <v>8</v>
      </c>
      <c r="D172">
        <f>(AVERAGE(per_seed!$I$22:$I$31)-AVERAGE(per_seed!$I$2:$I$11))/AVERAGE(per_seed!$I$2:$I$11)*100</f>
        <v>8.7377591221247339</v>
      </c>
      <c r="E172">
        <v>8.7377591221247215</v>
      </c>
    </row>
    <row r="173" spans="1:5">
      <c r="A173" t="s">
        <v>29</v>
      </c>
      <c r="B173" t="s">
        <v>30</v>
      </c>
      <c r="C173" t="s">
        <v>8</v>
      </c>
      <c r="D173">
        <f>_xlfn.T.TEST(per_seed!$I$2:$I$11,per_seed!$I$22:$I$31,2,1)</f>
        <v>1.35675594339637E-4</v>
      </c>
      <c r="E173">
        <v>1.3567559433963459E-4</v>
      </c>
    </row>
    <row r="174" spans="1:5">
      <c r="A174" t="s">
        <v>27</v>
      </c>
      <c r="B174" t="s">
        <v>30</v>
      </c>
      <c r="C174" t="s">
        <v>9</v>
      </c>
      <c r="D174">
        <f>(AVERAGE(per_seed!$J$22:$J$31)-AVERAGE(per_seed!$J$2:$J$11))/AVERAGE(per_seed!$J$2:$J$11)*100</f>
        <v>2.6410574785362861</v>
      </c>
      <c r="E174">
        <v>2.641057478536287</v>
      </c>
    </row>
    <row r="175" spans="1:5">
      <c r="A175" t="s">
        <v>29</v>
      </c>
      <c r="B175" t="s">
        <v>30</v>
      </c>
      <c r="C175" t="s">
        <v>9</v>
      </c>
      <c r="D175">
        <f>_xlfn.T.TEST(per_seed!$J$2:$J$11,per_seed!$J$22:$J$31,2,1)</f>
        <v>3.857136758452245E-4</v>
      </c>
      <c r="E175">
        <v>3.8571367584523051E-4</v>
      </c>
    </row>
    <row r="176" spans="1:5">
      <c r="A176" t="s">
        <v>27</v>
      </c>
      <c r="B176" t="s">
        <v>30</v>
      </c>
      <c r="C176" t="s">
        <v>10</v>
      </c>
      <c r="D176">
        <f>(AVERAGE(per_seed!$K$22:$K$31)-AVERAGE(per_seed!$K$2:$K$11))/AVERAGE(per_seed!$K$2:$K$11)*100</f>
        <v>2.0182249592389203</v>
      </c>
      <c r="E176">
        <v>2.0182249592389199</v>
      </c>
    </row>
    <row r="177" spans="1:5">
      <c r="A177" t="s">
        <v>29</v>
      </c>
      <c r="B177" t="s">
        <v>30</v>
      </c>
      <c r="C177" t="s">
        <v>10</v>
      </c>
      <c r="D177">
        <f>_xlfn.T.TEST(per_seed!$K$2:$K$11,per_seed!$K$22:$K$31,2,1)</f>
        <v>4.126553277856917E-3</v>
      </c>
      <c r="E177">
        <v>4.1265532778568623E-3</v>
      </c>
    </row>
    <row r="178" spans="1:5">
      <c r="A178" t="s">
        <v>27</v>
      </c>
      <c r="B178" t="s">
        <v>30</v>
      </c>
      <c r="C178" t="s">
        <v>11</v>
      </c>
      <c r="D178">
        <f>(AVERAGE(per_seed!$L$22:$L$31)-AVERAGE(per_seed!$L$2:$L$11))/AVERAGE(per_seed!$L$2:$L$11)*100</f>
        <v>0.82706553002313654</v>
      </c>
      <c r="E178">
        <v>0.82706553002312233</v>
      </c>
    </row>
    <row r="179" spans="1:5">
      <c r="A179" t="s">
        <v>29</v>
      </c>
      <c r="B179" t="s">
        <v>30</v>
      </c>
      <c r="C179" t="s">
        <v>11</v>
      </c>
      <c r="D179">
        <f>_xlfn.T.TEST(per_seed!$L$2:$L$11,per_seed!$L$22:$L$31,2,1)</f>
        <v>0.28525192079343209</v>
      </c>
      <c r="E179">
        <v>0.28525192079343981</v>
      </c>
    </row>
    <row r="180" spans="1:5">
      <c r="A180" t="s">
        <v>27</v>
      </c>
      <c r="B180" t="s">
        <v>30</v>
      </c>
      <c r="C180" t="s">
        <v>12</v>
      </c>
      <c r="D180">
        <f>(AVERAGE(per_seed!$M$22:$M$31)-AVERAGE(per_seed!$M$2:$M$11))/AVERAGE(per_seed!$M$2:$M$11)*100</f>
        <v>-0.6797590438361224</v>
      </c>
      <c r="E180">
        <v>-0.67975904383610697</v>
      </c>
    </row>
    <row r="181" spans="1:5">
      <c r="A181" t="s">
        <v>29</v>
      </c>
      <c r="B181" t="s">
        <v>30</v>
      </c>
      <c r="C181" t="s">
        <v>12</v>
      </c>
      <c r="D181">
        <f>_xlfn.T.TEST(per_seed!$M$2:$M$11,per_seed!$M$22:$M$31,2,1)</f>
        <v>0.83591633346918071</v>
      </c>
      <c r="E181">
        <v>0.83591633346918326</v>
      </c>
    </row>
    <row r="182" spans="1:5">
      <c r="A182" t="s">
        <v>27</v>
      </c>
      <c r="B182" t="s">
        <v>31</v>
      </c>
      <c r="C182" t="s">
        <v>3</v>
      </c>
      <c r="D182">
        <f>(AVERAGE(per_seed!$D$32:$D$41)-AVERAGE(per_seed!$D$2:$D$11))/AVERAGE(per_seed!$D$2:$D$11)*100</f>
        <v>4.1711138100666595E-2</v>
      </c>
      <c r="E182">
        <v>4.1711138100666588E-2</v>
      </c>
    </row>
    <row r="183" spans="1:5">
      <c r="A183" t="s">
        <v>29</v>
      </c>
      <c r="B183" t="s">
        <v>31</v>
      </c>
      <c r="C183" t="s">
        <v>3</v>
      </c>
      <c r="D183">
        <f>_xlfn.T.TEST(per_seed!$D$2:$D$11,per_seed!$D$32:$D$41,2,1)</f>
        <v>0.33582401361376057</v>
      </c>
      <c r="E183">
        <v>0.33582401361371311</v>
      </c>
    </row>
    <row r="184" spans="1:5">
      <c r="A184" t="s">
        <v>27</v>
      </c>
      <c r="B184" t="s">
        <v>31</v>
      </c>
      <c r="C184" t="s">
        <v>4</v>
      </c>
      <c r="D184">
        <f>(AVERAGE(per_seed!$E$32:$E$41)-AVERAGE(per_seed!$E$2:$E$11))/AVERAGE(per_seed!$E$2:$E$11)*100</f>
        <v>-7.1839080459773552E-2</v>
      </c>
      <c r="E184">
        <v>-7.1839080459773552E-2</v>
      </c>
    </row>
    <row r="185" spans="1:5">
      <c r="A185" t="s">
        <v>29</v>
      </c>
      <c r="B185" t="s">
        <v>31</v>
      </c>
      <c r="C185" t="s">
        <v>4</v>
      </c>
      <c r="D185">
        <f>_xlfn.T.TEST(per_seed!$E$2:$E$11,per_seed!$E$32:$E$41,2,1)</f>
        <v>0.48816282480551354</v>
      </c>
      <c r="E185">
        <v>0.48816282480553358</v>
      </c>
    </row>
    <row r="186" spans="1:5">
      <c r="A186" t="s">
        <v>27</v>
      </c>
      <c r="B186" t="s">
        <v>31</v>
      </c>
      <c r="C186" t="s">
        <v>5</v>
      </c>
      <c r="D186">
        <f>(AVERAGE(per_seed!$F$32:$F$41)-AVERAGE(per_seed!$F$2:$F$11))/AVERAGE(per_seed!$F$2:$F$11)*100</f>
        <v>2.1062767045790999E-2</v>
      </c>
      <c r="E186">
        <v>2.1062767045790999E-2</v>
      </c>
    </row>
    <row r="187" spans="1:5">
      <c r="A187" t="s">
        <v>29</v>
      </c>
      <c r="B187" t="s">
        <v>31</v>
      </c>
      <c r="C187" t="s">
        <v>5</v>
      </c>
      <c r="D187">
        <f>_xlfn.T.TEST(per_seed!$F$2:$F$11,per_seed!$F$32:$F$41,2,1)</f>
        <v>0.87125649571731756</v>
      </c>
      <c r="E187">
        <v>0.87125649571728547</v>
      </c>
    </row>
    <row r="188" spans="1:5">
      <c r="A188" t="s">
        <v>27</v>
      </c>
      <c r="B188" t="s">
        <v>31</v>
      </c>
      <c r="C188" t="s">
        <v>6</v>
      </c>
      <c r="D188">
        <f>(AVERAGE(per_seed!$G$32:$G$41)-AVERAGE(per_seed!$G$2:$G$11))/AVERAGE(per_seed!$G$2:$G$11)*100</f>
        <v>-2.4088579117574418E-2</v>
      </c>
      <c r="E188">
        <v>-2.4088579117574421E-2</v>
      </c>
    </row>
    <row r="189" spans="1:5">
      <c r="A189" t="s">
        <v>29</v>
      </c>
      <c r="B189" t="s">
        <v>31</v>
      </c>
      <c r="C189" t="s">
        <v>6</v>
      </c>
      <c r="D189">
        <f>_xlfn.T.TEST(per_seed!$G$2:$G$11,per_seed!$G$32:$G$41,2,1)</f>
        <v>0.929120354519271</v>
      </c>
      <c r="E189">
        <v>0.9291203545193305</v>
      </c>
    </row>
    <row r="190" spans="1:5">
      <c r="A190" t="s">
        <v>27</v>
      </c>
      <c r="B190" t="s">
        <v>31</v>
      </c>
      <c r="C190" t="s">
        <v>7</v>
      </c>
      <c r="D190">
        <f>(AVERAGE(per_seed!$H$32:$H$41)-AVERAGE(per_seed!$H$2:$H$11))/AVERAGE(per_seed!$H$2:$H$11)*100</f>
        <v>5.0314465408802168E-2</v>
      </c>
      <c r="E190">
        <v>5.0314465408802168E-2</v>
      </c>
    </row>
    <row r="191" spans="1:5">
      <c r="A191" t="s">
        <v>29</v>
      </c>
      <c r="B191" t="s">
        <v>31</v>
      </c>
      <c r="C191" t="s">
        <v>7</v>
      </c>
      <c r="D191">
        <f>_xlfn.T.TEST(per_seed!$H$2:$H$11,per_seed!$H$32:$H$41,2,1)</f>
        <v>0.84887595119959636</v>
      </c>
      <c r="E191">
        <v>0.8488759511995887</v>
      </c>
    </row>
    <row r="192" spans="1:5">
      <c r="A192" t="s">
        <v>27</v>
      </c>
      <c r="B192" t="s">
        <v>31</v>
      </c>
      <c r="C192" t="s">
        <v>8</v>
      </c>
      <c r="D192">
        <f>(AVERAGE(per_seed!$I$32:$I$41)-AVERAGE(per_seed!$I$2:$I$11))/AVERAGE(per_seed!$I$2:$I$11)*100</f>
        <v>2.2352597044975997E-2</v>
      </c>
      <c r="E192">
        <v>2.2352597044941181E-2</v>
      </c>
    </row>
    <row r="193" spans="1:5">
      <c r="A193" t="s">
        <v>29</v>
      </c>
      <c r="B193" t="s">
        <v>31</v>
      </c>
      <c r="C193" t="s">
        <v>8</v>
      </c>
      <c r="D193">
        <f>_xlfn.T.TEST(per_seed!$I$2:$I$11,per_seed!$I$32:$I$41,2,1)</f>
        <v>0.93548556378149139</v>
      </c>
      <c r="E193">
        <v>0.93548556378157</v>
      </c>
    </row>
    <row r="194" spans="1:5">
      <c r="A194" t="s">
        <v>27</v>
      </c>
      <c r="B194" t="s">
        <v>31</v>
      </c>
      <c r="C194" t="s">
        <v>9</v>
      </c>
      <c r="D194">
        <f>(AVERAGE(per_seed!$J$32:$J$41)-AVERAGE(per_seed!$J$2:$J$11))/AVERAGE(per_seed!$J$2:$J$11)*100</f>
        <v>4.5213324870645985E-2</v>
      </c>
      <c r="E194">
        <v>4.5213324870662458E-2</v>
      </c>
    </row>
    <row r="195" spans="1:5">
      <c r="A195" t="s">
        <v>29</v>
      </c>
      <c r="B195" t="s">
        <v>31</v>
      </c>
      <c r="C195" t="s">
        <v>9</v>
      </c>
      <c r="D195">
        <f>_xlfn.T.TEST(per_seed!$J$2:$J$11,per_seed!$J$32:$J$41,2,1)</f>
        <v>0.88151649572493174</v>
      </c>
      <c r="E195">
        <v>0.88151649572488266</v>
      </c>
    </row>
    <row r="196" spans="1:5">
      <c r="A196" t="s">
        <v>27</v>
      </c>
      <c r="B196" t="s">
        <v>31</v>
      </c>
      <c r="C196" t="s">
        <v>10</v>
      </c>
      <c r="D196">
        <f>(AVERAGE(per_seed!$K$32:$K$41)-AVERAGE(per_seed!$K$2:$K$11))/AVERAGE(per_seed!$K$2:$K$11)*100</f>
        <v>-0.12318002763990719</v>
      </c>
      <c r="E196">
        <v>-0.1231800276398959</v>
      </c>
    </row>
    <row r="197" spans="1:5">
      <c r="A197" t="s">
        <v>29</v>
      </c>
      <c r="B197" t="s">
        <v>31</v>
      </c>
      <c r="C197" t="s">
        <v>10</v>
      </c>
      <c r="D197">
        <f>_xlfn.T.TEST(per_seed!$K$2:$K$11,per_seed!$K$32:$K$41,2,1)</f>
        <v>0.47207438827957371</v>
      </c>
      <c r="E197">
        <v>0.47207438827964049</v>
      </c>
    </row>
    <row r="198" spans="1:5">
      <c r="A198" t="s">
        <v>27</v>
      </c>
      <c r="B198" t="s">
        <v>31</v>
      </c>
      <c r="C198" t="s">
        <v>11</v>
      </c>
      <c r="D198">
        <f>(AVERAGE(per_seed!$L$32:$L$41)-AVERAGE(per_seed!$L$2:$L$11))/AVERAGE(per_seed!$L$2:$L$11)*100</f>
        <v>0.10432354674975199</v>
      </c>
      <c r="E198">
        <v>0.104323546749752</v>
      </c>
    </row>
    <row r="199" spans="1:5">
      <c r="A199" t="s">
        <v>29</v>
      </c>
      <c r="B199" t="s">
        <v>31</v>
      </c>
      <c r="C199" t="s">
        <v>11</v>
      </c>
      <c r="D199">
        <f>_xlfn.T.TEST(per_seed!$L$2:$L$11,per_seed!$L$32:$L$41,2,1)</f>
        <v>0.74273624080769762</v>
      </c>
      <c r="E199">
        <v>0.74273624080770562</v>
      </c>
    </row>
    <row r="200" spans="1:5">
      <c r="A200" t="s">
        <v>27</v>
      </c>
      <c r="B200" t="s">
        <v>31</v>
      </c>
      <c r="C200" t="s">
        <v>12</v>
      </c>
      <c r="D200">
        <f>(AVERAGE(per_seed!$M$32:$M$41)-AVERAGE(per_seed!$M$2:$M$11))/AVERAGE(per_seed!$M$2:$M$11)*100</f>
        <v>-0.60759191293664006</v>
      </c>
      <c r="E200">
        <v>-0.60759191293664017</v>
      </c>
    </row>
    <row r="201" spans="1:5">
      <c r="A201" t="s">
        <v>29</v>
      </c>
      <c r="B201" t="s">
        <v>31</v>
      </c>
      <c r="C201" t="s">
        <v>12</v>
      </c>
      <c r="D201">
        <f>_xlfn.T.TEST(per_seed!$M$2:$M$11,per_seed!$M$32:$M$41,2,1)</f>
        <v>0.43175184957949497</v>
      </c>
      <c r="E201">
        <v>0.43175184957949259</v>
      </c>
    </row>
    <row r="202" spans="1:5">
      <c r="A202" t="s">
        <v>27</v>
      </c>
      <c r="B202" t="s">
        <v>32</v>
      </c>
      <c r="C202" t="s">
        <v>3</v>
      </c>
      <c r="D202">
        <f>(AVERAGE(per_seed!$D$42:$D$51)-AVERAGE(per_seed!$D$2:$D$11))/AVERAGE(per_seed!$D$2:$D$11)*100</f>
        <v>-1.5310441279305163</v>
      </c>
      <c r="E202">
        <v>-1.531044127930516</v>
      </c>
    </row>
    <row r="203" spans="1:5">
      <c r="A203" t="s">
        <v>29</v>
      </c>
      <c r="B203" t="s">
        <v>32</v>
      </c>
      <c r="C203" t="s">
        <v>3</v>
      </c>
      <c r="D203">
        <f>_xlfn.T.TEST(per_seed!$D$2:$D$11,per_seed!$D$42:$D$51,2,1)</f>
        <v>7.1791189513303248E-4</v>
      </c>
      <c r="E203">
        <v>7.1791189513303888E-4</v>
      </c>
    </row>
    <row r="204" spans="1:5">
      <c r="A204" t="s">
        <v>27</v>
      </c>
      <c r="B204" t="s">
        <v>32</v>
      </c>
      <c r="C204" t="s">
        <v>4</v>
      </c>
      <c r="D204">
        <f>(AVERAGE(per_seed!$E$42:$E$51)-AVERAGE(per_seed!$E$2:$E$11))/AVERAGE(per_seed!$E$2:$E$11)*100</f>
        <v>-1.6125983061101061</v>
      </c>
      <c r="E204">
        <v>-1.6125983061101059</v>
      </c>
    </row>
    <row r="205" spans="1:5">
      <c r="A205" t="s">
        <v>29</v>
      </c>
      <c r="B205" t="s">
        <v>32</v>
      </c>
      <c r="C205" t="s">
        <v>4</v>
      </c>
      <c r="D205">
        <f>_xlfn.T.TEST(per_seed!$E$2:$E$11,per_seed!$E$42:$E$51,2,1)</f>
        <v>1.3621392257710037E-4</v>
      </c>
      <c r="E205">
        <v>1.362139225771027E-4</v>
      </c>
    </row>
    <row r="206" spans="1:5">
      <c r="A206" t="s">
        <v>27</v>
      </c>
      <c r="B206" t="s">
        <v>32</v>
      </c>
      <c r="C206" t="s">
        <v>5</v>
      </c>
      <c r="D206">
        <f>(AVERAGE(per_seed!$F$42:$F$51)-AVERAGE(per_seed!$F$2:$F$11))/AVERAGE(per_seed!$F$2:$F$11)*100</f>
        <v>1.3269543238851751</v>
      </c>
      <c r="E206">
        <v>1.3269543238851751</v>
      </c>
    </row>
    <row r="207" spans="1:5">
      <c r="A207" t="s">
        <v>29</v>
      </c>
      <c r="B207" t="s">
        <v>32</v>
      </c>
      <c r="C207" t="s">
        <v>5</v>
      </c>
      <c r="D207">
        <f>_xlfn.T.TEST(per_seed!$F$2:$F$11,per_seed!$F$42:$F$51,2,1)</f>
        <v>1.6188673714190335E-3</v>
      </c>
      <c r="E207">
        <v>1.618867371419009E-3</v>
      </c>
    </row>
    <row r="208" spans="1:5">
      <c r="A208" t="s">
        <v>27</v>
      </c>
      <c r="B208" t="s">
        <v>32</v>
      </c>
      <c r="C208" t="s">
        <v>6</v>
      </c>
      <c r="D208">
        <f>(AVERAGE(per_seed!$G$42:$G$51)-AVERAGE(per_seed!$G$2:$G$11))/AVERAGE(per_seed!$G$2:$G$11)*100</f>
        <v>-49.859319187658556</v>
      </c>
      <c r="E208">
        <v>-49.859319187658564</v>
      </c>
    </row>
    <row r="209" spans="1:5">
      <c r="A209" t="s">
        <v>29</v>
      </c>
      <c r="B209" t="s">
        <v>32</v>
      </c>
      <c r="C209" t="s">
        <v>6</v>
      </c>
      <c r="D209">
        <f>_xlfn.T.TEST(per_seed!$G$2:$G$11,per_seed!$G$42:$G$51,2,1)</f>
        <v>5.9253344753408113E-12</v>
      </c>
      <c r="E209">
        <v>5.9253344753408153E-12</v>
      </c>
    </row>
    <row r="210" spans="1:5">
      <c r="A210" t="s">
        <v>27</v>
      </c>
      <c r="B210" t="s">
        <v>32</v>
      </c>
      <c r="C210" t="s">
        <v>7</v>
      </c>
      <c r="D210">
        <f>(AVERAGE(per_seed!$H$42:$H$51)-AVERAGE(per_seed!$H$2:$H$11))/AVERAGE(per_seed!$H$2:$H$11)*100</f>
        <v>102.41509433962264</v>
      </c>
      <c r="E210">
        <v>102.4150943396226</v>
      </c>
    </row>
    <row r="211" spans="1:5">
      <c r="A211" t="s">
        <v>29</v>
      </c>
      <c r="B211" t="s">
        <v>32</v>
      </c>
      <c r="C211" t="s">
        <v>7</v>
      </c>
      <c r="D211">
        <f>_xlfn.T.TEST(per_seed!$H$2:$H$11,per_seed!$H$42:$H$51,2,1)</f>
        <v>8.4209631837852534E-11</v>
      </c>
      <c r="E211">
        <v>8.4209631837852612E-11</v>
      </c>
    </row>
    <row r="212" spans="1:5">
      <c r="A212" t="s">
        <v>27</v>
      </c>
      <c r="B212" t="s">
        <v>32</v>
      </c>
      <c r="C212" t="s">
        <v>8</v>
      </c>
      <c r="D212">
        <f>(AVERAGE(per_seed!$I$42:$I$51)-AVERAGE(per_seed!$I$2:$I$11))/AVERAGE(per_seed!$I$2:$I$11)*100</f>
        <v>99.817853257723613</v>
      </c>
      <c r="E212">
        <v>99.81785325772357</v>
      </c>
    </row>
    <row r="213" spans="1:5">
      <c r="A213" t="s">
        <v>29</v>
      </c>
      <c r="B213" t="s">
        <v>32</v>
      </c>
      <c r="C213" t="s">
        <v>8</v>
      </c>
      <c r="D213">
        <f>_xlfn.T.TEST(per_seed!$I$2:$I$11,per_seed!$I$42:$I$51,2,1)</f>
        <v>2.3922938359403378E-10</v>
      </c>
      <c r="E213">
        <v>2.3922938359403911E-10</v>
      </c>
    </row>
    <row r="214" spans="1:5">
      <c r="A214" t="s">
        <v>27</v>
      </c>
      <c r="B214" t="s">
        <v>32</v>
      </c>
      <c r="C214" t="s">
        <v>9</v>
      </c>
      <c r="D214">
        <f>(AVERAGE(per_seed!$J$42:$J$51)-AVERAGE(per_seed!$J$2:$J$11))/AVERAGE(per_seed!$J$2:$J$11)*100</f>
        <v>44.664082113245478</v>
      </c>
      <c r="E214">
        <v>44.664082113245513</v>
      </c>
    </row>
    <row r="215" spans="1:5">
      <c r="A215" t="s">
        <v>29</v>
      </c>
      <c r="B215" t="s">
        <v>32</v>
      </c>
      <c r="C215" t="s">
        <v>9</v>
      </c>
      <c r="D215">
        <f>_xlfn.T.TEST(per_seed!$J$2:$J$11,per_seed!$J$42:$J$51,2,1)</f>
        <v>2.0132290042491599E-11</v>
      </c>
      <c r="E215">
        <v>2.0132290042491689E-11</v>
      </c>
    </row>
    <row r="216" spans="1:5">
      <c r="A216" t="s">
        <v>27</v>
      </c>
      <c r="B216" t="s">
        <v>32</v>
      </c>
      <c r="C216" t="s">
        <v>10</v>
      </c>
      <c r="D216">
        <f>(AVERAGE(per_seed!$K$42:$K$51)-AVERAGE(per_seed!$K$2:$K$11))/AVERAGE(per_seed!$K$2:$K$11)*100</f>
        <v>46.002074852201382</v>
      </c>
      <c r="E216">
        <v>46.00207485220136</v>
      </c>
    </row>
    <row r="217" spans="1:5">
      <c r="A217" t="s">
        <v>29</v>
      </c>
      <c r="B217" t="s">
        <v>32</v>
      </c>
      <c r="C217" t="s">
        <v>10</v>
      </c>
      <c r="D217">
        <f>_xlfn.T.TEST(per_seed!$K$2:$K$11,per_seed!$K$42:$K$51,2,1)</f>
        <v>3.5223014931132068E-10</v>
      </c>
      <c r="E217">
        <v>3.5223014931132218E-10</v>
      </c>
    </row>
    <row r="218" spans="1:5">
      <c r="A218" t="s">
        <v>27</v>
      </c>
      <c r="B218" t="s">
        <v>32</v>
      </c>
      <c r="C218" t="s">
        <v>11</v>
      </c>
      <c r="D218">
        <f>(AVERAGE(per_seed!$L$42:$L$51)-AVERAGE(per_seed!$L$2:$L$11))/AVERAGE(per_seed!$L$2:$L$11)*100</f>
        <v>-29.1663411239713</v>
      </c>
      <c r="E218">
        <v>-29.1663411239713</v>
      </c>
    </row>
    <row r="219" spans="1:5">
      <c r="A219" t="s">
        <v>29</v>
      </c>
      <c r="B219" t="s">
        <v>32</v>
      </c>
      <c r="C219" t="s">
        <v>11</v>
      </c>
      <c r="D219">
        <f>_xlfn.T.TEST(per_seed!$L$2:$L$11,per_seed!$L$42:$L$51,2,1)</f>
        <v>1.7879296151763105E-9</v>
      </c>
      <c r="E219">
        <v>1.787929615176306E-9</v>
      </c>
    </row>
    <row r="220" spans="1:5">
      <c r="A220" t="s">
        <v>27</v>
      </c>
      <c r="B220" t="s">
        <v>32</v>
      </c>
      <c r="C220" t="s">
        <v>12</v>
      </c>
      <c r="D220">
        <f>(AVERAGE(per_seed!$M$42:$M$51)-AVERAGE(per_seed!$M$2:$M$11))/AVERAGE(per_seed!$M$2:$M$11)*100</f>
        <v>25.327397425480392</v>
      </c>
      <c r="E220">
        <v>25.32739742548041</v>
      </c>
    </row>
    <row r="221" spans="1:5">
      <c r="A221" t="s">
        <v>29</v>
      </c>
      <c r="B221" t="s">
        <v>32</v>
      </c>
      <c r="C221" t="s">
        <v>12</v>
      </c>
      <c r="D221">
        <f>_xlfn.T.TEST(per_seed!$M$2:$M$11,per_seed!$M$42:$M$51,2,1)</f>
        <v>7.1446531415822728E-4</v>
      </c>
      <c r="E221">
        <v>7.1446531415822695E-4</v>
      </c>
    </row>
    <row r="222" spans="1:5">
      <c r="A222" t="s">
        <v>27</v>
      </c>
      <c r="B222" t="s">
        <v>33</v>
      </c>
      <c r="C222" t="s">
        <v>3</v>
      </c>
      <c r="D222">
        <f>(AVERAGE(per_seed!$D$52:$D$61)-AVERAGE(per_seed!$D$2:$D$11))/AVERAGE(per_seed!$D$2:$D$11)*100</f>
        <v>-0.22573086501540299</v>
      </c>
      <c r="E222">
        <v>-0.22573086501540299</v>
      </c>
    </row>
    <row r="223" spans="1:5">
      <c r="A223" t="s">
        <v>29</v>
      </c>
      <c r="B223" t="s">
        <v>33</v>
      </c>
      <c r="C223" t="s">
        <v>3</v>
      </c>
      <c r="D223">
        <f>_xlfn.T.TEST(per_seed!$D$2:$D$11,per_seed!$D$52:$D$61,2,1)</f>
        <v>0.24799787673502005</v>
      </c>
      <c r="E223">
        <v>0.24799787673503301</v>
      </c>
    </row>
    <row r="224" spans="1:5">
      <c r="A224" t="s">
        <v>27</v>
      </c>
      <c r="B224" t="s">
        <v>33</v>
      </c>
      <c r="C224" t="s">
        <v>4</v>
      </c>
      <c r="D224">
        <f>(AVERAGE(per_seed!$E$52:$E$61)-AVERAGE(per_seed!$E$2:$E$11))/AVERAGE(per_seed!$E$2:$E$11)*100</f>
        <v>-0.25521778584392013</v>
      </c>
      <c r="E224">
        <v>-0.25521778584392008</v>
      </c>
    </row>
    <row r="225" spans="1:5">
      <c r="A225" t="s">
        <v>29</v>
      </c>
      <c r="B225" t="s">
        <v>33</v>
      </c>
      <c r="C225" t="s">
        <v>4</v>
      </c>
      <c r="D225">
        <f>_xlfn.T.TEST(per_seed!$E$2:$E$11,per_seed!$E$52:$E$61,2,1)</f>
        <v>0.35981665207888647</v>
      </c>
      <c r="E225">
        <v>0.35981665207888652</v>
      </c>
    </row>
    <row r="226" spans="1:5">
      <c r="A226" t="s">
        <v>27</v>
      </c>
      <c r="B226" t="s">
        <v>33</v>
      </c>
      <c r="C226" t="s">
        <v>5</v>
      </c>
      <c r="D226">
        <f>(AVERAGE(per_seed!$F$52:$F$61)-AVERAGE(per_seed!$F$2:$F$11))/AVERAGE(per_seed!$F$2:$F$11)*100</f>
        <v>0.81242101462357819</v>
      </c>
      <c r="E226">
        <v>0.81242101462357819</v>
      </c>
    </row>
    <row r="227" spans="1:5">
      <c r="A227" t="s">
        <v>29</v>
      </c>
      <c r="B227" t="s">
        <v>33</v>
      </c>
      <c r="C227" t="s">
        <v>5</v>
      </c>
      <c r="D227">
        <f>_xlfn.T.TEST(per_seed!$F$2:$F$11,per_seed!$F$52:$F$61,2,1)</f>
        <v>8.7018762424840961E-3</v>
      </c>
      <c r="E227">
        <v>8.7018762424840943E-3</v>
      </c>
    </row>
    <row r="228" spans="1:5">
      <c r="A228" t="s">
        <v>27</v>
      </c>
      <c r="B228" t="s">
        <v>33</v>
      </c>
      <c r="C228" t="s">
        <v>6</v>
      </c>
      <c r="D228">
        <f>(AVERAGE(per_seed!$G$52:$G$61)-AVERAGE(per_seed!$G$2:$G$11))/AVERAGE(per_seed!$G$2:$G$11)*100</f>
        <v>-13.331538430365439</v>
      </c>
      <c r="E228">
        <v>-13.331538430365439</v>
      </c>
    </row>
    <row r="229" spans="1:5">
      <c r="A229" t="s">
        <v>29</v>
      </c>
      <c r="B229" t="s">
        <v>33</v>
      </c>
      <c r="C229" t="s">
        <v>6</v>
      </c>
      <c r="D229">
        <f>_xlfn.T.TEST(per_seed!$G$2:$G$11,per_seed!$G$52:$G$61,2,1)</f>
        <v>6.8624492174546787E-7</v>
      </c>
      <c r="E229">
        <v>6.8624492174546353E-7</v>
      </c>
    </row>
    <row r="230" spans="1:5">
      <c r="A230" t="s">
        <v>27</v>
      </c>
      <c r="B230" t="s">
        <v>33</v>
      </c>
      <c r="C230" t="s">
        <v>7</v>
      </c>
      <c r="D230">
        <f>(AVERAGE(per_seed!$H$52:$H$61)-AVERAGE(per_seed!$H$2:$H$11))/AVERAGE(per_seed!$H$2:$H$11)*100</f>
        <v>16.45283018867924</v>
      </c>
      <c r="E230">
        <v>16.45283018867924</v>
      </c>
    </row>
    <row r="231" spans="1:5">
      <c r="A231" t="s">
        <v>29</v>
      </c>
      <c r="B231" t="s">
        <v>33</v>
      </c>
      <c r="C231" t="s">
        <v>7</v>
      </c>
      <c r="D231">
        <f>_xlfn.T.TEST(per_seed!$H$2:$H$11,per_seed!$H$52:$H$61,2,1)</f>
        <v>1.1276870238923594E-6</v>
      </c>
      <c r="E231">
        <v>1.127687023892356E-6</v>
      </c>
    </row>
    <row r="232" spans="1:5">
      <c r="A232" t="s">
        <v>27</v>
      </c>
      <c r="B232" t="s">
        <v>33</v>
      </c>
      <c r="C232" t="s">
        <v>8</v>
      </c>
      <c r="D232">
        <f>(AVERAGE(per_seed!$I$52:$I$61)-AVERAGE(per_seed!$I$2:$I$11))/AVERAGE(per_seed!$I$2:$I$11)*100</f>
        <v>15.53437789675815</v>
      </c>
      <c r="E232">
        <v>15.534377896758089</v>
      </c>
    </row>
    <row r="233" spans="1:5">
      <c r="A233" t="s">
        <v>29</v>
      </c>
      <c r="B233" t="s">
        <v>33</v>
      </c>
      <c r="C233" t="s">
        <v>8</v>
      </c>
      <c r="D233">
        <f>_xlfn.T.TEST(per_seed!$I$2:$I$11,per_seed!$I$52:$I$61,2,1)</f>
        <v>1.8029942484304891E-6</v>
      </c>
      <c r="E233">
        <v>1.8029942484305299E-6</v>
      </c>
    </row>
    <row r="234" spans="1:5">
      <c r="A234" t="s">
        <v>27</v>
      </c>
      <c r="B234" t="s">
        <v>33</v>
      </c>
      <c r="C234" t="s">
        <v>9</v>
      </c>
      <c r="D234">
        <f>(AVERAGE(per_seed!$J$52:$J$61)-AVERAGE(per_seed!$J$2:$J$11))/AVERAGE(per_seed!$J$2:$J$11)*100</f>
        <v>7.6432825201870669</v>
      </c>
      <c r="E234">
        <v>7.6432825201870997</v>
      </c>
    </row>
    <row r="235" spans="1:5">
      <c r="A235" t="s">
        <v>29</v>
      </c>
      <c r="B235" t="s">
        <v>33</v>
      </c>
      <c r="C235" t="s">
        <v>9</v>
      </c>
      <c r="D235">
        <f>_xlfn.T.TEST(per_seed!$J$2:$J$11,per_seed!$J$52:$J$61,2,1)</f>
        <v>3.8512789218070292E-6</v>
      </c>
      <c r="E235">
        <v>3.85127892180682E-6</v>
      </c>
    </row>
    <row r="236" spans="1:5">
      <c r="A236" t="s">
        <v>27</v>
      </c>
      <c r="B236" t="s">
        <v>33</v>
      </c>
      <c r="C236" t="s">
        <v>10</v>
      </c>
      <c r="D236">
        <f>(AVERAGE(per_seed!$K$52:$K$61)-AVERAGE(per_seed!$K$2:$K$11))/AVERAGE(per_seed!$K$2:$K$11)*100</f>
        <v>6.7629411693062833</v>
      </c>
      <c r="E236">
        <v>6.7629411693062833</v>
      </c>
    </row>
    <row r="237" spans="1:5">
      <c r="A237" t="s">
        <v>29</v>
      </c>
      <c r="B237" t="s">
        <v>33</v>
      </c>
      <c r="C237" t="s">
        <v>10</v>
      </c>
      <c r="D237">
        <f>_xlfn.T.TEST(per_seed!$K$2:$K$11,per_seed!$K$52:$K$61,2,1)</f>
        <v>1.477601167830237E-5</v>
      </c>
      <c r="E237">
        <v>1.4776011678302281E-5</v>
      </c>
    </row>
    <row r="238" spans="1:5">
      <c r="A238" t="s">
        <v>27</v>
      </c>
      <c r="B238" t="s">
        <v>33</v>
      </c>
      <c r="C238" t="s">
        <v>11</v>
      </c>
      <c r="D238">
        <f>(AVERAGE(per_seed!$L$52:$L$61)-AVERAGE(per_seed!$L$2:$L$11))/AVERAGE(per_seed!$L$2:$L$11)*100</f>
        <v>-5.2932305315415489</v>
      </c>
      <c r="E238">
        <v>-5.2932305315415631</v>
      </c>
    </row>
    <row r="239" spans="1:5">
      <c r="A239" t="s">
        <v>29</v>
      </c>
      <c r="B239" t="s">
        <v>33</v>
      </c>
      <c r="C239" t="s">
        <v>11</v>
      </c>
      <c r="D239">
        <f>_xlfn.T.TEST(per_seed!$L$2:$L$11,per_seed!$L$52:$L$61,2,1)</f>
        <v>5.7496961317518725E-5</v>
      </c>
      <c r="E239">
        <v>5.7496961317517363E-5</v>
      </c>
    </row>
    <row r="240" spans="1:5">
      <c r="A240" t="s">
        <v>27</v>
      </c>
      <c r="B240" t="s">
        <v>33</v>
      </c>
      <c r="C240" t="s">
        <v>12</v>
      </c>
      <c r="D240">
        <f>(AVERAGE(per_seed!$M$52:$M$61)-AVERAGE(per_seed!$M$2:$M$11))/AVERAGE(per_seed!$M$2:$M$11)*100</f>
        <v>3.8441270058906953</v>
      </c>
      <c r="E240">
        <v>3.8441270058907109</v>
      </c>
    </row>
    <row r="241" spans="1:5">
      <c r="A241" t="s">
        <v>29</v>
      </c>
      <c r="B241" t="s">
        <v>33</v>
      </c>
      <c r="C241" t="s">
        <v>12</v>
      </c>
      <c r="D241">
        <f>_xlfn.T.TEST(per_seed!$M$2:$M$11,per_seed!$M$52:$M$61,2,1)</f>
        <v>0.23391575136193693</v>
      </c>
      <c r="E241">
        <v>0.23391575136193629</v>
      </c>
    </row>
    <row r="242" spans="1:5">
      <c r="A242" t="s">
        <v>27</v>
      </c>
      <c r="B242" t="s">
        <v>34</v>
      </c>
      <c r="C242" t="s">
        <v>3</v>
      </c>
      <c r="D242">
        <f>(AVERAGE(per_seed!$D$62:$D$71)-AVERAGE(per_seed!$D$2:$D$11))/AVERAGE(per_seed!$D$2:$D$11)*100</f>
        <v>0</v>
      </c>
      <c r="E242">
        <v>0</v>
      </c>
    </row>
    <row r="243" spans="1:5">
      <c r="A243" t="s">
        <v>27</v>
      </c>
      <c r="B243" t="s">
        <v>34</v>
      </c>
      <c r="C243" t="s">
        <v>4</v>
      </c>
      <c r="D243">
        <f>(AVERAGE(per_seed!$E$62:$E$71)-AVERAGE(per_seed!$E$2:$E$11))/AVERAGE(per_seed!$E$2:$E$11)*100</f>
        <v>0</v>
      </c>
      <c r="E243">
        <v>0</v>
      </c>
    </row>
    <row r="244" spans="1:5">
      <c r="A244" t="s">
        <v>27</v>
      </c>
      <c r="B244" t="s">
        <v>34</v>
      </c>
      <c r="C244" t="s">
        <v>5</v>
      </c>
      <c r="D244">
        <f>(AVERAGE(per_seed!$F$62:$F$71)-AVERAGE(per_seed!$F$2:$F$11))/AVERAGE(per_seed!$F$2:$F$11)*100</f>
        <v>0</v>
      </c>
      <c r="E244">
        <v>0</v>
      </c>
    </row>
    <row r="245" spans="1:5">
      <c r="A245" t="s">
        <v>27</v>
      </c>
      <c r="B245" t="s">
        <v>34</v>
      </c>
      <c r="C245" t="s">
        <v>6</v>
      </c>
      <c r="D245">
        <f>(AVERAGE(per_seed!$G$62:$G$71)-AVERAGE(per_seed!$G$2:$G$11))/AVERAGE(per_seed!$G$2:$G$11)*100</f>
        <v>0</v>
      </c>
      <c r="E245">
        <v>0</v>
      </c>
    </row>
    <row r="246" spans="1:5">
      <c r="A246" t="s">
        <v>27</v>
      </c>
      <c r="B246" t="s">
        <v>34</v>
      </c>
      <c r="C246" t="s">
        <v>7</v>
      </c>
      <c r="D246">
        <f>(AVERAGE(per_seed!$H$62:$H$71)-AVERAGE(per_seed!$H$2:$H$11))/AVERAGE(per_seed!$H$2:$H$11)*100</f>
        <v>0</v>
      </c>
      <c r="E246">
        <v>0</v>
      </c>
    </row>
    <row r="247" spans="1:5">
      <c r="A247" t="s">
        <v>27</v>
      </c>
      <c r="B247" t="s">
        <v>34</v>
      </c>
      <c r="C247" t="s">
        <v>8</v>
      </c>
      <c r="D247">
        <f>(AVERAGE(per_seed!$I$62:$I$71)-AVERAGE(per_seed!$I$2:$I$11))/AVERAGE(per_seed!$I$2:$I$11)*100</f>
        <v>0</v>
      </c>
      <c r="E247">
        <v>0</v>
      </c>
    </row>
    <row r="248" spans="1:5">
      <c r="A248" t="s">
        <v>27</v>
      </c>
      <c r="B248" t="s">
        <v>34</v>
      </c>
      <c r="C248" t="s">
        <v>9</v>
      </c>
      <c r="D248">
        <f>(AVERAGE(per_seed!$J$62:$J$71)-AVERAGE(per_seed!$J$2:$J$11))/AVERAGE(per_seed!$J$2:$J$11)*100</f>
        <v>0</v>
      </c>
      <c r="E248">
        <v>0</v>
      </c>
    </row>
    <row r="249" spans="1:5">
      <c r="A249" t="s">
        <v>27</v>
      </c>
      <c r="B249" t="s">
        <v>34</v>
      </c>
      <c r="C249" t="s">
        <v>10</v>
      </c>
      <c r="D249">
        <f>(AVERAGE(per_seed!$K$62:$K$71)-AVERAGE(per_seed!$K$2:$K$11))/AVERAGE(per_seed!$K$2:$K$11)*100</f>
        <v>0</v>
      </c>
      <c r="E249">
        <v>0</v>
      </c>
    </row>
    <row r="250" spans="1:5">
      <c r="A250" t="s">
        <v>27</v>
      </c>
      <c r="B250" t="s">
        <v>34</v>
      </c>
      <c r="C250" t="s">
        <v>11</v>
      </c>
      <c r="D250">
        <f>(AVERAGE(per_seed!$L$62:$L$71)-AVERAGE(per_seed!$L$2:$L$11))/AVERAGE(per_seed!$L$2:$L$11)*100</f>
        <v>0</v>
      </c>
      <c r="E250">
        <v>0</v>
      </c>
    </row>
    <row r="251" spans="1:5">
      <c r="A251" t="s">
        <v>27</v>
      </c>
      <c r="B251" t="s">
        <v>34</v>
      </c>
      <c r="C251" t="s">
        <v>12</v>
      </c>
      <c r="D251">
        <f>(AVERAGE(per_seed!$M$62:$M$71)-AVERAGE(per_seed!$M$2:$M$11))/AVERAGE(per_seed!$M$2:$M$11)*100</f>
        <v>0</v>
      </c>
      <c r="E25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2026-09-17T20:10:38Z</dcterms:created>
  <dcterms:modified xsi:type="dcterms:W3CDTF">2026-09-17T20:10:43Z</dcterms:modified>
</cp:coreProperties>
</file>