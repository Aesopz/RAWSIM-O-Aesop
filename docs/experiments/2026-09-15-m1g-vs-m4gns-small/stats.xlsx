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AppData\Local\Temp\claude\C--Users-Aesop-Desktop-EE-RAWSim-O-PP\645e0a80-20db-4af0-a70f-a630c85424dc\scratchpad\slide48\"/>
    </mc:Choice>
  </mc:AlternateContent>
  <xr:revisionPtr revIDLastSave="0" documentId="13_ncr:1_{08EB76B6-0A71-474B-8511-B43920AA5711}" xr6:coauthVersionLast="47" xr6:coauthVersionMax="47" xr10:uidLastSave="{00000000-0000-0000-0000-000000000000}"/>
  <bookViews>
    <workbookView xWindow="30690" yWindow="1605" windowWidth="12150" windowHeight="10605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1" i="2" l="1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<sst xmlns="http://schemas.openxmlformats.org/spreadsheetml/2006/main" count="418" uniqueCount="28">
  <si>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</si>
  <si>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</si>
  <si>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</si>
  <si>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</si>
  <si>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</si>
  <si>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</si>
  <si>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</si>
  <si>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</si>
  <si>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</si>
  <si>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</si>
  <si>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</si>
  <si>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</si>
  <si>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</si>
  <si>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M1G</t>
  </si>
  <si>
    <t>M4G-NS</t>
  </si>
  <si>
    <t xml:space="preserve">M1G </t>
  </si>
  <si>
    <t xml:space="preserve">M4G-NS 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</si>
  <si>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</si>
  <si>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</si>
  <si>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</si>
  <si>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</si>
  <si>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</si>
  <si>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</si>
  <si>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</si>
  <si>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</si>
  <si>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M4G-NS vs M1G</t>
  </si>
  <si>
    <t>p</t>
  </si>
  <si>
    <t xml:space="preserve">M4G-NS  vs M1G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</si>
</sst>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1224</v>
      </c>
      <c r="E2">
        <v>788</v>
      </c>
      <c r="F2">
        <v>578</v>
      </c>
      <c r="G2">
        <v>3.2655367231638421</v>
      </c>
      <c r="H2">
        <v>177</v>
      </c>
      <c r="I2">
        <v>0.30622837370242212</v>
      </c>
      <c r="J2">
        <v>14.69670050761421</v>
      </c>
      <c r="K2">
        <v>1.64242936099588</v>
      </c>
      <c r="L2">
        <v>321.46666666692198</v>
      </c>
      <c r="M2">
        <v>15.057716049456459</v>
      </c>
    </row>
    <row r="3" spans="1:13">
      <c r="A3" t="s">
        <v>13</v>
      </c>
      <c r="B3">
        <v>6</v>
      </c>
      <c r="C3">
        <v>1</v>
      </c>
      <c r="D3">
        <v>1263</v>
      </c>
      <c r="E3">
        <v>813</v>
      </c>
      <c r="F3">
        <v>564</v>
      </c>
      <c r="G3">
        <v>3.279069767441861</v>
      </c>
      <c r="H3">
        <v>172</v>
      </c>
      <c r="I3">
        <v>0.30496453900709219</v>
      </c>
      <c r="J3">
        <v>14.49077490774908</v>
      </c>
      <c r="K3">
        <v>1.70701758748049</v>
      </c>
      <c r="L3">
        <v>341.86666666665502</v>
      </c>
      <c r="M3">
        <v>12.412037037184559</v>
      </c>
    </row>
    <row r="4" spans="1:13">
      <c r="A4" t="s">
        <v>13</v>
      </c>
      <c r="B4">
        <v>6</v>
      </c>
      <c r="C4">
        <v>2</v>
      </c>
      <c r="D4">
        <v>1244</v>
      </c>
      <c r="E4">
        <v>833</v>
      </c>
      <c r="F4">
        <v>587</v>
      </c>
      <c r="G4">
        <v>3.243093922651934</v>
      </c>
      <c r="H4">
        <v>181</v>
      </c>
      <c r="I4">
        <v>0.30834752981260649</v>
      </c>
      <c r="J4">
        <v>15.087635054021611</v>
      </c>
      <c r="K4">
        <v>1.7439230310848199</v>
      </c>
      <c r="L4">
        <v>340.62222222249301</v>
      </c>
      <c r="M4">
        <v>13.62345679019694</v>
      </c>
    </row>
    <row r="5" spans="1:13">
      <c r="A5" t="s">
        <v>13</v>
      </c>
      <c r="B5">
        <v>6</v>
      </c>
      <c r="C5">
        <v>3</v>
      </c>
      <c r="D5">
        <v>1239</v>
      </c>
      <c r="E5">
        <v>808</v>
      </c>
      <c r="F5">
        <v>576</v>
      </c>
      <c r="G5">
        <v>3.2727272727272729</v>
      </c>
      <c r="H5">
        <v>176</v>
      </c>
      <c r="I5">
        <v>0.30555555555555558</v>
      </c>
      <c r="J5">
        <v>14.68968623464777</v>
      </c>
      <c r="K5">
        <v>1.69337299560711</v>
      </c>
      <c r="L5">
        <v>338.31111110965003</v>
      </c>
      <c r="M5">
        <v>13.985185185258761</v>
      </c>
    </row>
    <row r="6" spans="1:13">
      <c r="A6" t="s">
        <v>13</v>
      </c>
      <c r="B6">
        <v>6</v>
      </c>
      <c r="C6">
        <v>4</v>
      </c>
      <c r="D6">
        <v>1222</v>
      </c>
      <c r="E6">
        <v>787</v>
      </c>
      <c r="F6">
        <v>569</v>
      </c>
      <c r="G6">
        <v>3.2146892655367232</v>
      </c>
      <c r="H6">
        <v>177</v>
      </c>
      <c r="I6">
        <v>0.31107205623901579</v>
      </c>
      <c r="J6">
        <v>14.962433996881449</v>
      </c>
      <c r="K6">
        <v>1.6935606721330201</v>
      </c>
      <c r="L6">
        <v>322.04444444305301</v>
      </c>
      <c r="M6">
        <v>15.1802469136539</v>
      </c>
    </row>
    <row r="7" spans="1:13">
      <c r="A7" t="s">
        <v>13</v>
      </c>
      <c r="B7">
        <v>6</v>
      </c>
      <c r="C7">
        <v>5</v>
      </c>
      <c r="D7">
        <v>1280</v>
      </c>
      <c r="E7">
        <v>820</v>
      </c>
      <c r="F7">
        <v>585</v>
      </c>
      <c r="G7">
        <v>3.362068965517242</v>
      </c>
      <c r="H7">
        <v>174</v>
      </c>
      <c r="I7">
        <v>0.29743589743589738</v>
      </c>
      <c r="J7">
        <v>15.264476244873171</v>
      </c>
      <c r="K7">
        <v>1.72494127526053</v>
      </c>
      <c r="L7">
        <v>321.28888888895801</v>
      </c>
      <c r="M7">
        <v>11.13734567915934</v>
      </c>
    </row>
    <row r="8" spans="1:13">
      <c r="A8" t="s">
        <v>13</v>
      </c>
      <c r="B8">
        <v>6</v>
      </c>
      <c r="C8">
        <v>6</v>
      </c>
      <c r="D8">
        <v>1196</v>
      </c>
      <c r="E8">
        <v>773</v>
      </c>
      <c r="F8">
        <v>542</v>
      </c>
      <c r="G8">
        <v>3.1511627906976738</v>
      </c>
      <c r="H8">
        <v>172</v>
      </c>
      <c r="I8">
        <v>0.31734317343173429</v>
      </c>
      <c r="J8">
        <v>15.293245417213971</v>
      </c>
      <c r="K8">
        <v>1.75458335800288</v>
      </c>
      <c r="L8">
        <v>314.44444444469502</v>
      </c>
      <c r="M8">
        <v>16.969135802542709</v>
      </c>
    </row>
    <row r="9" spans="1:13">
      <c r="A9" t="s">
        <v>13</v>
      </c>
      <c r="B9">
        <v>6</v>
      </c>
      <c r="C9">
        <v>7</v>
      </c>
      <c r="D9">
        <v>1275</v>
      </c>
      <c r="E9">
        <v>840</v>
      </c>
      <c r="F9">
        <v>603</v>
      </c>
      <c r="G9">
        <v>3.387640449438202</v>
      </c>
      <c r="H9">
        <v>178</v>
      </c>
      <c r="I9">
        <v>0.29519071310116091</v>
      </c>
      <c r="J9">
        <v>14.517857142857141</v>
      </c>
      <c r="K9">
        <v>1.6245744242684299</v>
      </c>
      <c r="L9">
        <v>312.13333333517897</v>
      </c>
      <c r="M9">
        <v>11.515432098912591</v>
      </c>
    </row>
    <row r="10" spans="1:13">
      <c r="A10" t="s">
        <v>13</v>
      </c>
      <c r="B10">
        <v>6</v>
      </c>
      <c r="C10">
        <v>8</v>
      </c>
      <c r="D10">
        <v>1251</v>
      </c>
      <c r="E10">
        <v>820</v>
      </c>
      <c r="F10">
        <v>585</v>
      </c>
      <c r="G10">
        <v>3.2681564245810062</v>
      </c>
      <c r="H10">
        <v>179</v>
      </c>
      <c r="I10">
        <v>0.30598290598290601</v>
      </c>
      <c r="J10">
        <v>14.557021045022189</v>
      </c>
      <c r="K10">
        <v>1.6542766530206101</v>
      </c>
      <c r="L10">
        <v>304.04444444624198</v>
      </c>
      <c r="M10">
        <v>13.19475308656695</v>
      </c>
    </row>
    <row r="11" spans="1:13">
      <c r="A11" t="s">
        <v>13</v>
      </c>
      <c r="B11">
        <v>6</v>
      </c>
      <c r="C11">
        <v>9</v>
      </c>
      <c r="D11">
        <v>1229</v>
      </c>
      <c r="E11">
        <v>787</v>
      </c>
      <c r="F11">
        <v>560</v>
      </c>
      <c r="G11">
        <v>3.1638418079096051</v>
      </c>
      <c r="H11">
        <v>177</v>
      </c>
      <c r="I11">
        <v>0.31607142857142861</v>
      </c>
      <c r="J11">
        <v>15.036848792884371</v>
      </c>
      <c r="K11">
        <v>1.7195392349684999</v>
      </c>
      <c r="L11">
        <v>328.66666666860999</v>
      </c>
      <c r="M11">
        <v>14.69814814829528</v>
      </c>
    </row>
    <row r="12" spans="1:13">
      <c r="A12" t="s">
        <v>14</v>
      </c>
      <c r="B12">
        <v>6</v>
      </c>
      <c r="C12">
        <v>0</v>
      </c>
      <c r="D12">
        <v>1225</v>
      </c>
      <c r="E12">
        <v>800</v>
      </c>
      <c r="F12">
        <v>583</v>
      </c>
      <c r="G12">
        <v>3.2569832402234642</v>
      </c>
      <c r="H12">
        <v>179</v>
      </c>
      <c r="I12">
        <v>0.307032590051458</v>
      </c>
      <c r="J12">
        <v>14.216954560884499</v>
      </c>
      <c r="K12">
        <v>1.6109445323790901</v>
      </c>
      <c r="L12">
        <v>420.84444444477901</v>
      </c>
      <c r="M12">
        <v>14.970370370444011</v>
      </c>
    </row>
    <row r="13" spans="1:13">
      <c r="A13" t="s">
        <v>14</v>
      </c>
      <c r="B13">
        <v>6</v>
      </c>
      <c r="C13">
        <v>1</v>
      </c>
      <c r="D13">
        <v>1133</v>
      </c>
      <c r="E13">
        <v>725</v>
      </c>
      <c r="F13">
        <v>496</v>
      </c>
      <c r="G13">
        <v>2.8505747126436778</v>
      </c>
      <c r="H13">
        <v>174</v>
      </c>
      <c r="I13">
        <v>0.35080645161290319</v>
      </c>
      <c r="J13">
        <v>15.06758740421393</v>
      </c>
      <c r="K13">
        <v>1.8090424672038199</v>
      </c>
      <c r="L13">
        <v>426.133333331492</v>
      </c>
      <c r="M13">
        <v>21.39166666681389</v>
      </c>
    </row>
    <row r="14" spans="1:13">
      <c r="A14" t="s">
        <v>14</v>
      </c>
      <c r="B14">
        <v>6</v>
      </c>
      <c r="C14">
        <v>2</v>
      </c>
      <c r="D14">
        <v>1147</v>
      </c>
      <c r="E14">
        <v>763</v>
      </c>
      <c r="F14">
        <v>530</v>
      </c>
      <c r="G14">
        <v>2.912087912087912</v>
      </c>
      <c r="H14">
        <v>182</v>
      </c>
      <c r="I14">
        <v>0.34339622641509432</v>
      </c>
      <c r="J14">
        <v>15.661666712149151</v>
      </c>
      <c r="K14">
        <v>1.8544586603979301</v>
      </c>
      <c r="L14">
        <v>415.91111110966602</v>
      </c>
      <c r="M14">
        <v>20.347222222222221</v>
      </c>
    </row>
    <row r="15" spans="1:13">
      <c r="A15" t="s">
        <v>14</v>
      </c>
      <c r="B15">
        <v>6</v>
      </c>
      <c r="C15">
        <v>3</v>
      </c>
      <c r="D15">
        <v>1083</v>
      </c>
      <c r="E15">
        <v>700</v>
      </c>
      <c r="F15">
        <v>488</v>
      </c>
      <c r="G15">
        <v>2.957575757575758</v>
      </c>
      <c r="H15">
        <v>165</v>
      </c>
      <c r="I15">
        <v>0.33811475409836073</v>
      </c>
      <c r="J15">
        <v>15.79690556105043</v>
      </c>
      <c r="K15">
        <v>1.87866431742462</v>
      </c>
      <c r="L15">
        <v>470.80000000278301</v>
      </c>
      <c r="M15">
        <v>24.803703703777149</v>
      </c>
    </row>
    <row r="16" spans="1:13">
      <c r="A16" t="s">
        <v>14</v>
      </c>
      <c r="B16">
        <v>6</v>
      </c>
      <c r="C16">
        <v>4</v>
      </c>
      <c r="D16">
        <v>1145</v>
      </c>
      <c r="E16">
        <v>743</v>
      </c>
      <c r="F16">
        <v>523</v>
      </c>
      <c r="G16">
        <v>3.0946745562130178</v>
      </c>
      <c r="H16">
        <v>169</v>
      </c>
      <c r="I16">
        <v>0.32313575525812621</v>
      </c>
      <c r="J16">
        <v>14.904877649198379</v>
      </c>
      <c r="K16">
        <v>1.7256661628441501</v>
      </c>
      <c r="L16">
        <v>416.08888888922002</v>
      </c>
      <c r="M16">
        <v>20.542901234641661</v>
      </c>
    </row>
    <row r="17" spans="1:13">
      <c r="A17" t="s">
        <v>14</v>
      </c>
      <c r="B17">
        <v>6</v>
      </c>
      <c r="C17">
        <v>5</v>
      </c>
      <c r="D17">
        <v>1168</v>
      </c>
      <c r="E17">
        <v>757</v>
      </c>
      <c r="F17">
        <v>526</v>
      </c>
      <c r="G17">
        <v>3.076023391812865</v>
      </c>
      <c r="H17">
        <v>171</v>
      </c>
      <c r="I17">
        <v>0.32509505703422048</v>
      </c>
      <c r="J17">
        <v>14.65918212424716</v>
      </c>
      <c r="K17">
        <v>1.7299677295693301</v>
      </c>
      <c r="L17">
        <v>471.64444444723301</v>
      </c>
      <c r="M17">
        <v>18.955246913727429</v>
      </c>
    </row>
    <row r="18" spans="1:13">
      <c r="A18" t="s">
        <v>14</v>
      </c>
      <c r="B18">
        <v>6</v>
      </c>
      <c r="C18">
        <v>6</v>
      </c>
      <c r="D18">
        <v>1143</v>
      </c>
      <c r="E18">
        <v>741</v>
      </c>
      <c r="F18">
        <v>513</v>
      </c>
      <c r="G18">
        <v>3.2468354430379751</v>
      </c>
      <c r="H18">
        <v>158</v>
      </c>
      <c r="I18">
        <v>0.30799220272904482</v>
      </c>
      <c r="J18">
        <v>14.333968735921051</v>
      </c>
      <c r="K18">
        <v>1.69997415156943</v>
      </c>
      <c r="L18">
        <v>483.33333333306001</v>
      </c>
      <c r="M18">
        <v>20.718518518665899</v>
      </c>
    </row>
    <row r="19" spans="1:13">
      <c r="A19" t="s">
        <v>14</v>
      </c>
      <c r="B19">
        <v>6</v>
      </c>
      <c r="C19">
        <v>7</v>
      </c>
      <c r="D19">
        <v>1215</v>
      </c>
      <c r="E19">
        <v>803</v>
      </c>
      <c r="F19">
        <v>568</v>
      </c>
      <c r="G19">
        <v>3.341176470588235</v>
      </c>
      <c r="H19">
        <v>170</v>
      </c>
      <c r="I19">
        <v>0.29929577464788731</v>
      </c>
      <c r="J19">
        <v>13.5111864074208</v>
      </c>
      <c r="K19">
        <v>1.5556250749282401</v>
      </c>
      <c r="L19">
        <v>392.84444444475702</v>
      </c>
      <c r="M19">
        <v>15.67623456797493</v>
      </c>
    </row>
    <row r="20" spans="1:13">
      <c r="A20" t="s">
        <v>14</v>
      </c>
      <c r="B20">
        <v>6</v>
      </c>
      <c r="C20">
        <v>8</v>
      </c>
      <c r="D20">
        <v>1109</v>
      </c>
      <c r="E20">
        <v>725</v>
      </c>
      <c r="F20">
        <v>497</v>
      </c>
      <c r="G20">
        <v>2.9939759036144582</v>
      </c>
      <c r="H20">
        <v>166</v>
      </c>
      <c r="I20">
        <v>0.33400402414486918</v>
      </c>
      <c r="J20">
        <v>15.321400723676</v>
      </c>
      <c r="K20">
        <v>1.8444914940536401</v>
      </c>
      <c r="L20">
        <v>435.02222222216602</v>
      </c>
      <c r="M20">
        <v>23.012654321061252</v>
      </c>
    </row>
    <row r="21" spans="1:13">
      <c r="A21" t="s">
        <v>14</v>
      </c>
      <c r="B21">
        <v>6</v>
      </c>
      <c r="C21">
        <v>9</v>
      </c>
      <c r="D21">
        <v>1105</v>
      </c>
      <c r="E21">
        <v>724</v>
      </c>
      <c r="F21">
        <v>508</v>
      </c>
      <c r="G21">
        <v>3.0975609756097562</v>
      </c>
      <c r="H21">
        <v>164</v>
      </c>
      <c r="I21">
        <v>0.32283464566929132</v>
      </c>
      <c r="J21">
        <v>14.899171270718231</v>
      </c>
      <c r="K21">
        <v>1.7476160983970099</v>
      </c>
      <c r="L21">
        <v>421.95555555547497</v>
      </c>
      <c r="M21">
        <v>23.28549382730743</v>
      </c>
    </row>
    <row r="22" spans="1:13">
      <c r="A22" t="s">
        <v>15</v>
      </c>
      <c r="B22">
        <v>10</v>
      </c>
      <c r="C22">
        <v>0</v>
      </c>
      <c r="D22">
        <v>1421</v>
      </c>
      <c r="E22">
        <v>912</v>
      </c>
      <c r="F22">
        <v>656</v>
      </c>
      <c r="G22">
        <v>2.9818181818181819</v>
      </c>
      <c r="H22">
        <v>220</v>
      </c>
      <c r="I22">
        <v>0.33536585365853661</v>
      </c>
      <c r="J22">
        <v>16.99577365846557</v>
      </c>
      <c r="K22">
        <v>1.94116153467863</v>
      </c>
      <c r="L22">
        <v>352.84444444338999</v>
      </c>
      <c r="M22">
        <v>1.383024691505224</v>
      </c>
    </row>
    <row r="23" spans="1:13">
      <c r="A23" t="s">
        <v>15</v>
      </c>
      <c r="B23">
        <v>10</v>
      </c>
      <c r="C23">
        <v>1</v>
      </c>
      <c r="D23">
        <v>1428</v>
      </c>
      <c r="E23">
        <v>907</v>
      </c>
      <c r="F23">
        <v>629</v>
      </c>
      <c r="G23">
        <v>3.083333333333333</v>
      </c>
      <c r="H23">
        <v>204</v>
      </c>
      <c r="I23">
        <v>0.32432432432432429</v>
      </c>
      <c r="J23">
        <v>16.52593613884223</v>
      </c>
      <c r="K23">
        <v>1.9659670136571901</v>
      </c>
      <c r="L23">
        <v>406.17777778017899</v>
      </c>
      <c r="M23">
        <v>0.91203703718432294</v>
      </c>
    </row>
    <row r="24" spans="1:13">
      <c r="A24" t="s">
        <v>15</v>
      </c>
      <c r="B24">
        <v>10</v>
      </c>
      <c r="C24">
        <v>2</v>
      </c>
      <c r="D24">
        <v>1415</v>
      </c>
      <c r="E24">
        <v>945</v>
      </c>
      <c r="F24">
        <v>655</v>
      </c>
      <c r="G24">
        <v>3.075117370892019</v>
      </c>
      <c r="H24">
        <v>213</v>
      </c>
      <c r="I24">
        <v>0.32519083969465651</v>
      </c>
      <c r="J24">
        <v>16.53951499113915</v>
      </c>
      <c r="K24">
        <v>1.9823049406889299</v>
      </c>
      <c r="L24">
        <v>382.26666666892697</v>
      </c>
      <c r="M24">
        <v>1.813580247060868</v>
      </c>
    </row>
    <row r="25" spans="1:13">
      <c r="A25" t="s">
        <v>15</v>
      </c>
      <c r="B25">
        <v>10</v>
      </c>
      <c r="C25">
        <v>3</v>
      </c>
      <c r="D25">
        <v>1411</v>
      </c>
      <c r="E25">
        <v>910</v>
      </c>
      <c r="F25">
        <v>632</v>
      </c>
      <c r="G25">
        <v>2.967136150234742</v>
      </c>
      <c r="H25">
        <v>213</v>
      </c>
      <c r="I25">
        <v>0.33702531645569622</v>
      </c>
      <c r="J25">
        <v>16.966275734261099</v>
      </c>
      <c r="K25">
        <v>2.0163228071356598</v>
      </c>
      <c r="L25">
        <v>383.82222222449099</v>
      </c>
      <c r="M25">
        <v>2.078086419900278</v>
      </c>
    </row>
    <row r="26" spans="1:13">
      <c r="A26" t="s">
        <v>15</v>
      </c>
      <c r="B26">
        <v>10</v>
      </c>
      <c r="C26">
        <v>4</v>
      </c>
      <c r="D26">
        <v>1419</v>
      </c>
      <c r="E26">
        <v>922</v>
      </c>
      <c r="F26">
        <v>648</v>
      </c>
      <c r="G26">
        <v>3</v>
      </c>
      <c r="H26">
        <v>216</v>
      </c>
      <c r="I26">
        <v>0.33333333333333331</v>
      </c>
      <c r="J26">
        <v>16.612296637726899</v>
      </c>
      <c r="K26">
        <v>1.9616677057202301</v>
      </c>
      <c r="L26">
        <v>401.15555555792702</v>
      </c>
      <c r="M26">
        <v>1.4808641976044119</v>
      </c>
    </row>
    <row r="27" spans="1:13">
      <c r="A27" t="s">
        <v>15</v>
      </c>
      <c r="B27">
        <v>10</v>
      </c>
      <c r="C27">
        <v>5</v>
      </c>
      <c r="D27">
        <v>1373</v>
      </c>
      <c r="E27">
        <v>883</v>
      </c>
      <c r="F27">
        <v>620</v>
      </c>
      <c r="G27">
        <v>2.805429864253393</v>
      </c>
      <c r="H27">
        <v>221</v>
      </c>
      <c r="I27">
        <v>0.3564516129032258</v>
      </c>
      <c r="J27">
        <v>18.215340694547791</v>
      </c>
      <c r="K27">
        <v>2.1410628888438499</v>
      </c>
      <c r="L27">
        <v>381.51111110966701</v>
      </c>
      <c r="M27">
        <v>4.7620370371844976</v>
      </c>
    </row>
    <row r="28" spans="1:13">
      <c r="A28" t="s">
        <v>15</v>
      </c>
      <c r="B28">
        <v>10</v>
      </c>
      <c r="C28">
        <v>6</v>
      </c>
      <c r="D28">
        <v>1421</v>
      </c>
      <c r="E28">
        <v>920</v>
      </c>
      <c r="F28">
        <v>641</v>
      </c>
      <c r="G28">
        <v>2.995327102803738</v>
      </c>
      <c r="H28">
        <v>214</v>
      </c>
      <c r="I28">
        <v>0.33385335413416539</v>
      </c>
      <c r="J28">
        <v>16.631573407303371</v>
      </c>
      <c r="K28">
        <v>1.9766889831076699</v>
      </c>
      <c r="L28">
        <v>372.22222222442298</v>
      </c>
      <c r="M28">
        <v>1.4179012347153039</v>
      </c>
    </row>
    <row r="29" spans="1:13">
      <c r="A29" t="s">
        <v>15</v>
      </c>
      <c r="B29">
        <v>10</v>
      </c>
      <c r="C29">
        <v>7</v>
      </c>
      <c r="D29">
        <v>1423</v>
      </c>
      <c r="E29">
        <v>936</v>
      </c>
      <c r="F29">
        <v>656</v>
      </c>
      <c r="G29">
        <v>3.0943396226415101</v>
      </c>
      <c r="H29">
        <v>212</v>
      </c>
      <c r="I29">
        <v>0.32317073170731708</v>
      </c>
      <c r="J29">
        <v>16.258547499027781</v>
      </c>
      <c r="K29">
        <v>1.91841138002889</v>
      </c>
      <c r="L29">
        <v>340.53333333360399</v>
      </c>
      <c r="M29">
        <v>1.267592592739927</v>
      </c>
    </row>
    <row r="30" spans="1:13">
      <c r="A30" t="s">
        <v>15</v>
      </c>
      <c r="B30">
        <v>10</v>
      </c>
      <c r="C30">
        <v>8</v>
      </c>
      <c r="D30">
        <v>1419</v>
      </c>
      <c r="E30">
        <v>923</v>
      </c>
      <c r="F30">
        <v>650</v>
      </c>
      <c r="G30">
        <v>3.066037735849056</v>
      </c>
      <c r="H30">
        <v>212</v>
      </c>
      <c r="I30">
        <v>0.32615384615384613</v>
      </c>
      <c r="J30">
        <v>16.925180570568799</v>
      </c>
      <c r="K30">
        <v>1.9695530510728301</v>
      </c>
      <c r="L30">
        <v>350.53333333361201</v>
      </c>
      <c r="M30">
        <v>1.503086419900173</v>
      </c>
    </row>
    <row r="31" spans="1:13">
      <c r="A31" t="s">
        <v>15</v>
      </c>
      <c r="B31">
        <v>10</v>
      </c>
      <c r="C31">
        <v>9</v>
      </c>
      <c r="D31">
        <v>1426</v>
      </c>
      <c r="E31">
        <v>921</v>
      </c>
      <c r="F31">
        <v>640</v>
      </c>
      <c r="G31">
        <v>3.1067961165048539</v>
      </c>
      <c r="H31">
        <v>206</v>
      </c>
      <c r="I31">
        <v>0.32187500000000002</v>
      </c>
      <c r="J31">
        <v>16.052093553873611</v>
      </c>
      <c r="K31">
        <v>1.9310365423097899</v>
      </c>
      <c r="L31">
        <v>364.97777777620098</v>
      </c>
      <c r="M31">
        <v>1.0293209878014771</v>
      </c>
    </row>
    <row r="32" spans="1:13">
      <c r="A32" t="s">
        <v>16</v>
      </c>
      <c r="B32">
        <v>10</v>
      </c>
      <c r="C32">
        <v>0</v>
      </c>
      <c r="D32">
        <v>1403</v>
      </c>
      <c r="E32">
        <v>896</v>
      </c>
      <c r="F32">
        <v>639</v>
      </c>
      <c r="G32">
        <v>3.4918032786885251</v>
      </c>
      <c r="H32">
        <v>183</v>
      </c>
      <c r="I32">
        <v>0.28638497652582162</v>
      </c>
      <c r="J32">
        <v>14.56808035714297</v>
      </c>
      <c r="K32">
        <v>1.6999084632561401</v>
      </c>
      <c r="L32">
        <v>427.24444444697002</v>
      </c>
      <c r="M32">
        <v>2.6367283952089369</v>
      </c>
    </row>
    <row r="33" spans="1:13">
      <c r="A33" t="s">
        <v>16</v>
      </c>
      <c r="B33">
        <v>10</v>
      </c>
      <c r="C33">
        <v>1</v>
      </c>
      <c r="D33">
        <v>1401</v>
      </c>
      <c r="E33">
        <v>906</v>
      </c>
      <c r="F33">
        <v>617</v>
      </c>
      <c r="G33">
        <v>3.0696517412935318</v>
      </c>
      <c r="H33">
        <v>201</v>
      </c>
      <c r="I33">
        <v>0.32576985413290122</v>
      </c>
      <c r="J33">
        <v>15.75563833697748</v>
      </c>
      <c r="K33">
        <v>1.8907611983755199</v>
      </c>
      <c r="L33">
        <v>464.400000002745</v>
      </c>
      <c r="M33">
        <v>2.7623456791594792</v>
      </c>
    </row>
    <row r="34" spans="1:13">
      <c r="A34" t="s">
        <v>16</v>
      </c>
      <c r="B34">
        <v>10</v>
      </c>
      <c r="C34">
        <v>2</v>
      </c>
      <c r="D34">
        <v>1415</v>
      </c>
      <c r="E34">
        <v>944</v>
      </c>
      <c r="F34">
        <v>648</v>
      </c>
      <c r="G34">
        <v>3.357512953367876</v>
      </c>
      <c r="H34">
        <v>193</v>
      </c>
      <c r="I34">
        <v>0.2978395061728395</v>
      </c>
      <c r="J34">
        <v>14.59277551770297</v>
      </c>
      <c r="K34">
        <v>1.7615435254270899</v>
      </c>
      <c r="L34">
        <v>439.51111111370898</v>
      </c>
      <c r="M34">
        <v>1.747530864344417</v>
      </c>
    </row>
    <row r="35" spans="1:13">
      <c r="A35" t="s">
        <v>16</v>
      </c>
      <c r="B35">
        <v>10</v>
      </c>
      <c r="C35">
        <v>3</v>
      </c>
      <c r="D35">
        <v>1416</v>
      </c>
      <c r="E35">
        <v>911</v>
      </c>
      <c r="F35">
        <v>628</v>
      </c>
      <c r="G35">
        <v>3.3404255319148941</v>
      </c>
      <c r="H35">
        <v>188</v>
      </c>
      <c r="I35">
        <v>0.29936305732484081</v>
      </c>
      <c r="J35">
        <v>14.873458822881449</v>
      </c>
      <c r="K35">
        <v>1.78445086426181</v>
      </c>
      <c r="L35">
        <v>451.155555558223</v>
      </c>
      <c r="M35">
        <v>1.7435185186657891</v>
      </c>
    </row>
    <row r="36" spans="1:13">
      <c r="A36" t="s">
        <v>16</v>
      </c>
      <c r="B36">
        <v>10</v>
      </c>
      <c r="C36">
        <v>4</v>
      </c>
      <c r="D36">
        <v>1422</v>
      </c>
      <c r="E36">
        <v>929</v>
      </c>
      <c r="F36">
        <v>643</v>
      </c>
      <c r="G36">
        <v>3.0473933649289102</v>
      </c>
      <c r="H36">
        <v>211</v>
      </c>
      <c r="I36">
        <v>0.32814930015552102</v>
      </c>
      <c r="J36">
        <v>15.612412087666851</v>
      </c>
      <c r="K36">
        <v>1.8688730621591401</v>
      </c>
      <c r="L36">
        <v>425.33333333328102</v>
      </c>
      <c r="M36">
        <v>1.28672839520877</v>
      </c>
    </row>
    <row r="37" spans="1:13">
      <c r="A37" t="s">
        <v>16</v>
      </c>
      <c r="B37">
        <v>10</v>
      </c>
      <c r="C37">
        <v>5</v>
      </c>
      <c r="D37">
        <v>1396</v>
      </c>
      <c r="E37">
        <v>906</v>
      </c>
      <c r="F37">
        <v>624</v>
      </c>
      <c r="G37">
        <v>3.0439024390243898</v>
      </c>
      <c r="H37">
        <v>205</v>
      </c>
      <c r="I37">
        <v>0.32852564102564102</v>
      </c>
      <c r="J37">
        <v>15.6070387701649</v>
      </c>
      <c r="K37">
        <v>1.87438222416044</v>
      </c>
      <c r="L37">
        <v>392.48888888719301</v>
      </c>
      <c r="M37">
        <v>3.1129629631101179</v>
      </c>
    </row>
    <row r="38" spans="1:13">
      <c r="A38" t="s">
        <v>16</v>
      </c>
      <c r="B38">
        <v>10</v>
      </c>
      <c r="C38">
        <v>6</v>
      </c>
      <c r="D38">
        <v>1422</v>
      </c>
      <c r="E38">
        <v>928</v>
      </c>
      <c r="F38">
        <v>635</v>
      </c>
      <c r="G38">
        <v>3.0238095238095242</v>
      </c>
      <c r="H38">
        <v>210</v>
      </c>
      <c r="I38">
        <v>0.33070866141732291</v>
      </c>
      <c r="J38">
        <v>15.233712488178019</v>
      </c>
      <c r="K38">
        <v>1.8320016119904401</v>
      </c>
      <c r="L38">
        <v>433.55555555519101</v>
      </c>
      <c r="M38">
        <v>1.314506172986712</v>
      </c>
    </row>
    <row r="39" spans="1:13">
      <c r="A39" t="s">
        <v>16</v>
      </c>
      <c r="B39">
        <v>10</v>
      </c>
      <c r="C39">
        <v>7</v>
      </c>
      <c r="D39">
        <v>1420</v>
      </c>
      <c r="E39">
        <v>936</v>
      </c>
      <c r="F39">
        <v>652</v>
      </c>
      <c r="G39">
        <v>3.3608247422680408</v>
      </c>
      <c r="H39">
        <v>194</v>
      </c>
      <c r="I39">
        <v>0.29754601226993871</v>
      </c>
      <c r="J39">
        <v>14.263038639584289</v>
      </c>
      <c r="K39">
        <v>1.6995118511607601</v>
      </c>
      <c r="L39">
        <v>382.22222222111299</v>
      </c>
      <c r="M39">
        <v>1.4429012347150429</v>
      </c>
    </row>
    <row r="40" spans="1:13">
      <c r="A40" t="s">
        <v>16</v>
      </c>
      <c r="B40">
        <v>10</v>
      </c>
      <c r="C40">
        <v>8</v>
      </c>
      <c r="D40">
        <v>1414</v>
      </c>
      <c r="E40">
        <v>929</v>
      </c>
      <c r="F40">
        <v>633</v>
      </c>
      <c r="G40">
        <v>3.165</v>
      </c>
      <c r="H40">
        <v>200</v>
      </c>
      <c r="I40">
        <v>0.31595576619273302</v>
      </c>
      <c r="J40">
        <v>14.87478471471292</v>
      </c>
      <c r="K40">
        <v>1.8052233106884401</v>
      </c>
      <c r="L40">
        <v>470.844444447228</v>
      </c>
      <c r="M40">
        <v>1.8444444445914929</v>
      </c>
    </row>
    <row r="41" spans="1:13">
      <c r="A41" t="s">
        <v>16</v>
      </c>
      <c r="B41">
        <v>10</v>
      </c>
      <c r="C41">
        <v>9</v>
      </c>
      <c r="D41">
        <v>1403</v>
      </c>
      <c r="E41">
        <v>905</v>
      </c>
      <c r="F41">
        <v>626</v>
      </c>
      <c r="G41">
        <v>3.1776649746192889</v>
      </c>
      <c r="H41">
        <v>197</v>
      </c>
      <c r="I41">
        <v>0.31469648562300317</v>
      </c>
      <c r="J41">
        <v>15.21223296499171</v>
      </c>
      <c r="K41">
        <v>1.8187103555733599</v>
      </c>
      <c r="L41">
        <v>400.84444444476298</v>
      </c>
      <c r="M41">
        <v>2.6447530865670141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1242.3</v>
      </c>
      <c r="E2">
        <v>1242.3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25.983114174829431</v>
      </c>
      <c r="E3">
        <v>25.983114174829431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806.9</v>
      </c>
      <c r="E4">
        <v>806.9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22.253339324944267</v>
      </c>
      <c r="E5">
        <v>22.253339324944271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574.9</v>
      </c>
      <c r="E6">
        <v>574.9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17.025797419732733</v>
      </c>
      <c r="E7">
        <v>17.025797419732729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3.2607987389665363</v>
      </c>
      <c r="E8">
        <v>3.2607987389665358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7.509802070597188E-2</v>
      </c>
      <c r="E9">
        <v>7.5098020705971866E-2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176.3</v>
      </c>
      <c r="E10">
        <v>176.3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2.9078437983419181</v>
      </c>
      <c r="E11">
        <v>2.907843798341919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0.30681921728398198</v>
      </c>
      <c r="E12">
        <v>0.30681921728398193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7.0406236401184454E-3</v>
      </c>
      <c r="E13">
        <v>7.0406236401184394E-3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14.859667934376494</v>
      </c>
      <c r="E14">
        <v>14.8596679343765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0.30654818582473975</v>
      </c>
      <c r="E15">
        <v>0.30654818582473869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1.6958218592822267</v>
      </c>
      <c r="E16">
        <v>1.695821859282227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4.3418512462589882E-2</v>
      </c>
      <c r="E17">
        <v>4.3418512462589882E-2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324.48888888924569</v>
      </c>
      <c r="E18">
        <v>324.48888888924569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12.769992259862397</v>
      </c>
      <c r="E19">
        <v>12.7699922598624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13.77734567912275</v>
      </c>
      <c r="E20">
        <v>13.77734567912275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1.7950269403585484</v>
      </c>
      <c r="E21">
        <v>1.795026940358541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1147.3</v>
      </c>
      <c r="E22">
        <v>1147.3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45.543751858332158</v>
      </c>
      <c r="E23">
        <v>45.543751858332158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748.1</v>
      </c>
      <c r="E24">
        <v>748.1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33.411408563875639</v>
      </c>
      <c r="E25">
        <v>33.411408563875632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523.20000000000005</v>
      </c>
      <c r="E26">
        <v>523.20000000000005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30.979563155947396</v>
      </c>
      <c r="E27">
        <v>30.979563155947389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3.0827468363407116</v>
      </c>
      <c r="E28">
        <v>3.082746836340712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0.16022645293406534</v>
      </c>
      <c r="E29">
        <v>0.16022645293406529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169.8</v>
      </c>
      <c r="E30">
        <v>169.8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7.1771241532462788</v>
      </c>
      <c r="E31">
        <v>7.1771241532462788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0.32517074816612551</v>
      </c>
      <c r="E32">
        <v>0.32517074816612562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1.6793335849410881E-2</v>
      </c>
      <c r="E33">
        <v>1.6793335849410888E-2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14.837290114947962</v>
      </c>
      <c r="E34">
        <v>14.83729011494796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0.69319533588646853</v>
      </c>
      <c r="E35">
        <v>0.69319533588646831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1.7456450688767258</v>
      </c>
      <c r="E36">
        <v>1.745645068876726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0.1055729605538276</v>
      </c>
      <c r="E37">
        <v>0.1055729605538276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435.45777777806313</v>
      </c>
      <c r="E38">
        <v>435.45777777806308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29.639937467045321</v>
      </c>
      <c r="E39">
        <v>29.639937467045321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20.370401234663586</v>
      </c>
      <c r="E40">
        <v>20.370401234663589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3.1539410091554014</v>
      </c>
      <c r="E41">
        <v>3.153941009155389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1415.6</v>
      </c>
      <c r="E42">
        <v>1415.6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15.756480148391853</v>
      </c>
      <c r="E43">
        <v>15.75648014839186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917.9</v>
      </c>
      <c r="E44">
        <v>917.9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16.842076937110683</v>
      </c>
      <c r="E45">
        <v>16.842076937110679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642.70000000000005</v>
      </c>
      <c r="E46">
        <v>642.70000000000005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12.534840334931362</v>
      </c>
      <c r="E47">
        <v>12.53484033493136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3.0175335478330823</v>
      </c>
      <c r="E48">
        <v>3.0175335478330831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9.0350646029298376E-2</v>
      </c>
      <c r="E49">
        <v>9.035064602929832E-2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213.1</v>
      </c>
      <c r="E50">
        <v>213.1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5.3218626647276626</v>
      </c>
      <c r="E51">
        <v>5.3218626647276626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0.33167442123651014</v>
      </c>
      <c r="E52">
        <v>0.33167442123651009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1.0320134653680771E-2</v>
      </c>
      <c r="E53">
        <v>1.0320134653680769E-2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16.77225328857563</v>
      </c>
      <c r="E54">
        <v>16.77225328857563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0.59031385006732584</v>
      </c>
      <c r="E55">
        <v>0.59031385006732584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1.9804176847243666</v>
      </c>
      <c r="E56">
        <v>1.9804176847243671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6.2907580013754474E-2</v>
      </c>
      <c r="E57">
        <v>6.2907580013754488E-2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373.60444444524211</v>
      </c>
      <c r="E58">
        <v>373.60444444524211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21.590430742139823</v>
      </c>
      <c r="E59">
        <v>21.590430742139819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1.7647530865596484</v>
      </c>
      <c r="E60">
        <v>1.7647530865596479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1.1062705947788449</v>
      </c>
      <c r="E61">
        <v>1.1062705947788449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1411.2</v>
      </c>
      <c r="E62">
        <v>1411.2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9.5777519979029169</v>
      </c>
      <c r="E63">
        <v>9.5777519979029169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919</v>
      </c>
      <c r="E64">
        <v>919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16.06237840420901</v>
      </c>
      <c r="E65">
        <v>16.06237840420901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634.5</v>
      </c>
      <c r="E66">
        <v>634.5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11.1280426550824</v>
      </c>
      <c r="E67">
        <v>11.1280426550824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3.2077988549914975</v>
      </c>
      <c r="E68">
        <v>3.207798854991498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0.16744751406418185</v>
      </c>
      <c r="E69">
        <v>0.16744751406418171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198.2</v>
      </c>
      <c r="E70">
        <v>198.2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9.0774445743281724</v>
      </c>
      <c r="E71">
        <v>9.0774445743281724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0.31249392608405624</v>
      </c>
      <c r="E72">
        <v>0.31249392608405641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1.6052892391854593E-2</v>
      </c>
      <c r="E73">
        <v>1.605289239185459E-2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15.059317270000355</v>
      </c>
      <c r="E74">
        <v>15.059317270000349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0.506206242998964</v>
      </c>
      <c r="E75">
        <v>0.50620624299896377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1.803536646705314</v>
      </c>
      <c r="E76">
        <v>1.803536646705314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6.8009030272531981E-2</v>
      </c>
      <c r="E77">
        <v>6.8009030272531981E-2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428.76000000104159</v>
      </c>
      <c r="E78">
        <v>428.76000000104159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29.732380727719296</v>
      </c>
      <c r="E79">
        <v>29.732380727719299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2.0536419754557773</v>
      </c>
      <c r="E80">
        <v>2.0536419754557769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0.67123026495171634</v>
      </c>
      <c r="E81">
        <v>0.67123026495171634</v>
      </c>
    </row>
    <row r="82" spans="1:5">
      <c r="A82" t="s">
        <v>24</v>
      </c>
      <c r="B82" t="s">
        <v>25</v>
      </c>
      <c r="C82" t="s">
        <v>3</v>
      </c>
      <c r="D82">
        <f>(AVERAGE(per_seed!$D$12:$D$21)-AVERAGE(per_seed!$D$2:$D$11))/AVERAGE(per_seed!$D$2:$D$11)*100</f>
        <v>-7.6471061740320385</v>
      </c>
      <c r="E82">
        <v>-7.6471061740320394</v>
      </c>
    </row>
    <row r="83" spans="1:5">
      <c r="A83" t="s">
        <v>26</v>
      </c>
      <c r="B83" t="s">
        <v>25</v>
      </c>
      <c r="C83" t="s">
        <v>3</v>
      </c>
      <c r="D83">
        <f>_xlfn.T.TEST(per_seed!$D$2:$D$11,per_seed!$D$12:$D$21,2,1)</f>
        <v>1.5029057648718392E-4</v>
      </c>
      <c r="E83">
        <v>1.5029057648718389E-4</v>
      </c>
    </row>
    <row r="84" spans="1:5">
      <c r="A84" t="s">
        <v>24</v>
      </c>
      <c r="B84" t="s">
        <v>25</v>
      </c>
      <c r="C84" t="s">
        <v>4</v>
      </c>
      <c r="D84">
        <f>(AVERAGE(per_seed!$E$12:$E$21)-AVERAGE(per_seed!$E$2:$E$11))/AVERAGE(per_seed!$E$2:$E$11)*100</f>
        <v>-7.2871483455198849</v>
      </c>
      <c r="E84">
        <v>-7.2871483455198849</v>
      </c>
    </row>
    <row r="85" spans="1:5">
      <c r="A85" t="s">
        <v>26</v>
      </c>
      <c r="B85" t="s">
        <v>25</v>
      </c>
      <c r="C85" t="s">
        <v>4</v>
      </c>
      <c r="D85">
        <f>_xlfn.T.TEST(per_seed!$E$2:$E$11,per_seed!$E$12:$E$21,2,1)</f>
        <v>5.0836371387516402E-4</v>
      </c>
      <c r="E85">
        <v>5.0836371387516022E-4</v>
      </c>
    </row>
    <row r="86" spans="1:5">
      <c r="A86" t="s">
        <v>24</v>
      </c>
      <c r="B86" t="s">
        <v>25</v>
      </c>
      <c r="C86" t="s">
        <v>5</v>
      </c>
      <c r="D86">
        <f>(AVERAGE(per_seed!$F$12:$F$21)-AVERAGE(per_seed!$F$2:$F$11))/AVERAGE(per_seed!$F$2:$F$11)*100</f>
        <v>-8.9928683249260626</v>
      </c>
      <c r="E86">
        <v>-8.9928683249260626</v>
      </c>
    </row>
    <row r="87" spans="1:5">
      <c r="A87" t="s">
        <v>26</v>
      </c>
      <c r="B87" t="s">
        <v>25</v>
      </c>
      <c r="C87" t="s">
        <v>5</v>
      </c>
      <c r="D87">
        <f>_xlfn.T.TEST(per_seed!$F$2:$F$11,per_seed!$F$12:$F$21,2,1)</f>
        <v>2.4310252955188195E-4</v>
      </c>
      <c r="E87">
        <v>2.431025295518797E-4</v>
      </c>
    </row>
    <row r="88" spans="1:5">
      <c r="A88" t="s">
        <v>24</v>
      </c>
      <c r="B88" t="s">
        <v>25</v>
      </c>
      <c r="C88" t="s">
        <v>6</v>
      </c>
      <c r="D88">
        <f>(AVERAGE(per_seed!$G$12:$G$21)-AVERAGE(per_seed!$G$2:$G$11))/AVERAGE(per_seed!$G$2:$G$11)*100</f>
        <v>-5.4603769468536942</v>
      </c>
      <c r="E88">
        <v>-5.46037694685368</v>
      </c>
    </row>
    <row r="89" spans="1:5">
      <c r="A89" t="s">
        <v>26</v>
      </c>
      <c r="B89" t="s">
        <v>25</v>
      </c>
      <c r="C89" t="s">
        <v>6</v>
      </c>
      <c r="D89">
        <f>_xlfn.T.TEST(per_seed!$G$2:$G$11,per_seed!$G$12:$G$21,2,1)</f>
        <v>9.2896775246945774E-3</v>
      </c>
      <c r="E89">
        <v>9.2896775246946242E-3</v>
      </c>
    </row>
    <row r="90" spans="1:5">
      <c r="A90" t="s">
        <v>24</v>
      </c>
      <c r="B90" t="s">
        <v>25</v>
      </c>
      <c r="C90" t="s">
        <v>7</v>
      </c>
      <c r="D90">
        <f>(AVERAGE(per_seed!$H$12:$H$21)-AVERAGE(per_seed!$H$2:$H$11))/AVERAGE(per_seed!$H$2:$H$11)*100</f>
        <v>-3.6868973340896201</v>
      </c>
      <c r="E90">
        <v>-3.6868973340896201</v>
      </c>
    </row>
    <row r="91" spans="1:5">
      <c r="A91" t="s">
        <v>26</v>
      </c>
      <c r="B91" t="s">
        <v>25</v>
      </c>
      <c r="C91" t="s">
        <v>7</v>
      </c>
      <c r="D91">
        <f>_xlfn.T.TEST(per_seed!$H$2:$H$11,per_seed!$H$12:$H$21,2,1)</f>
        <v>1.1373662238703317E-2</v>
      </c>
      <c r="E91">
        <v>1.137366223870331E-2</v>
      </c>
    </row>
    <row r="92" spans="1:5">
      <c r="A92" t="s">
        <v>24</v>
      </c>
      <c r="B92" t="s">
        <v>25</v>
      </c>
      <c r="C92" t="s">
        <v>8</v>
      </c>
      <c r="D92">
        <f>(AVERAGE(per_seed!$I$12:$I$21)-AVERAGE(per_seed!$I$2:$I$11))/AVERAGE(per_seed!$I$2:$I$11)*100</f>
        <v>5.9812195091932407</v>
      </c>
      <c r="E92">
        <v>5.981219509193278</v>
      </c>
    </row>
    <row r="93" spans="1:5">
      <c r="A93" t="s">
        <v>26</v>
      </c>
      <c r="B93" t="s">
        <v>25</v>
      </c>
      <c r="C93" t="s">
        <v>8</v>
      </c>
      <c r="D93">
        <f>_xlfn.T.TEST(per_seed!$I$2:$I$11,per_seed!$I$12:$I$21,2,1)</f>
        <v>9.9886586624960069E-3</v>
      </c>
      <c r="E93">
        <v>9.9886586624957068E-3</v>
      </c>
    </row>
    <row r="94" spans="1:5">
      <c r="A94" t="s">
        <v>24</v>
      </c>
      <c r="B94" t="s">
        <v>25</v>
      </c>
      <c r="C94" t="s">
        <v>9</v>
      </c>
      <c r="D94">
        <f>(AVERAGE(per_seed!$J$12:$J$21)-AVERAGE(per_seed!$J$2:$J$11))/AVERAGE(per_seed!$J$2:$J$11)*100</f>
        <v>-0.15059434388007836</v>
      </c>
      <c r="E94">
        <v>-0.1505943438801022</v>
      </c>
    </row>
    <row r="95" spans="1:5">
      <c r="A95" t="s">
        <v>26</v>
      </c>
      <c r="B95" t="s">
        <v>25</v>
      </c>
      <c r="C95" t="s">
        <v>9</v>
      </c>
      <c r="D95">
        <f>_xlfn.T.TEST(per_seed!$J$2:$J$11,per_seed!$J$12:$J$21,2,1)</f>
        <v>0.92658684440574579</v>
      </c>
      <c r="E95">
        <v>0.92658684440574302</v>
      </c>
    </row>
    <row r="96" spans="1:5">
      <c r="A96" t="s">
        <v>24</v>
      </c>
      <c r="B96" t="s">
        <v>25</v>
      </c>
      <c r="C96" t="s">
        <v>10</v>
      </c>
      <c r="D96">
        <f>(AVERAGE(per_seed!$K$12:$K$21)-AVERAGE(per_seed!$K$2:$K$11))/AVERAGE(per_seed!$K$2:$K$11)*100</f>
        <v>2.9379978399138693</v>
      </c>
      <c r="E96">
        <v>2.937997839913856</v>
      </c>
    </row>
    <row r="97" spans="1:5">
      <c r="A97" t="s">
        <v>26</v>
      </c>
      <c r="B97" t="s">
        <v>25</v>
      </c>
      <c r="C97" t="s">
        <v>10</v>
      </c>
      <c r="D97">
        <f>_xlfn.T.TEST(per_seed!$K$2:$K$11,per_seed!$K$12:$K$21,2,1)</f>
        <v>0.12669846132846932</v>
      </c>
      <c r="E97">
        <v>0.12669846132846929</v>
      </c>
    </row>
    <row r="98" spans="1:5">
      <c r="A98" t="s">
        <v>24</v>
      </c>
      <c r="B98" t="s">
        <v>25</v>
      </c>
      <c r="C98" t="s">
        <v>11</v>
      </c>
      <c r="D98">
        <f>(AVERAGE(per_seed!$L$12:$L$21)-AVERAGE(per_seed!$L$2:$L$11))/AVERAGE(per_seed!$L$2:$L$11)*100</f>
        <v>34.198055060890937</v>
      </c>
      <c r="E98">
        <v>34.198055060890937</v>
      </c>
    </row>
    <row r="99" spans="1:5">
      <c r="A99" t="s">
        <v>26</v>
      </c>
      <c r="B99" t="s">
        <v>25</v>
      </c>
      <c r="C99" t="s">
        <v>11</v>
      </c>
      <c r="D99">
        <f>_xlfn.T.TEST(per_seed!$L$2:$L$11,per_seed!$L$12:$L$21,2,1)</f>
        <v>1.7995013091299599E-6</v>
      </c>
      <c r="E99">
        <v>1.799501309129961E-6</v>
      </c>
    </row>
    <row r="100" spans="1:5">
      <c r="A100" t="s">
        <v>24</v>
      </c>
      <c r="B100" t="s">
        <v>25</v>
      </c>
      <c r="C100" t="s">
        <v>12</v>
      </c>
      <c r="D100">
        <f>(AVERAGE(per_seed!$M$12:$M$21)-AVERAGE(per_seed!$M$2:$M$11))/AVERAGE(per_seed!$M$2:$M$11)*100</f>
        <v>47.854323387787986</v>
      </c>
      <c r="E100">
        <v>47.854323387788007</v>
      </c>
    </row>
    <row r="101" spans="1:5">
      <c r="A101" t="s">
        <v>26</v>
      </c>
      <c r="B101" t="s">
        <v>25</v>
      </c>
      <c r="C101" t="s">
        <v>12</v>
      </c>
      <c r="D101">
        <f>_xlfn.T.TEST(per_seed!$M$2:$M$11,per_seed!$M$12:$M$21,2,1)</f>
        <v>1.465193821828968E-4</v>
      </c>
      <c r="E101">
        <v>1.4651938218289499E-4</v>
      </c>
    </row>
    <row r="102" spans="1:5">
      <c r="A102" t="s">
        <v>24</v>
      </c>
      <c r="B102" t="s">
        <v>27</v>
      </c>
      <c r="C102" t="s">
        <v>3</v>
      </c>
      <c r="D102">
        <f>(AVERAGE(per_seed!$D$32:$D$41)-AVERAGE(per_seed!$D$22:$D$31))/AVERAGE(per_seed!$D$22:$D$31)*100</f>
        <v>-0.31082226617687653</v>
      </c>
      <c r="E102">
        <v>-0.31082226617687653</v>
      </c>
    </row>
    <row r="103" spans="1:5">
      <c r="A103" t="s">
        <v>26</v>
      </c>
      <c r="B103" t="s">
        <v>27</v>
      </c>
      <c r="C103" t="s">
        <v>3</v>
      </c>
      <c r="D103">
        <f>_xlfn.T.TEST(per_seed!$D$22:$D$31,per_seed!$D$32:$D$41,2,1)</f>
        <v>0.37342873497288775</v>
      </c>
      <c r="E103">
        <v>0.37342873497287388</v>
      </c>
    </row>
    <row r="104" spans="1:5">
      <c r="A104" t="s">
        <v>24</v>
      </c>
      <c r="B104" t="s">
        <v>27</v>
      </c>
      <c r="C104" t="s">
        <v>4</v>
      </c>
      <c r="D104">
        <f>(AVERAGE(per_seed!$E$32:$E$41)-AVERAGE(per_seed!$E$22:$E$31))/AVERAGE(per_seed!$E$22:$E$31)*100</f>
        <v>0.11983876239241996</v>
      </c>
      <c r="E104">
        <v>0.11983876239242</v>
      </c>
    </row>
    <row r="105" spans="1:5">
      <c r="A105" t="s">
        <v>26</v>
      </c>
      <c r="B105" t="s">
        <v>27</v>
      </c>
      <c r="C105" t="s">
        <v>4</v>
      </c>
      <c r="D105">
        <f>_xlfn.T.TEST(per_seed!$E$22:$E$31,per_seed!$E$32:$E$41,2,1)</f>
        <v>0.76827957818584358</v>
      </c>
      <c r="E105">
        <v>0.76827957818584802</v>
      </c>
    </row>
    <row r="106" spans="1:5">
      <c r="A106" t="s">
        <v>24</v>
      </c>
      <c r="B106" t="s">
        <v>27</v>
      </c>
      <c r="C106" t="s">
        <v>5</v>
      </c>
      <c r="D106">
        <f>(AVERAGE(per_seed!$F$32:$F$41)-AVERAGE(per_seed!$F$22:$F$31))/AVERAGE(per_seed!$F$22:$F$31)*100</f>
        <v>-1.2758674342617153</v>
      </c>
      <c r="E106">
        <v>-1.2758674342617149</v>
      </c>
    </row>
    <row r="107" spans="1:5">
      <c r="A107" t="s">
        <v>26</v>
      </c>
      <c r="B107" t="s">
        <v>27</v>
      </c>
      <c r="C107" t="s">
        <v>5</v>
      </c>
      <c r="D107">
        <f>_xlfn.T.TEST(per_seed!$F$22:$F$31,per_seed!$F$32:$F$41,2,1)</f>
        <v>3.7759788966504268E-3</v>
      </c>
      <c r="E107">
        <v>3.7759788966505669E-3</v>
      </c>
    </row>
    <row r="108" spans="1:5">
      <c r="A108" t="s">
        <v>24</v>
      </c>
      <c r="B108" t="s">
        <v>27</v>
      </c>
      <c r="C108" t="s">
        <v>6</v>
      </c>
      <c r="D108">
        <f>(AVERAGE(per_seed!$G$32:$G$41)-AVERAGE(per_seed!$G$22:$G$31))/AVERAGE(per_seed!$G$22:$G$31)*100</f>
        <v>6.3053253308499739</v>
      </c>
      <c r="E108">
        <v>6.305325330849973</v>
      </c>
    </row>
    <row r="109" spans="1:5">
      <c r="A109" t="s">
        <v>26</v>
      </c>
      <c r="B109" t="s">
        <v>27</v>
      </c>
      <c r="C109" t="s">
        <v>6</v>
      </c>
      <c r="D109">
        <f>_xlfn.T.TEST(per_seed!$G$22:$G$31,per_seed!$G$32:$G$41,2,1)</f>
        <v>6.5264183530270798E-3</v>
      </c>
      <c r="E109">
        <v>6.5264183530270962E-3</v>
      </c>
    </row>
    <row r="110" spans="1:5">
      <c r="A110" t="s">
        <v>24</v>
      </c>
      <c r="B110" t="s">
        <v>27</v>
      </c>
      <c r="C110" t="s">
        <v>7</v>
      </c>
      <c r="D110">
        <f>(AVERAGE(per_seed!$H$32:$H$41)-AVERAGE(per_seed!$H$22:$H$31))/AVERAGE(per_seed!$H$22:$H$31)*100</f>
        <v>-6.9920225246363241</v>
      </c>
      <c r="E110">
        <v>-6.9920225246363241</v>
      </c>
    </row>
    <row r="111" spans="1:5">
      <c r="A111" t="s">
        <v>26</v>
      </c>
      <c r="B111" t="s">
        <v>27</v>
      </c>
      <c r="C111" t="s">
        <v>7</v>
      </c>
      <c r="D111">
        <f>_xlfn.T.TEST(per_seed!$H$22:$H$31,per_seed!$H$32:$H$41,2,1)</f>
        <v>1.7035419527613245E-3</v>
      </c>
      <c r="E111">
        <v>1.703541952761331E-3</v>
      </c>
    </row>
    <row r="112" spans="1:5">
      <c r="A112" t="s">
        <v>24</v>
      </c>
      <c r="B112" t="s">
        <v>27</v>
      </c>
      <c r="C112" t="s">
        <v>8</v>
      </c>
      <c r="D112">
        <f>(AVERAGE(per_seed!$I$32:$I$41)-AVERAGE(per_seed!$I$22:$I$31))/AVERAGE(per_seed!$I$22:$I$31)*100</f>
        <v>-5.7829286566469023</v>
      </c>
      <c r="E112">
        <v>-5.7829286566468694</v>
      </c>
    </row>
    <row r="113" spans="1:5">
      <c r="A113" t="s">
        <v>26</v>
      </c>
      <c r="B113" t="s">
        <v>27</v>
      </c>
      <c r="C113" t="s">
        <v>8</v>
      </c>
      <c r="D113">
        <f>_xlfn.T.TEST(per_seed!$I$22:$I$31,per_seed!$I$32:$I$41,2,1)</f>
        <v>5.5157577656694354E-3</v>
      </c>
      <c r="E113">
        <v>5.5157577656694693E-3</v>
      </c>
    </row>
    <row r="114" spans="1:5">
      <c r="A114" t="s">
        <v>24</v>
      </c>
      <c r="B114" t="s">
        <v>27</v>
      </c>
      <c r="C114" t="s">
        <v>9</v>
      </c>
      <c r="D114">
        <f>(AVERAGE(per_seed!$J$32:$J$41)-AVERAGE(per_seed!$J$22:$J$31))/AVERAGE(per_seed!$J$22:$J$31)*100</f>
        <v>-10.212915278008809</v>
      </c>
      <c r="E114">
        <v>-10.212915278008809</v>
      </c>
    </row>
    <row r="115" spans="1:5">
      <c r="A115" t="s">
        <v>26</v>
      </c>
      <c r="B115" t="s">
        <v>27</v>
      </c>
      <c r="C115" t="s">
        <v>9</v>
      </c>
      <c r="D115">
        <f>_xlfn.T.TEST(per_seed!$J$22:$J$31,per_seed!$J$32:$J$41,2,1)</f>
        <v>1.8848751044093399E-5</v>
      </c>
      <c r="E115">
        <v>1.884875104409369E-5</v>
      </c>
    </row>
    <row r="116" spans="1:5">
      <c r="A116" t="s">
        <v>24</v>
      </c>
      <c r="B116" t="s">
        <v>27</v>
      </c>
      <c r="C116" t="s">
        <v>10</v>
      </c>
      <c r="D116">
        <f>(AVERAGE(per_seed!$K$32:$K$41)-AVERAGE(per_seed!$K$22:$K$31))/AVERAGE(per_seed!$K$22:$K$31)*100</f>
        <v>-8.9315016414666513</v>
      </c>
      <c r="E116">
        <v>-8.9315016414666832</v>
      </c>
    </row>
    <row r="117" spans="1:5">
      <c r="A117" t="s">
        <v>26</v>
      </c>
      <c r="B117" t="s">
        <v>27</v>
      </c>
      <c r="C117" t="s">
        <v>10</v>
      </c>
      <c r="D117">
        <f>_xlfn.T.TEST(per_seed!$K$22:$K$31,per_seed!$K$32:$K$41,2,1)</f>
        <v>1.7842414500590507E-5</v>
      </c>
      <c r="E117">
        <v>1.784241450059026E-5</v>
      </c>
    </row>
    <row r="118" spans="1:5">
      <c r="A118" t="s">
        <v>24</v>
      </c>
      <c r="B118" t="s">
        <v>27</v>
      </c>
      <c r="C118" t="s">
        <v>11</v>
      </c>
      <c r="D118">
        <f>(AVERAGE(per_seed!$L$32:$L$41)-AVERAGE(per_seed!$L$22:$L$31))/AVERAGE(per_seed!$L$22:$L$31)*100</f>
        <v>14.76308870942338</v>
      </c>
      <c r="E118">
        <v>14.76308870942338</v>
      </c>
    </row>
    <row r="119" spans="1:5">
      <c r="A119" t="s">
        <v>26</v>
      </c>
      <c r="B119" t="s">
        <v>27</v>
      </c>
      <c r="C119" t="s">
        <v>11</v>
      </c>
      <c r="D119">
        <f>_xlfn.T.TEST(per_seed!$L$22:$L$31,per_seed!$L$32:$L$41,2,1)</f>
        <v>2.7623469364971491E-4</v>
      </c>
      <c r="E119">
        <v>2.762346936497141E-4</v>
      </c>
    </row>
    <row r="120" spans="1:5">
      <c r="A120" t="s">
        <v>24</v>
      </c>
      <c r="B120" t="s">
        <v>27</v>
      </c>
      <c r="C120" t="s">
        <v>12</v>
      </c>
      <c r="D120">
        <f>(AVERAGE(per_seed!$M$32:$M$41)-AVERAGE(per_seed!$M$22:$M$31))/AVERAGE(per_seed!$M$22:$M$31)*100</f>
        <v>16.369932490630301</v>
      </c>
      <c r="E120">
        <v>16.36993249063028</v>
      </c>
    </row>
    <row r="121" spans="1:5">
      <c r="A121" t="s">
        <v>26</v>
      </c>
      <c r="B121" t="s">
        <v>27</v>
      </c>
      <c r="C121" t="s">
        <v>12</v>
      </c>
      <c r="D121">
        <f>_xlfn.T.TEST(per_seed!$M$22:$M$31,per_seed!$M$32:$M$41,2,1)</f>
        <v>0.40412214521128353</v>
      </c>
      <c r="E121">
        <v>0.40412214521128398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2026-09-15T09:07:16Z</dcterms:created>
  <dcterms:modified xsi:type="dcterms:W3CDTF">2026-09-15T09:07:21Z</dcterms:modified>
</cp:coreProperties>
</file>