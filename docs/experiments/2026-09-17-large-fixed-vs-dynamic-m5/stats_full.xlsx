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7_large_fixed_vs_dynamic_pricing_m5\"/>
    </mc:Choice>
  </mc:AlternateContent>
  <xr:revisionPtr revIDLastSave="0" documentId="13_ncr:1_{CE6EFD87-79CE-4EA3-AC31-DB1C0465794B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1" i="2" l="1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<sst xmlns="http://schemas.openxmlformats.org/spreadsheetml/2006/main" count="868" uniqueCount="35">
  <si>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</si>
  <si>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</si>
  <si>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</si>
  <si>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</si>
  <si>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</si>
  <si>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</si>
  <si>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</si>
  <si>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</si>
  <si>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</si>
  <si>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</si>
  <si>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</si>
  <si>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</si>
  <si>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</si>
  <si>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m5_dyn_45b</t>
  </si>
  <si>
    <t>m5_fix4_45b</t>
  </si>
  <si>
    <t>m5_fix6_45b</t>
  </si>
  <si>
    <t>m5_fix8_45b</t>
  </si>
  <si>
    <t>m5_fix13_45b</t>
  </si>
  <si>
    <t>m5_fix20_45b</t>
  </si>
  <si>
    <t>m5_fix45_45b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</si>
  <si>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</si>
  <si>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</si>
  <si>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</si>
  <si>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</si>
  <si>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</si>
  <si>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</si>
  <si>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</si>
  <si>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</si>
  <si>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m5_fix4_45b vs m5_dyn_45b</t>
  </si>
  <si>
    <t>p</t>
  </si>
  <si>
    <t>m5_fix6_45b vs m5_dyn_45b</t>
  </si>
  <si>
    <t>m5_fix8_45b vs m5_dyn_45b</t>
  </si>
  <si>
    <t>m5_fix13_45b vs m5_dyn_45b</t>
  </si>
  <si>
    <t>m5_fix20_45b vs m5_dyn_45b</t>
  </si>
  <si>
    <t>m5_fix45_45b vs m5_dyn_45b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</si>
</sst>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45</v>
      </c>
      <c r="C2">
        <v>0</v>
      </c>
      <c r="D2">
        <v>8328</v>
      </c>
      <c r="E2">
        <v>5381</v>
      </c>
      <c r="F2">
        <v>3409</v>
      </c>
      <c r="G2">
        <v>7.4758771929824563</v>
      </c>
      <c r="H2">
        <v>456</v>
      </c>
      <c r="I2">
        <v>0.1337635670284541</v>
      </c>
      <c r="J2">
        <v>20.777516014337479</v>
      </c>
      <c r="K2">
        <v>3.62290037798555</v>
      </c>
      <c r="L2">
        <v>381.92491340152202</v>
      </c>
      <c r="M2">
        <v>3.6891342240970459</v>
      </c>
    </row>
    <row r="3" spans="1:13">
      <c r="A3" t="s">
        <v>13</v>
      </c>
      <c r="B3">
        <v>45</v>
      </c>
      <c r="C3">
        <v>1</v>
      </c>
      <c r="D3">
        <v>8316</v>
      </c>
      <c r="E3">
        <v>5405</v>
      </c>
      <c r="F3">
        <v>3324</v>
      </c>
      <c r="G3">
        <v>7.6064073226544622</v>
      </c>
      <c r="H3">
        <v>437</v>
      </c>
      <c r="I3">
        <v>0.13146811070998801</v>
      </c>
      <c r="J3">
        <v>20.25337948345717</v>
      </c>
      <c r="K3">
        <v>3.6466145182048701</v>
      </c>
      <c r="L3">
        <v>412.02314575051702</v>
      </c>
      <c r="M3">
        <v>3.8320109822279629</v>
      </c>
    </row>
    <row r="4" spans="1:13">
      <c r="A4" t="s">
        <v>13</v>
      </c>
      <c r="B4">
        <v>45</v>
      </c>
      <c r="C4">
        <v>2</v>
      </c>
      <c r="D4">
        <v>8324</v>
      </c>
      <c r="E4">
        <v>5371</v>
      </c>
      <c r="F4">
        <v>3380</v>
      </c>
      <c r="G4">
        <v>7.7168949771689501</v>
      </c>
      <c r="H4">
        <v>438</v>
      </c>
      <c r="I4">
        <v>0.12958579881656801</v>
      </c>
      <c r="J4">
        <v>20.70861694183634</v>
      </c>
      <c r="K4">
        <v>3.6464953569353198</v>
      </c>
      <c r="L4">
        <v>402.07129869396101</v>
      </c>
      <c r="M4">
        <v>3.7022262137774171</v>
      </c>
    </row>
    <row r="5" spans="1:13">
      <c r="A5" t="s">
        <v>13</v>
      </c>
      <c r="B5">
        <v>45</v>
      </c>
      <c r="C5">
        <v>3</v>
      </c>
      <c r="D5">
        <v>8332</v>
      </c>
      <c r="E5">
        <v>5397</v>
      </c>
      <c r="F5">
        <v>3441</v>
      </c>
      <c r="G5">
        <v>7.6636971046770599</v>
      </c>
      <c r="H5">
        <v>449</v>
      </c>
      <c r="I5">
        <v>0.1304853240337111</v>
      </c>
      <c r="J5">
        <v>20.256725259566242</v>
      </c>
      <c r="K5">
        <v>3.49217952698026</v>
      </c>
      <c r="L5">
        <v>376.89028137424202</v>
      </c>
      <c r="M5">
        <v>3.6058670362805039</v>
      </c>
    </row>
    <row r="6" spans="1:13">
      <c r="A6" t="s">
        <v>13</v>
      </c>
      <c r="B6">
        <v>45</v>
      </c>
      <c r="C6">
        <v>4</v>
      </c>
      <c r="D6">
        <v>8298</v>
      </c>
      <c r="E6">
        <v>5357</v>
      </c>
      <c r="F6">
        <v>3340</v>
      </c>
      <c r="G6">
        <v>7.5225225225225234</v>
      </c>
      <c r="H6">
        <v>444</v>
      </c>
      <c r="I6">
        <v>0.13293413173652691</v>
      </c>
      <c r="J6">
        <v>20.386417143956511</v>
      </c>
      <c r="K6">
        <v>3.5784393916667199</v>
      </c>
      <c r="L6">
        <v>414.97870849900102</v>
      </c>
      <c r="M6">
        <v>4.015729166666735</v>
      </c>
    </row>
    <row r="7" spans="1:13">
      <c r="A7" t="s">
        <v>13</v>
      </c>
      <c r="B7">
        <v>45</v>
      </c>
      <c r="C7">
        <v>5</v>
      </c>
      <c r="D7">
        <v>8329</v>
      </c>
      <c r="E7">
        <v>5479</v>
      </c>
      <c r="F7">
        <v>3451</v>
      </c>
      <c r="G7">
        <v>7.634955752212389</v>
      </c>
      <c r="H7">
        <v>452</v>
      </c>
      <c r="I7">
        <v>0.13097652854245151</v>
      </c>
      <c r="J7">
        <v>20.329890075804158</v>
      </c>
      <c r="K7">
        <v>3.5526807515351599</v>
      </c>
      <c r="L7">
        <v>386.33694804091999</v>
      </c>
      <c r="M7">
        <v>3.6676713224782902</v>
      </c>
    </row>
    <row r="8" spans="1:13">
      <c r="A8" t="s">
        <v>13</v>
      </c>
      <c r="B8">
        <v>45</v>
      </c>
      <c r="C8">
        <v>6</v>
      </c>
      <c r="D8">
        <v>8289</v>
      </c>
      <c r="E8">
        <v>5420</v>
      </c>
      <c r="F8">
        <v>3405</v>
      </c>
      <c r="G8">
        <v>7.6862302483069973</v>
      </c>
      <c r="H8">
        <v>443</v>
      </c>
      <c r="I8">
        <v>0.13010279001468431</v>
      </c>
      <c r="J8">
        <v>20.33808467334207</v>
      </c>
      <c r="K8">
        <v>3.5732713590898899</v>
      </c>
      <c r="L8">
        <v>403.588708499002</v>
      </c>
      <c r="M8">
        <v>4.1389554513199176</v>
      </c>
    </row>
    <row r="9" spans="1:13">
      <c r="A9" t="s">
        <v>13</v>
      </c>
      <c r="B9">
        <v>45</v>
      </c>
      <c r="C9">
        <v>7</v>
      </c>
      <c r="D9">
        <v>8325</v>
      </c>
      <c r="E9">
        <v>5409</v>
      </c>
      <c r="F9">
        <v>3369</v>
      </c>
      <c r="G9">
        <v>7.4370860927152318</v>
      </c>
      <c r="H9">
        <v>453</v>
      </c>
      <c r="I9">
        <v>0.13446126447016921</v>
      </c>
      <c r="J9">
        <v>20.991225874092439</v>
      </c>
      <c r="K9">
        <v>3.7265996726082999</v>
      </c>
      <c r="L9">
        <v>395.85156568238898</v>
      </c>
      <c r="M9">
        <v>3.6889030429773508</v>
      </c>
    </row>
    <row r="10" spans="1:13">
      <c r="A10" t="s">
        <v>13</v>
      </c>
      <c r="B10">
        <v>45</v>
      </c>
      <c r="C10">
        <v>8</v>
      </c>
      <c r="D10">
        <v>8298</v>
      </c>
      <c r="E10">
        <v>5357</v>
      </c>
      <c r="F10">
        <v>3344</v>
      </c>
      <c r="G10">
        <v>7.8867924528301883</v>
      </c>
      <c r="H10">
        <v>424</v>
      </c>
      <c r="I10">
        <v>0.12679425837320571</v>
      </c>
      <c r="J10">
        <v>20.03182673472709</v>
      </c>
      <c r="K10">
        <v>3.5493354020071699</v>
      </c>
      <c r="L10">
        <v>406.16166666668801</v>
      </c>
      <c r="M10">
        <v>4.039065814922945</v>
      </c>
    </row>
    <row r="11" spans="1:13">
      <c r="A11" t="s">
        <v>13</v>
      </c>
      <c r="B11">
        <v>45</v>
      </c>
      <c r="C11">
        <v>9</v>
      </c>
      <c r="D11">
        <v>8343</v>
      </c>
      <c r="E11">
        <v>5393</v>
      </c>
      <c r="F11">
        <v>3390</v>
      </c>
      <c r="G11">
        <v>7.617977528089888</v>
      </c>
      <c r="H11">
        <v>445</v>
      </c>
      <c r="I11">
        <v>0.13126843657817111</v>
      </c>
      <c r="J11">
        <v>20.40824645247821</v>
      </c>
      <c r="K11">
        <v>3.6211016582943398</v>
      </c>
      <c r="L11">
        <v>371.95342712475099</v>
      </c>
      <c r="M11">
        <v>3.502566362629723</v>
      </c>
    </row>
    <row r="12" spans="1:13">
      <c r="A12" t="s">
        <v>14</v>
      </c>
      <c r="B12">
        <v>45</v>
      </c>
      <c r="C12">
        <v>0</v>
      </c>
      <c r="D12">
        <v>7454</v>
      </c>
      <c r="E12">
        <v>4854</v>
      </c>
      <c r="F12">
        <v>3064</v>
      </c>
      <c r="G12">
        <v>7.9173126614987082</v>
      </c>
      <c r="H12">
        <v>387</v>
      </c>
      <c r="I12">
        <v>0.12630548302872061</v>
      </c>
      <c r="J12">
        <v>20.119044552542601</v>
      </c>
      <c r="K12">
        <v>3.51135650074088</v>
      </c>
      <c r="L12">
        <v>390.74722222223897</v>
      </c>
      <c r="M12">
        <v>13.76452654851224</v>
      </c>
    </row>
    <row r="13" spans="1:13">
      <c r="A13" t="s">
        <v>14</v>
      </c>
      <c r="B13">
        <v>45</v>
      </c>
      <c r="C13">
        <v>1</v>
      </c>
      <c r="D13">
        <v>7408</v>
      </c>
      <c r="E13">
        <v>4812</v>
      </c>
      <c r="F13">
        <v>2971</v>
      </c>
      <c r="G13">
        <v>8.1174863387978142</v>
      </c>
      <c r="H13">
        <v>366</v>
      </c>
      <c r="I13">
        <v>0.12319084483338941</v>
      </c>
      <c r="J13">
        <v>19.72191478824568</v>
      </c>
      <c r="K13">
        <v>3.53555183710117</v>
      </c>
      <c r="L13">
        <v>408.33370849897199</v>
      </c>
      <c r="M13">
        <v>14.286609221863291</v>
      </c>
    </row>
    <row r="14" spans="1:13">
      <c r="A14" t="s">
        <v>14</v>
      </c>
      <c r="B14">
        <v>45</v>
      </c>
      <c r="C14">
        <v>2</v>
      </c>
      <c r="D14">
        <v>7496</v>
      </c>
      <c r="E14">
        <v>4835</v>
      </c>
      <c r="F14">
        <v>2959</v>
      </c>
      <c r="G14">
        <v>7.9117647058823533</v>
      </c>
      <c r="H14">
        <v>374</v>
      </c>
      <c r="I14">
        <v>0.12639405204460971</v>
      </c>
      <c r="J14">
        <v>19.455833532554252</v>
      </c>
      <c r="K14">
        <v>3.56661682849996</v>
      </c>
      <c r="L14">
        <v>421.00990620856697</v>
      </c>
      <c r="M14">
        <v>13.295816005522971</v>
      </c>
    </row>
    <row r="15" spans="1:13">
      <c r="A15" t="s">
        <v>14</v>
      </c>
      <c r="B15">
        <v>45</v>
      </c>
      <c r="C15">
        <v>3</v>
      </c>
      <c r="D15">
        <v>7315</v>
      </c>
      <c r="E15">
        <v>4745</v>
      </c>
      <c r="F15">
        <v>2994</v>
      </c>
      <c r="G15">
        <v>8.1138211382113816</v>
      </c>
      <c r="H15">
        <v>369</v>
      </c>
      <c r="I15">
        <v>0.1232464929859719</v>
      </c>
      <c r="J15">
        <v>20.200293496953339</v>
      </c>
      <c r="K15">
        <v>3.5186873904719498</v>
      </c>
      <c r="L15">
        <v>390.16666666667601</v>
      </c>
      <c r="M15">
        <v>15.383001893849791</v>
      </c>
    </row>
    <row r="16" spans="1:13">
      <c r="A16" t="s">
        <v>14</v>
      </c>
      <c r="B16">
        <v>45</v>
      </c>
      <c r="C16">
        <v>4</v>
      </c>
      <c r="D16">
        <v>7304</v>
      </c>
      <c r="E16">
        <v>4702</v>
      </c>
      <c r="F16">
        <v>2946</v>
      </c>
      <c r="G16">
        <v>8.0054347826086953</v>
      </c>
      <c r="H16">
        <v>368</v>
      </c>
      <c r="I16">
        <v>0.1249151391717583</v>
      </c>
      <c r="J16">
        <v>20.26985605104398</v>
      </c>
      <c r="K16">
        <v>3.5567192550211599</v>
      </c>
      <c r="L16">
        <v>412.65666666666601</v>
      </c>
      <c r="M16">
        <v>15.54838918278721</v>
      </c>
    </row>
    <row r="17" spans="1:13">
      <c r="A17" t="s">
        <v>14</v>
      </c>
      <c r="B17">
        <v>45</v>
      </c>
      <c r="C17">
        <v>5</v>
      </c>
      <c r="D17">
        <v>7293</v>
      </c>
      <c r="E17">
        <v>4770</v>
      </c>
      <c r="F17">
        <v>3027</v>
      </c>
      <c r="G17">
        <v>7.8419689119170988</v>
      </c>
      <c r="H17">
        <v>386</v>
      </c>
      <c r="I17">
        <v>0.1275189957053188</v>
      </c>
      <c r="J17">
        <v>20.270448146715239</v>
      </c>
      <c r="K17">
        <v>3.5248471063701898</v>
      </c>
      <c r="L17">
        <v>394.36777777777098</v>
      </c>
      <c r="M17">
        <v>15.65187509990276</v>
      </c>
    </row>
    <row r="18" spans="1:13">
      <c r="A18" t="s">
        <v>14</v>
      </c>
      <c r="B18">
        <v>45</v>
      </c>
      <c r="C18">
        <v>6</v>
      </c>
      <c r="D18">
        <v>7263</v>
      </c>
      <c r="E18">
        <v>4696</v>
      </c>
      <c r="F18">
        <v>2927</v>
      </c>
      <c r="G18">
        <v>7.7433862433862437</v>
      </c>
      <c r="H18">
        <v>378</v>
      </c>
      <c r="I18">
        <v>0.1291424666894431</v>
      </c>
      <c r="J18">
        <v>20.320615529940561</v>
      </c>
      <c r="K18">
        <v>3.6383846761649901</v>
      </c>
      <c r="L18">
        <v>397.435461764161</v>
      </c>
      <c r="M18">
        <v>15.972195382880651</v>
      </c>
    </row>
    <row r="19" spans="1:13">
      <c r="A19" t="s">
        <v>14</v>
      </c>
      <c r="B19">
        <v>45</v>
      </c>
      <c r="C19">
        <v>7</v>
      </c>
      <c r="D19">
        <v>7507</v>
      </c>
      <c r="E19">
        <v>4815</v>
      </c>
      <c r="F19">
        <v>2958</v>
      </c>
      <c r="G19">
        <v>8.1712707182320443</v>
      </c>
      <c r="H19">
        <v>362</v>
      </c>
      <c r="I19">
        <v>0.1223799864773496</v>
      </c>
      <c r="J19">
        <v>19.419414481539061</v>
      </c>
      <c r="K19">
        <v>3.5201909272309702</v>
      </c>
      <c r="L19">
        <v>419.50027418130497</v>
      </c>
      <c r="M19">
        <v>13.167970077307221</v>
      </c>
    </row>
    <row r="20" spans="1:13">
      <c r="A20" t="s">
        <v>14</v>
      </c>
      <c r="B20">
        <v>45</v>
      </c>
      <c r="C20">
        <v>8</v>
      </c>
      <c r="D20">
        <v>7334</v>
      </c>
      <c r="E20">
        <v>4709</v>
      </c>
      <c r="F20">
        <v>2949</v>
      </c>
      <c r="G20">
        <v>7.8850267379679142</v>
      </c>
      <c r="H20">
        <v>374</v>
      </c>
      <c r="I20">
        <v>0.12682265174635471</v>
      </c>
      <c r="J20">
        <v>20.078791453048989</v>
      </c>
      <c r="K20">
        <v>3.61473701998696</v>
      </c>
      <c r="L20">
        <v>390.38055555557702</v>
      </c>
      <c r="M20">
        <v>15.177982160854979</v>
      </c>
    </row>
    <row r="21" spans="1:13">
      <c r="A21" t="s">
        <v>14</v>
      </c>
      <c r="B21">
        <v>45</v>
      </c>
      <c r="C21">
        <v>9</v>
      </c>
      <c r="D21">
        <v>7618</v>
      </c>
      <c r="E21">
        <v>4920</v>
      </c>
      <c r="F21">
        <v>3115</v>
      </c>
      <c r="G21">
        <v>8.1331592689295036</v>
      </c>
      <c r="H21">
        <v>383</v>
      </c>
      <c r="I21">
        <v>0.1229534510433387</v>
      </c>
      <c r="J21">
        <v>19.316554180805809</v>
      </c>
      <c r="K21">
        <v>3.4477740341674701</v>
      </c>
      <c r="L21">
        <v>372.15555555552299</v>
      </c>
      <c r="M21">
        <v>11.8825181955941</v>
      </c>
    </row>
    <row r="22" spans="1:13">
      <c r="A22" t="s">
        <v>15</v>
      </c>
      <c r="B22">
        <v>45</v>
      </c>
      <c r="C22">
        <v>0</v>
      </c>
      <c r="D22">
        <v>7940</v>
      </c>
      <c r="E22">
        <v>5172</v>
      </c>
      <c r="F22">
        <v>3244</v>
      </c>
      <c r="G22">
        <v>7.9509803921568629</v>
      </c>
      <c r="H22">
        <v>408</v>
      </c>
      <c r="I22">
        <v>0.12577065351417999</v>
      </c>
      <c r="J22">
        <v>20.005638730163191</v>
      </c>
      <c r="K22">
        <v>3.5168483741292</v>
      </c>
      <c r="L22">
        <v>371.92316013634598</v>
      </c>
      <c r="M22">
        <v>8.1799449677236513</v>
      </c>
    </row>
    <row r="23" spans="1:13">
      <c r="A23" t="s">
        <v>15</v>
      </c>
      <c r="B23">
        <v>45</v>
      </c>
      <c r="C23">
        <v>1</v>
      </c>
      <c r="D23">
        <v>7956</v>
      </c>
      <c r="E23">
        <v>5215</v>
      </c>
      <c r="F23">
        <v>3242</v>
      </c>
      <c r="G23">
        <v>8.1457286432160796</v>
      </c>
      <c r="H23">
        <v>398</v>
      </c>
      <c r="I23">
        <v>0.12276372609500311</v>
      </c>
      <c r="J23">
        <v>19.458346028475361</v>
      </c>
      <c r="K23">
        <v>3.5045025629853899</v>
      </c>
      <c r="L23">
        <v>392.44841993182501</v>
      </c>
      <c r="M23">
        <v>7.9626756067251732</v>
      </c>
    </row>
    <row r="24" spans="1:13">
      <c r="A24" t="s">
        <v>15</v>
      </c>
      <c r="B24">
        <v>45</v>
      </c>
      <c r="C24">
        <v>2</v>
      </c>
      <c r="D24">
        <v>7974</v>
      </c>
      <c r="E24">
        <v>5168</v>
      </c>
      <c r="F24">
        <v>3228</v>
      </c>
      <c r="G24">
        <v>7.8924205378973102</v>
      </c>
      <c r="H24">
        <v>409</v>
      </c>
      <c r="I24">
        <v>0.12670384138785629</v>
      </c>
      <c r="J24">
        <v>19.940303431862421</v>
      </c>
      <c r="K24">
        <v>3.5087435159668101</v>
      </c>
      <c r="L24">
        <v>392.413059151997</v>
      </c>
      <c r="M24">
        <v>7.7804230124742801</v>
      </c>
    </row>
    <row r="25" spans="1:13">
      <c r="A25" t="s">
        <v>15</v>
      </c>
      <c r="B25">
        <v>45</v>
      </c>
      <c r="C25">
        <v>3</v>
      </c>
      <c r="D25">
        <v>7881</v>
      </c>
      <c r="E25">
        <v>5116</v>
      </c>
      <c r="F25">
        <v>3236</v>
      </c>
      <c r="G25">
        <v>8.4712041884816749</v>
      </c>
      <c r="H25">
        <v>382</v>
      </c>
      <c r="I25">
        <v>0.1180469715698393</v>
      </c>
      <c r="J25">
        <v>19.76275472850978</v>
      </c>
      <c r="K25">
        <v>3.4376394246891699</v>
      </c>
      <c r="L25">
        <v>376.80555555556703</v>
      </c>
      <c r="M25">
        <v>8.8773883593695437</v>
      </c>
    </row>
    <row r="26" spans="1:13">
      <c r="A26" t="s">
        <v>15</v>
      </c>
      <c r="B26">
        <v>45</v>
      </c>
      <c r="C26">
        <v>4</v>
      </c>
      <c r="D26">
        <v>7979</v>
      </c>
      <c r="E26">
        <v>5120</v>
      </c>
      <c r="F26">
        <v>3180</v>
      </c>
      <c r="G26">
        <v>7.9301745635910228</v>
      </c>
      <c r="H26">
        <v>401</v>
      </c>
      <c r="I26">
        <v>0.12610062893081761</v>
      </c>
      <c r="J26">
        <v>19.573159232224999</v>
      </c>
      <c r="K26">
        <v>3.4784854176883702</v>
      </c>
      <c r="L26">
        <v>392.51999999998702</v>
      </c>
      <c r="M26">
        <v>7.7193991990850961</v>
      </c>
    </row>
    <row r="27" spans="1:13">
      <c r="A27" t="s">
        <v>15</v>
      </c>
      <c r="B27">
        <v>45</v>
      </c>
      <c r="C27">
        <v>5</v>
      </c>
      <c r="D27">
        <v>7892</v>
      </c>
      <c r="E27">
        <v>5161</v>
      </c>
      <c r="F27">
        <v>3270</v>
      </c>
      <c r="G27">
        <v>8.2575757575757578</v>
      </c>
      <c r="H27">
        <v>396</v>
      </c>
      <c r="I27">
        <v>0.1211009174311927</v>
      </c>
      <c r="J27">
        <v>19.408924431993221</v>
      </c>
      <c r="K27">
        <v>3.4001628722344099</v>
      </c>
      <c r="L27">
        <v>364.38453823587002</v>
      </c>
      <c r="M27">
        <v>8.6995897633751511</v>
      </c>
    </row>
    <row r="28" spans="1:13">
      <c r="A28" t="s">
        <v>15</v>
      </c>
      <c r="B28">
        <v>45</v>
      </c>
      <c r="C28">
        <v>6</v>
      </c>
      <c r="D28">
        <v>7980</v>
      </c>
      <c r="E28">
        <v>5157</v>
      </c>
      <c r="F28">
        <v>3275</v>
      </c>
      <c r="G28">
        <v>8.1467661691542297</v>
      </c>
      <c r="H28">
        <v>402</v>
      </c>
      <c r="I28">
        <v>0.1227480916030534</v>
      </c>
      <c r="J28">
        <v>19.14420508488773</v>
      </c>
      <c r="K28">
        <v>3.3563658229158202</v>
      </c>
      <c r="L28">
        <v>372.12805915201602</v>
      </c>
      <c r="M28">
        <v>7.7106556887144579</v>
      </c>
    </row>
    <row r="29" spans="1:13">
      <c r="A29" t="s">
        <v>15</v>
      </c>
      <c r="B29">
        <v>45</v>
      </c>
      <c r="C29">
        <v>7</v>
      </c>
      <c r="D29">
        <v>8025</v>
      </c>
      <c r="E29">
        <v>5161</v>
      </c>
      <c r="F29">
        <v>3210</v>
      </c>
      <c r="G29">
        <v>8.1472081218274113</v>
      </c>
      <c r="H29">
        <v>394</v>
      </c>
      <c r="I29">
        <v>0.1227414330218069</v>
      </c>
      <c r="J29">
        <v>19.881301767114511</v>
      </c>
      <c r="K29">
        <v>3.4912829089602999</v>
      </c>
      <c r="L29">
        <v>407.56296536059602</v>
      </c>
      <c r="M29">
        <v>7.1817364780738906</v>
      </c>
    </row>
    <row r="30" spans="1:13">
      <c r="A30" t="s">
        <v>15</v>
      </c>
      <c r="B30">
        <v>45</v>
      </c>
      <c r="C30">
        <v>8</v>
      </c>
      <c r="D30">
        <v>7994</v>
      </c>
      <c r="E30">
        <v>5147</v>
      </c>
      <c r="F30">
        <v>3219</v>
      </c>
      <c r="G30">
        <v>8.1083123425692687</v>
      </c>
      <c r="H30">
        <v>397</v>
      </c>
      <c r="I30">
        <v>0.1233302267785026</v>
      </c>
      <c r="J30">
        <v>20.065739727929859</v>
      </c>
      <c r="K30">
        <v>3.5101640155734599</v>
      </c>
      <c r="L30">
        <v>385.41379509749299</v>
      </c>
      <c r="M30">
        <v>7.5343734049776332</v>
      </c>
    </row>
    <row r="31" spans="1:13">
      <c r="A31" t="s">
        <v>15</v>
      </c>
      <c r="B31">
        <v>45</v>
      </c>
      <c r="C31">
        <v>9</v>
      </c>
      <c r="D31">
        <v>7994</v>
      </c>
      <c r="E31">
        <v>5146</v>
      </c>
      <c r="F31">
        <v>3262</v>
      </c>
      <c r="G31">
        <v>7.8602409638554214</v>
      </c>
      <c r="H31">
        <v>415</v>
      </c>
      <c r="I31">
        <v>0.12722256284488051</v>
      </c>
      <c r="J31">
        <v>20.118959446658181</v>
      </c>
      <c r="K31">
        <v>3.4885720406343101</v>
      </c>
      <c r="L31">
        <v>382.64166666664602</v>
      </c>
      <c r="M31">
        <v>7.5487405970239836</v>
      </c>
    </row>
    <row r="32" spans="1:13">
      <c r="A32" t="s">
        <v>16</v>
      </c>
      <c r="B32">
        <v>45</v>
      </c>
      <c r="C32">
        <v>0</v>
      </c>
      <c r="D32">
        <v>8220</v>
      </c>
      <c r="E32">
        <v>5347</v>
      </c>
      <c r="F32">
        <v>3348</v>
      </c>
      <c r="G32">
        <v>8.0480769230769234</v>
      </c>
      <c r="H32">
        <v>416</v>
      </c>
      <c r="I32">
        <v>0.12425328554360809</v>
      </c>
      <c r="J32">
        <v>19.560346595511319</v>
      </c>
      <c r="K32">
        <v>3.4673237385873299</v>
      </c>
      <c r="L32">
        <v>363.92713562372302</v>
      </c>
      <c r="M32">
        <v>4.9274856898256774</v>
      </c>
    </row>
    <row r="33" spans="1:13">
      <c r="A33" t="s">
        <v>16</v>
      </c>
      <c r="B33">
        <v>45</v>
      </c>
      <c r="C33">
        <v>1</v>
      </c>
      <c r="D33">
        <v>8247</v>
      </c>
      <c r="E33">
        <v>5344</v>
      </c>
      <c r="F33">
        <v>3345</v>
      </c>
      <c r="G33">
        <v>8.3834586466165408</v>
      </c>
      <c r="H33">
        <v>399</v>
      </c>
      <c r="I33">
        <v>0.1192825112107623</v>
      </c>
      <c r="J33">
        <v>19.196229465551649</v>
      </c>
      <c r="K33">
        <v>3.4408294962259802</v>
      </c>
      <c r="L33">
        <v>399.23555555555703</v>
      </c>
      <c r="M33">
        <v>4.6231234193339601</v>
      </c>
    </row>
    <row r="34" spans="1:13">
      <c r="A34" t="s">
        <v>16</v>
      </c>
      <c r="B34">
        <v>45</v>
      </c>
      <c r="C34">
        <v>2</v>
      </c>
      <c r="D34">
        <v>8258</v>
      </c>
      <c r="E34">
        <v>5357</v>
      </c>
      <c r="F34">
        <v>3337</v>
      </c>
      <c r="G34">
        <v>8.021634615384615</v>
      </c>
      <c r="H34">
        <v>416</v>
      </c>
      <c r="I34">
        <v>0.1246628708420737</v>
      </c>
      <c r="J34">
        <v>19.527772300629831</v>
      </c>
      <c r="K34">
        <v>3.4898738516196701</v>
      </c>
      <c r="L34">
        <v>387.212409805064</v>
      </c>
      <c r="M34">
        <v>4.4811623170250554</v>
      </c>
    </row>
    <row r="35" spans="1:13">
      <c r="A35" t="s">
        <v>16</v>
      </c>
      <c r="B35">
        <v>45</v>
      </c>
      <c r="C35">
        <v>3</v>
      </c>
      <c r="D35">
        <v>8248</v>
      </c>
      <c r="E35">
        <v>5342</v>
      </c>
      <c r="F35">
        <v>3365</v>
      </c>
      <c r="G35">
        <v>8.5841836734693882</v>
      </c>
      <c r="H35">
        <v>392</v>
      </c>
      <c r="I35">
        <v>0.11649331352154529</v>
      </c>
      <c r="J35">
        <v>19.142918860007111</v>
      </c>
      <c r="K35">
        <v>3.3662728810934301</v>
      </c>
      <c r="L35">
        <v>384.54389608183601</v>
      </c>
      <c r="M35">
        <v>4.6051601080250846</v>
      </c>
    </row>
    <row r="36" spans="1:13">
      <c r="A36" t="s">
        <v>16</v>
      </c>
      <c r="B36">
        <v>45</v>
      </c>
      <c r="C36">
        <v>4</v>
      </c>
      <c r="D36">
        <v>8178</v>
      </c>
      <c r="E36">
        <v>5256</v>
      </c>
      <c r="F36">
        <v>3281</v>
      </c>
      <c r="G36">
        <v>8.2853535353535346</v>
      </c>
      <c r="H36">
        <v>396</v>
      </c>
      <c r="I36">
        <v>0.1206949100883877</v>
      </c>
      <c r="J36">
        <v>19.633732237191211</v>
      </c>
      <c r="K36">
        <v>3.4830163630828399</v>
      </c>
      <c r="L36">
        <v>383.81490620858699</v>
      </c>
      <c r="M36">
        <v>5.4186466265184876</v>
      </c>
    </row>
    <row r="37" spans="1:13">
      <c r="A37" t="s">
        <v>16</v>
      </c>
      <c r="B37">
        <v>45</v>
      </c>
      <c r="C37">
        <v>5</v>
      </c>
      <c r="D37">
        <v>8226</v>
      </c>
      <c r="E37">
        <v>5421</v>
      </c>
      <c r="F37">
        <v>3421</v>
      </c>
      <c r="G37">
        <v>8.3643031784841071</v>
      </c>
      <c r="H37">
        <v>409</v>
      </c>
      <c r="I37">
        <v>0.1195556854720842</v>
      </c>
      <c r="J37">
        <v>19.096312761045191</v>
      </c>
      <c r="K37">
        <v>3.3807145462461001</v>
      </c>
      <c r="L37">
        <v>374.43611111113501</v>
      </c>
      <c r="M37">
        <v>4.8612856992172206</v>
      </c>
    </row>
    <row r="38" spans="1:13">
      <c r="A38" t="s">
        <v>16</v>
      </c>
      <c r="B38">
        <v>45</v>
      </c>
      <c r="C38">
        <v>6</v>
      </c>
      <c r="D38">
        <v>8224</v>
      </c>
      <c r="E38">
        <v>5337</v>
      </c>
      <c r="F38">
        <v>3359</v>
      </c>
      <c r="G38">
        <v>8.1926829268292689</v>
      </c>
      <c r="H38">
        <v>410</v>
      </c>
      <c r="I38">
        <v>0.1220601369455195</v>
      </c>
      <c r="J38">
        <v>19.596054332375491</v>
      </c>
      <c r="K38">
        <v>3.47177327273068</v>
      </c>
      <c r="L38">
        <v>380.41138529240499</v>
      </c>
      <c r="M38">
        <v>4.8790778401944834</v>
      </c>
    </row>
    <row r="39" spans="1:13">
      <c r="A39" t="s">
        <v>16</v>
      </c>
      <c r="B39">
        <v>45</v>
      </c>
      <c r="C39">
        <v>7</v>
      </c>
      <c r="D39">
        <v>8237</v>
      </c>
      <c r="E39">
        <v>5335</v>
      </c>
      <c r="F39">
        <v>3334</v>
      </c>
      <c r="G39">
        <v>8.2935323383084576</v>
      </c>
      <c r="H39">
        <v>402</v>
      </c>
      <c r="I39">
        <v>0.1205758848230354</v>
      </c>
      <c r="J39">
        <v>19.54973531419644</v>
      </c>
      <c r="K39">
        <v>3.4688935923014399</v>
      </c>
      <c r="L39">
        <v>378.194444444434</v>
      </c>
      <c r="M39">
        <v>4.7199331275721157</v>
      </c>
    </row>
    <row r="40" spans="1:13">
      <c r="A40" t="s">
        <v>16</v>
      </c>
      <c r="B40">
        <v>45</v>
      </c>
      <c r="C40">
        <v>8</v>
      </c>
      <c r="D40">
        <v>8214</v>
      </c>
      <c r="E40">
        <v>5297</v>
      </c>
      <c r="F40">
        <v>3275</v>
      </c>
      <c r="G40">
        <v>8.0665024630541868</v>
      </c>
      <c r="H40">
        <v>406</v>
      </c>
      <c r="I40">
        <v>0.123969465648855</v>
      </c>
      <c r="J40">
        <v>19.779819723890881</v>
      </c>
      <c r="K40">
        <v>3.54288913959184</v>
      </c>
      <c r="L40">
        <v>385.807308820711</v>
      </c>
      <c r="M40">
        <v>4.9851620869884723</v>
      </c>
    </row>
    <row r="41" spans="1:13">
      <c r="A41" t="s">
        <v>16</v>
      </c>
      <c r="B41">
        <v>45</v>
      </c>
      <c r="C41">
        <v>9</v>
      </c>
      <c r="D41">
        <v>8180</v>
      </c>
      <c r="E41">
        <v>5284</v>
      </c>
      <c r="F41">
        <v>3329</v>
      </c>
      <c r="G41">
        <v>7.7060185185185182</v>
      </c>
      <c r="H41">
        <v>432</v>
      </c>
      <c r="I41">
        <v>0.12976869930910179</v>
      </c>
      <c r="J41">
        <v>20.435153782891561</v>
      </c>
      <c r="K41">
        <v>3.5659804698700599</v>
      </c>
      <c r="L41">
        <v>371.73214281659898</v>
      </c>
      <c r="M41">
        <v>5.3833201209715114</v>
      </c>
    </row>
    <row r="42" spans="1:13">
      <c r="A42" t="s">
        <v>17</v>
      </c>
      <c r="B42">
        <v>45</v>
      </c>
      <c r="C42">
        <v>0</v>
      </c>
      <c r="D42">
        <v>8337</v>
      </c>
      <c r="E42">
        <v>5427</v>
      </c>
      <c r="F42">
        <v>3450</v>
      </c>
      <c r="G42">
        <v>7.8947368421052628</v>
      </c>
      <c r="H42">
        <v>437</v>
      </c>
      <c r="I42">
        <v>0.12666666666666671</v>
      </c>
      <c r="J42">
        <v>20.27402899725778</v>
      </c>
      <c r="K42">
        <v>3.5259970776196701</v>
      </c>
      <c r="L42">
        <v>374.661111111129</v>
      </c>
      <c r="M42">
        <v>3.5785825428899689</v>
      </c>
    </row>
    <row r="43" spans="1:13">
      <c r="A43" t="s">
        <v>17</v>
      </c>
      <c r="B43">
        <v>45</v>
      </c>
      <c r="C43">
        <v>1</v>
      </c>
      <c r="D43">
        <v>8369</v>
      </c>
      <c r="E43">
        <v>5411</v>
      </c>
      <c r="F43">
        <v>3354</v>
      </c>
      <c r="G43">
        <v>7.9667458432304041</v>
      </c>
      <c r="H43">
        <v>421</v>
      </c>
      <c r="I43">
        <v>0.1255217650566488</v>
      </c>
      <c r="J43">
        <v>19.976797401457219</v>
      </c>
      <c r="K43">
        <v>3.5885529837485199</v>
      </c>
      <c r="L43">
        <v>393.44463202727002</v>
      </c>
      <c r="M43">
        <v>3.210575096089642</v>
      </c>
    </row>
    <row r="44" spans="1:13">
      <c r="A44" t="s">
        <v>17</v>
      </c>
      <c r="B44">
        <v>45</v>
      </c>
      <c r="C44">
        <v>2</v>
      </c>
      <c r="D44">
        <v>8408</v>
      </c>
      <c r="E44">
        <v>5435</v>
      </c>
      <c r="F44">
        <v>3369</v>
      </c>
      <c r="G44">
        <v>8.318518518518518</v>
      </c>
      <c r="H44">
        <v>405</v>
      </c>
      <c r="I44">
        <v>0.1202137132680321</v>
      </c>
      <c r="J44">
        <v>19.555406831962099</v>
      </c>
      <c r="K44">
        <v>3.5724214204455098</v>
      </c>
      <c r="L44">
        <v>403.547871569206</v>
      </c>
      <c r="M44">
        <v>2.7352715135831041</v>
      </c>
    </row>
    <row r="45" spans="1:13">
      <c r="A45" t="s">
        <v>17</v>
      </c>
      <c r="B45">
        <v>45</v>
      </c>
      <c r="C45">
        <v>3</v>
      </c>
      <c r="D45">
        <v>8354</v>
      </c>
      <c r="E45">
        <v>5382</v>
      </c>
      <c r="F45">
        <v>3417</v>
      </c>
      <c r="G45">
        <v>7.9280742459396754</v>
      </c>
      <c r="H45">
        <v>431</v>
      </c>
      <c r="I45">
        <v>0.1261340357038338</v>
      </c>
      <c r="J45">
        <v>20.28999637976905</v>
      </c>
      <c r="K45">
        <v>3.5591555332515501</v>
      </c>
      <c r="L45">
        <v>386.67416307019198</v>
      </c>
      <c r="M45">
        <v>3.3806285403585679</v>
      </c>
    </row>
    <row r="46" spans="1:13">
      <c r="A46" t="s">
        <v>17</v>
      </c>
      <c r="B46">
        <v>45</v>
      </c>
      <c r="C46">
        <v>4</v>
      </c>
      <c r="D46">
        <v>8397</v>
      </c>
      <c r="E46">
        <v>5411</v>
      </c>
      <c r="F46">
        <v>3393</v>
      </c>
      <c r="G46">
        <v>8.2554744525547452</v>
      </c>
      <c r="H46">
        <v>411</v>
      </c>
      <c r="I46">
        <v>0.12113174182139699</v>
      </c>
      <c r="J46">
        <v>20.1338668140693</v>
      </c>
      <c r="K46">
        <v>3.58011301451296</v>
      </c>
      <c r="L46">
        <v>382.259076471718</v>
      </c>
      <c r="M46">
        <v>2.8857549611029052</v>
      </c>
    </row>
    <row r="47" spans="1:13">
      <c r="A47" t="s">
        <v>17</v>
      </c>
      <c r="B47">
        <v>45</v>
      </c>
      <c r="C47">
        <v>5</v>
      </c>
      <c r="D47">
        <v>8360</v>
      </c>
      <c r="E47">
        <v>5504</v>
      </c>
      <c r="F47">
        <v>3494</v>
      </c>
      <c r="G47">
        <v>8.0879629629629637</v>
      </c>
      <c r="H47">
        <v>432</v>
      </c>
      <c r="I47">
        <v>0.12364052661705779</v>
      </c>
      <c r="J47">
        <v>19.852965413185871</v>
      </c>
      <c r="K47">
        <v>3.51035868911283</v>
      </c>
      <c r="L47">
        <v>374.6547258187</v>
      </c>
      <c r="M47">
        <v>3.322171649677478</v>
      </c>
    </row>
    <row r="48" spans="1:13">
      <c r="A48" t="s">
        <v>17</v>
      </c>
      <c r="B48">
        <v>45</v>
      </c>
      <c r="C48">
        <v>6</v>
      </c>
      <c r="D48">
        <v>8312</v>
      </c>
      <c r="E48">
        <v>5374</v>
      </c>
      <c r="F48">
        <v>3352</v>
      </c>
      <c r="G48">
        <v>7.9056603773584904</v>
      </c>
      <c r="H48">
        <v>424</v>
      </c>
      <c r="I48">
        <v>0.12649164677804289</v>
      </c>
      <c r="J48">
        <v>20.326837766785079</v>
      </c>
      <c r="K48">
        <v>3.6451212463880398</v>
      </c>
      <c r="L48">
        <v>384.23463202726299</v>
      </c>
      <c r="M48">
        <v>3.8662971954118821</v>
      </c>
    </row>
    <row r="49" spans="1:13">
      <c r="A49" t="s">
        <v>17</v>
      </c>
      <c r="B49">
        <v>45</v>
      </c>
      <c r="C49">
        <v>7</v>
      </c>
      <c r="D49">
        <v>8424</v>
      </c>
      <c r="E49">
        <v>5427</v>
      </c>
      <c r="F49">
        <v>3387</v>
      </c>
      <c r="G49">
        <v>8.3423645320197046</v>
      </c>
      <c r="H49">
        <v>406</v>
      </c>
      <c r="I49">
        <v>0.1198700915264246</v>
      </c>
      <c r="J49">
        <v>19.572223211258891</v>
      </c>
      <c r="K49">
        <v>3.5178108068701599</v>
      </c>
      <c r="L49">
        <v>399.82222222220702</v>
      </c>
      <c r="M49">
        <v>2.5745026814498342</v>
      </c>
    </row>
    <row r="50" spans="1:13">
      <c r="A50" t="s">
        <v>17</v>
      </c>
      <c r="B50">
        <v>45</v>
      </c>
      <c r="C50">
        <v>8</v>
      </c>
      <c r="D50">
        <v>8375</v>
      </c>
      <c r="E50">
        <v>5411</v>
      </c>
      <c r="F50">
        <v>3386</v>
      </c>
      <c r="G50">
        <v>8.5075376884422109</v>
      </c>
      <c r="H50">
        <v>398</v>
      </c>
      <c r="I50">
        <v>0.11754282339043121</v>
      </c>
      <c r="J50">
        <v>19.394308607802259</v>
      </c>
      <c r="K50">
        <v>3.45038828118075</v>
      </c>
      <c r="L50">
        <v>401.34009379140298</v>
      </c>
      <c r="M50">
        <v>3.1356088230270842</v>
      </c>
    </row>
    <row r="51" spans="1:13">
      <c r="A51" t="s">
        <v>17</v>
      </c>
      <c r="B51">
        <v>45</v>
      </c>
      <c r="C51">
        <v>9</v>
      </c>
      <c r="D51">
        <v>8366</v>
      </c>
      <c r="E51">
        <v>5432</v>
      </c>
      <c r="F51">
        <v>3398</v>
      </c>
      <c r="G51">
        <v>8.1486810551558762</v>
      </c>
      <c r="H51">
        <v>417</v>
      </c>
      <c r="I51">
        <v>0.12271924661565629</v>
      </c>
      <c r="J51">
        <v>19.846437336242818</v>
      </c>
      <c r="K51">
        <v>3.5726703373432298</v>
      </c>
      <c r="L51">
        <v>381.37519477574398</v>
      </c>
      <c r="M51">
        <v>3.2772420221466172</v>
      </c>
    </row>
    <row r="52" spans="1:13">
      <c r="A52" t="s">
        <v>18</v>
      </c>
      <c r="B52">
        <v>45</v>
      </c>
      <c r="C52">
        <v>0</v>
      </c>
      <c r="D52">
        <v>8357</v>
      </c>
      <c r="E52">
        <v>5443</v>
      </c>
      <c r="F52">
        <v>3450</v>
      </c>
      <c r="G52">
        <v>8.1753554502369674</v>
      </c>
      <c r="H52">
        <v>422</v>
      </c>
      <c r="I52">
        <v>0.1223188405797101</v>
      </c>
      <c r="J52">
        <v>20.143270323830421</v>
      </c>
      <c r="K52">
        <v>3.5627889222184499</v>
      </c>
      <c r="L52">
        <v>392.11305915202303</v>
      </c>
      <c r="M52">
        <v>3.345505217097807</v>
      </c>
    </row>
    <row r="53" spans="1:13">
      <c r="A53" t="s">
        <v>18</v>
      </c>
      <c r="B53">
        <v>45</v>
      </c>
      <c r="C53">
        <v>1</v>
      </c>
      <c r="D53">
        <v>8388</v>
      </c>
      <c r="E53">
        <v>5441</v>
      </c>
      <c r="F53">
        <v>3402</v>
      </c>
      <c r="G53">
        <v>8.4416873449131522</v>
      </c>
      <c r="H53">
        <v>403</v>
      </c>
      <c r="I53">
        <v>0.11845972957084069</v>
      </c>
      <c r="J53">
        <v>19.411836493526931</v>
      </c>
      <c r="K53">
        <v>3.5038498326943399</v>
      </c>
      <c r="L53">
        <v>412.419350653018</v>
      </c>
      <c r="M53">
        <v>2.9884279212131322</v>
      </c>
    </row>
    <row r="54" spans="1:13">
      <c r="A54" t="s">
        <v>18</v>
      </c>
      <c r="B54">
        <v>45</v>
      </c>
      <c r="C54">
        <v>2</v>
      </c>
      <c r="D54">
        <v>8364</v>
      </c>
      <c r="E54">
        <v>5421</v>
      </c>
      <c r="F54">
        <v>3378</v>
      </c>
      <c r="G54">
        <v>7.966981132075472</v>
      </c>
      <c r="H54">
        <v>424</v>
      </c>
      <c r="I54">
        <v>0.12551805802249849</v>
      </c>
      <c r="J54">
        <v>20.310847922590298</v>
      </c>
      <c r="K54">
        <v>3.6519594704655498</v>
      </c>
      <c r="L54">
        <v>396.35407647171502</v>
      </c>
      <c r="M54">
        <v>3.2538269011035581</v>
      </c>
    </row>
    <row r="55" spans="1:13">
      <c r="A55" t="s">
        <v>18</v>
      </c>
      <c r="B55">
        <v>45</v>
      </c>
      <c r="C55">
        <v>3</v>
      </c>
      <c r="D55">
        <v>8380</v>
      </c>
      <c r="E55">
        <v>5438</v>
      </c>
      <c r="F55">
        <v>3437</v>
      </c>
      <c r="G55">
        <v>8.0870588235294125</v>
      </c>
      <c r="H55">
        <v>425</v>
      </c>
      <c r="I55">
        <v>0.12365434972359619</v>
      </c>
      <c r="J55">
        <v>20.154347478316481</v>
      </c>
      <c r="K55">
        <v>3.5949638993254101</v>
      </c>
      <c r="L55">
        <v>402.32953823583898</v>
      </c>
      <c r="M55">
        <v>3.092536118426763</v>
      </c>
    </row>
    <row r="56" spans="1:13">
      <c r="A56" t="s">
        <v>18</v>
      </c>
      <c r="B56">
        <v>45</v>
      </c>
      <c r="C56">
        <v>4</v>
      </c>
      <c r="D56">
        <v>8388</v>
      </c>
      <c r="E56">
        <v>5418</v>
      </c>
      <c r="F56">
        <v>3341</v>
      </c>
      <c r="G56">
        <v>8.2698019801980198</v>
      </c>
      <c r="H56">
        <v>404</v>
      </c>
      <c r="I56">
        <v>0.1209218796767435</v>
      </c>
      <c r="J56">
        <v>19.98482283620487</v>
      </c>
      <c r="K56">
        <v>3.6646929260726901</v>
      </c>
      <c r="L56">
        <v>415.51231601364799</v>
      </c>
      <c r="M56">
        <v>3.0139011309434132</v>
      </c>
    </row>
    <row r="57" spans="1:13">
      <c r="A57" t="s">
        <v>18</v>
      </c>
      <c r="B57">
        <v>45</v>
      </c>
      <c r="C57">
        <v>5</v>
      </c>
      <c r="D57">
        <v>8404</v>
      </c>
      <c r="E57">
        <v>5487</v>
      </c>
      <c r="F57">
        <v>3506</v>
      </c>
      <c r="G57">
        <v>8.2884160756501188</v>
      </c>
      <c r="H57">
        <v>423</v>
      </c>
      <c r="I57">
        <v>0.1206503137478608</v>
      </c>
      <c r="J57">
        <v>19.915574590363772</v>
      </c>
      <c r="K57">
        <v>3.5167336818246002</v>
      </c>
      <c r="L57">
        <v>365.78944444444397</v>
      </c>
      <c r="M57">
        <v>2.7850262622837541</v>
      </c>
    </row>
    <row r="58" spans="1:13">
      <c r="A58" t="s">
        <v>18</v>
      </c>
      <c r="B58">
        <v>45</v>
      </c>
      <c r="C58">
        <v>6</v>
      </c>
      <c r="D58">
        <v>8363</v>
      </c>
      <c r="E58">
        <v>5404</v>
      </c>
      <c r="F58">
        <v>3394</v>
      </c>
      <c r="G58">
        <v>7.8383371824480372</v>
      </c>
      <c r="H58">
        <v>433</v>
      </c>
      <c r="I58">
        <v>0.12757807896287571</v>
      </c>
      <c r="J58">
        <v>20.379533760703179</v>
      </c>
      <c r="K58">
        <v>3.6516009350035001</v>
      </c>
      <c r="L58">
        <v>403.10055555556397</v>
      </c>
      <c r="M58">
        <v>3.2914202622328719</v>
      </c>
    </row>
    <row r="59" spans="1:13">
      <c r="A59" t="s">
        <v>18</v>
      </c>
      <c r="B59">
        <v>45</v>
      </c>
      <c r="C59">
        <v>7</v>
      </c>
      <c r="D59">
        <v>8353</v>
      </c>
      <c r="E59">
        <v>5413</v>
      </c>
      <c r="F59">
        <v>3356</v>
      </c>
      <c r="G59">
        <v>8.0095465393794747</v>
      </c>
      <c r="H59">
        <v>419</v>
      </c>
      <c r="I59">
        <v>0.1248510131108462</v>
      </c>
      <c r="J59">
        <v>20.35805511542361</v>
      </c>
      <c r="K59">
        <v>3.7013805206453698</v>
      </c>
      <c r="L59">
        <v>395.40099574087799</v>
      </c>
      <c r="M59">
        <v>3.373328097396072</v>
      </c>
    </row>
    <row r="60" spans="1:13">
      <c r="A60" t="s">
        <v>18</v>
      </c>
      <c r="B60">
        <v>45</v>
      </c>
      <c r="C60">
        <v>8</v>
      </c>
      <c r="D60">
        <v>8358</v>
      </c>
      <c r="E60">
        <v>5390</v>
      </c>
      <c r="F60">
        <v>3357</v>
      </c>
      <c r="G60">
        <v>7.7888631090487239</v>
      </c>
      <c r="H60">
        <v>431</v>
      </c>
      <c r="I60">
        <v>0.12838844206136429</v>
      </c>
      <c r="J60">
        <v>20.342743197279589</v>
      </c>
      <c r="K60">
        <v>3.6626369378390899</v>
      </c>
      <c r="L60">
        <v>394.92611111112598</v>
      </c>
      <c r="M60">
        <v>3.31103534518043</v>
      </c>
    </row>
    <row r="61" spans="1:13">
      <c r="A61" t="s">
        <v>18</v>
      </c>
      <c r="B61">
        <v>45</v>
      </c>
      <c r="C61">
        <v>9</v>
      </c>
      <c r="D61">
        <v>8369</v>
      </c>
      <c r="E61">
        <v>5406</v>
      </c>
      <c r="F61">
        <v>3411</v>
      </c>
      <c r="G61">
        <v>8.2590799031477005</v>
      </c>
      <c r="H61">
        <v>413</v>
      </c>
      <c r="I61">
        <v>0.12107886250366461</v>
      </c>
      <c r="J61">
        <v>20.569959504010171</v>
      </c>
      <c r="K61">
        <v>3.6708963565680301</v>
      </c>
      <c r="L61">
        <v>397.02455981507802</v>
      </c>
      <c r="M61">
        <v>3.204930729734274</v>
      </c>
    </row>
    <row r="62" spans="1:13">
      <c r="A62" t="s">
        <v>19</v>
      </c>
      <c r="B62">
        <v>45</v>
      </c>
      <c r="C62">
        <v>0</v>
      </c>
      <c r="D62">
        <v>8363</v>
      </c>
      <c r="E62">
        <v>5445</v>
      </c>
      <c r="F62">
        <v>3465</v>
      </c>
      <c r="G62">
        <v>8.5767326732673261</v>
      </c>
      <c r="H62">
        <v>404</v>
      </c>
      <c r="I62">
        <v>0.1165945165945166</v>
      </c>
      <c r="J62">
        <v>19.86649019880771</v>
      </c>
      <c r="K62">
        <v>3.5541877037676</v>
      </c>
      <c r="L62">
        <v>371.96721502934503</v>
      </c>
      <c r="M62">
        <v>3.310447630766431</v>
      </c>
    </row>
    <row r="63" spans="1:13">
      <c r="A63" t="s">
        <v>19</v>
      </c>
      <c r="B63">
        <v>45</v>
      </c>
      <c r="C63">
        <v>1</v>
      </c>
      <c r="D63">
        <v>8350</v>
      </c>
      <c r="E63">
        <v>5403</v>
      </c>
      <c r="F63">
        <v>3394</v>
      </c>
      <c r="G63">
        <v>8.5276381909547734</v>
      </c>
      <c r="H63">
        <v>398</v>
      </c>
      <c r="I63">
        <v>0.117265763111373</v>
      </c>
      <c r="J63">
        <v>20.122893486796961</v>
      </c>
      <c r="K63">
        <v>3.6081338466225699</v>
      </c>
      <c r="L63">
        <v>389.61731601365301</v>
      </c>
      <c r="M63">
        <v>3.4132903436348578</v>
      </c>
    </row>
    <row r="64" spans="1:13">
      <c r="A64" t="s">
        <v>19</v>
      </c>
      <c r="B64">
        <v>45</v>
      </c>
      <c r="C64">
        <v>2</v>
      </c>
      <c r="D64">
        <v>8333</v>
      </c>
      <c r="E64">
        <v>5410</v>
      </c>
      <c r="F64">
        <v>3373</v>
      </c>
      <c r="G64">
        <v>8.4114713216957604</v>
      </c>
      <c r="H64">
        <v>401</v>
      </c>
      <c r="I64">
        <v>0.11888526534242511</v>
      </c>
      <c r="J64">
        <v>20.11175201140351</v>
      </c>
      <c r="K64">
        <v>3.6343282551203702</v>
      </c>
      <c r="L64">
        <v>395.08611111109798</v>
      </c>
      <c r="M64">
        <v>3.610104166666749</v>
      </c>
    </row>
    <row r="65" spans="1:13">
      <c r="A65" t="s">
        <v>19</v>
      </c>
      <c r="B65">
        <v>45</v>
      </c>
      <c r="C65">
        <v>3</v>
      </c>
      <c r="D65">
        <v>8332</v>
      </c>
      <c r="E65">
        <v>5381</v>
      </c>
      <c r="F65">
        <v>3427</v>
      </c>
      <c r="G65">
        <v>8.2978208232445514</v>
      </c>
      <c r="H65">
        <v>413</v>
      </c>
      <c r="I65">
        <v>0.1205135687189962</v>
      </c>
      <c r="J65">
        <v>20.115140594084931</v>
      </c>
      <c r="K65">
        <v>3.59632409919957</v>
      </c>
      <c r="L65">
        <v>377.47415587727801</v>
      </c>
      <c r="M65">
        <v>3.619507124857849</v>
      </c>
    </row>
    <row r="66" spans="1:13">
      <c r="A66" t="s">
        <v>19</v>
      </c>
      <c r="B66">
        <v>45</v>
      </c>
      <c r="C66">
        <v>4</v>
      </c>
      <c r="D66">
        <v>8350</v>
      </c>
      <c r="E66">
        <v>5453</v>
      </c>
      <c r="F66">
        <v>3427</v>
      </c>
      <c r="G66">
        <v>8.4408866995073897</v>
      </c>
      <c r="H66">
        <v>406</v>
      </c>
      <c r="I66">
        <v>0.1184709658593522</v>
      </c>
      <c r="J66">
        <v>20.394127265034658</v>
      </c>
      <c r="K66">
        <v>3.6605910863350899</v>
      </c>
      <c r="L66">
        <v>398.19102451262302</v>
      </c>
      <c r="M66">
        <v>3.428327997166678</v>
      </c>
    </row>
    <row r="67" spans="1:13">
      <c r="A67" t="s">
        <v>19</v>
      </c>
      <c r="B67">
        <v>45</v>
      </c>
      <c r="C67">
        <v>5</v>
      </c>
      <c r="D67">
        <v>8307</v>
      </c>
      <c r="E67">
        <v>5474</v>
      </c>
      <c r="F67">
        <v>3459</v>
      </c>
      <c r="G67">
        <v>8.1966824644549767</v>
      </c>
      <c r="H67">
        <v>422</v>
      </c>
      <c r="I67">
        <v>0.1220005782017924</v>
      </c>
      <c r="J67">
        <v>20.413910826710449</v>
      </c>
      <c r="K67">
        <v>3.6634766755034098</v>
      </c>
      <c r="L67">
        <v>377.19453823586798</v>
      </c>
      <c r="M67">
        <v>3.9291410633823052</v>
      </c>
    </row>
    <row r="68" spans="1:13">
      <c r="A68" t="s">
        <v>19</v>
      </c>
      <c r="B68">
        <v>45</v>
      </c>
      <c r="C68">
        <v>6</v>
      </c>
      <c r="D68">
        <v>8361</v>
      </c>
      <c r="E68">
        <v>5413</v>
      </c>
      <c r="F68">
        <v>3393</v>
      </c>
      <c r="G68">
        <v>8.336609336609337</v>
      </c>
      <c r="H68">
        <v>407</v>
      </c>
      <c r="I68">
        <v>0.1199528440907751</v>
      </c>
      <c r="J68">
        <v>20.317264697474599</v>
      </c>
      <c r="K68">
        <v>3.6724263505308299</v>
      </c>
      <c r="L68">
        <v>386.18620490251101</v>
      </c>
      <c r="M68">
        <v>3.2798411443557458</v>
      </c>
    </row>
    <row r="69" spans="1:13">
      <c r="A69" t="s">
        <v>19</v>
      </c>
      <c r="B69">
        <v>45</v>
      </c>
      <c r="C69">
        <v>7</v>
      </c>
      <c r="D69">
        <v>8353</v>
      </c>
      <c r="E69">
        <v>5409</v>
      </c>
      <c r="F69">
        <v>3336</v>
      </c>
      <c r="G69">
        <v>8.4030226700251891</v>
      </c>
      <c r="H69">
        <v>397</v>
      </c>
      <c r="I69">
        <v>0.1190047961630695</v>
      </c>
      <c r="J69">
        <v>20.164476633332779</v>
      </c>
      <c r="K69">
        <v>3.7018428822976301</v>
      </c>
      <c r="L69">
        <v>414.75833333334202</v>
      </c>
      <c r="M69">
        <v>3.3880713539615752</v>
      </c>
    </row>
    <row r="70" spans="1:13">
      <c r="A70" t="s">
        <v>19</v>
      </c>
      <c r="B70">
        <v>45</v>
      </c>
      <c r="C70">
        <v>8</v>
      </c>
      <c r="D70">
        <v>8327</v>
      </c>
      <c r="E70">
        <v>5376</v>
      </c>
      <c r="F70">
        <v>3378</v>
      </c>
      <c r="G70">
        <v>8.2591687041564796</v>
      </c>
      <c r="H70">
        <v>409</v>
      </c>
      <c r="I70">
        <v>0.1210775606867969</v>
      </c>
      <c r="J70">
        <v>20.713487424765439</v>
      </c>
      <c r="K70">
        <v>3.70888997944181</v>
      </c>
      <c r="L70">
        <v>389.29814575048198</v>
      </c>
      <c r="M70">
        <v>3.680702586060594</v>
      </c>
    </row>
    <row r="71" spans="1:13">
      <c r="A71" t="s">
        <v>19</v>
      </c>
      <c r="B71">
        <v>45</v>
      </c>
      <c r="C71">
        <v>9</v>
      </c>
      <c r="D71">
        <v>8349</v>
      </c>
      <c r="E71">
        <v>5346</v>
      </c>
      <c r="F71">
        <v>3397</v>
      </c>
      <c r="G71">
        <v>8.165865384615385</v>
      </c>
      <c r="H71">
        <v>416</v>
      </c>
      <c r="I71">
        <v>0.1224609949955843</v>
      </c>
      <c r="J71">
        <v>20.949607880103251</v>
      </c>
      <c r="K71">
        <v>3.7635983654861498</v>
      </c>
      <c r="L71">
        <v>376.32768398638098</v>
      </c>
      <c r="M71">
        <v>3.4389634357420928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1"/>
  <sheetViews>
    <sheetView workbookViewId="0"/>
  </sheetViews>
  <sheetFormatPr defaultRowHeight="15.75"/>
  <cols>
    <col min="1" max="5" width="18" customWidth="1"/>
  </cols>
  <sheetData>
    <row r="1" spans="1: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25</v>
      </c>
      <c r="B2" t="s">
        <v>13</v>
      </c>
      <c r="C2" t="s">
        <v>3</v>
      </c>
      <c r="D2">
        <f>AVERAGE(per_seed!$D$2:$D$11)</f>
        <v>8318.2000000000007</v>
      </c>
      <c r="E2">
        <v>8318.2000000000007</v>
      </c>
    </row>
    <row r="3" spans="1:5">
      <c r="A3" t="s">
        <v>26</v>
      </c>
      <c r="B3" t="s">
        <v>13</v>
      </c>
      <c r="C3" t="s">
        <v>3</v>
      </c>
      <c r="D3">
        <f>_xlfn.STDEV.S(per_seed!$D$2:$D$11)</f>
        <v>17.548662500474375</v>
      </c>
      <c r="E3">
        <v>17.548662500474379</v>
      </c>
    </row>
    <row r="4" spans="1:5">
      <c r="A4" t="s">
        <v>25</v>
      </c>
      <c r="B4" t="s">
        <v>13</v>
      </c>
      <c r="C4" t="s">
        <v>4</v>
      </c>
      <c r="D4">
        <f>AVERAGE(per_seed!$E$2:$E$11)</f>
        <v>5396.9</v>
      </c>
      <c r="E4">
        <v>5396.9</v>
      </c>
    </row>
    <row r="5" spans="1:5">
      <c r="A5" t="s">
        <v>26</v>
      </c>
      <c r="B5" t="s">
        <v>13</v>
      </c>
      <c r="C5" t="s">
        <v>4</v>
      </c>
      <c r="D5">
        <f>_xlfn.STDEV.S(per_seed!$E$2:$E$11)</f>
        <v>35.914868477801477</v>
      </c>
      <c r="E5">
        <v>35.914868477801477</v>
      </c>
    </row>
    <row r="6" spans="1:5">
      <c r="A6" t="s">
        <v>25</v>
      </c>
      <c r="B6" t="s">
        <v>13</v>
      </c>
      <c r="C6" t="s">
        <v>5</v>
      </c>
      <c r="D6">
        <f>AVERAGE(per_seed!$F$2:$F$11)</f>
        <v>3385.3</v>
      </c>
      <c r="E6">
        <v>3385.3</v>
      </c>
    </row>
    <row r="7" spans="1:5">
      <c r="A7" t="s">
        <v>26</v>
      </c>
      <c r="B7" t="s">
        <v>13</v>
      </c>
      <c r="C7" t="s">
        <v>5</v>
      </c>
      <c r="D7">
        <f>_xlfn.STDEV.S(per_seed!$F$2:$F$11)</f>
        <v>42.426537816690995</v>
      </c>
      <c r="E7">
        <v>42.426537816691003</v>
      </c>
    </row>
    <row r="8" spans="1:5">
      <c r="A8" t="s">
        <v>25</v>
      </c>
      <c r="B8" t="s">
        <v>13</v>
      </c>
      <c r="C8" t="s">
        <v>6</v>
      </c>
      <c r="D8">
        <f>AVERAGE(per_seed!$G$2:$G$11)</f>
        <v>7.6248441194160161</v>
      </c>
      <c r="E8">
        <v>7.6248441194160126</v>
      </c>
    </row>
    <row r="9" spans="1:5">
      <c r="A9" t="s">
        <v>26</v>
      </c>
      <c r="B9" t="s">
        <v>13</v>
      </c>
      <c r="C9" t="s">
        <v>6</v>
      </c>
      <c r="D9">
        <f>_xlfn.STDEV.S(per_seed!$G$2:$G$11)</f>
        <v>0.12943095229030302</v>
      </c>
      <c r="E9">
        <v>0.1294309522903031</v>
      </c>
    </row>
    <row r="10" spans="1:5">
      <c r="A10" t="s">
        <v>25</v>
      </c>
      <c r="B10" t="s">
        <v>13</v>
      </c>
      <c r="C10" t="s">
        <v>7</v>
      </c>
      <c r="D10">
        <f>AVERAGE(per_seed!$H$2:$H$11)</f>
        <v>444.1</v>
      </c>
      <c r="E10">
        <v>444.1</v>
      </c>
    </row>
    <row r="11" spans="1:5">
      <c r="A11" t="s">
        <v>26</v>
      </c>
      <c r="B11" t="s">
        <v>13</v>
      </c>
      <c r="C11" t="s">
        <v>7</v>
      </c>
      <c r="D11">
        <f>_xlfn.STDEV.S(per_seed!$H$2:$H$11)</f>
        <v>9.4333922259645746</v>
      </c>
      <c r="E11">
        <v>9.4333922259645746</v>
      </c>
    </row>
    <row r="12" spans="1:5">
      <c r="A12" t="s">
        <v>25</v>
      </c>
      <c r="B12" t="s">
        <v>13</v>
      </c>
      <c r="C12" t="s">
        <v>8</v>
      </c>
      <c r="D12">
        <f>AVERAGE(per_seed!$I$2:$I$11)</f>
        <v>0.13118402103039301</v>
      </c>
      <c r="E12">
        <v>0.13118402103039301</v>
      </c>
    </row>
    <row r="13" spans="1:5">
      <c r="A13" t="s">
        <v>26</v>
      </c>
      <c r="B13" t="s">
        <v>13</v>
      </c>
      <c r="C13" t="s">
        <v>8</v>
      </c>
      <c r="D13">
        <f>_xlfn.STDEV.S(per_seed!$I$2:$I$11)</f>
        <v>2.2128343840324737E-3</v>
      </c>
      <c r="E13">
        <v>2.2128343840324628E-3</v>
      </c>
    </row>
    <row r="14" spans="1:5">
      <c r="A14" t="s">
        <v>25</v>
      </c>
      <c r="B14" t="s">
        <v>13</v>
      </c>
      <c r="C14" t="s">
        <v>9</v>
      </c>
      <c r="D14">
        <f>AVERAGE(per_seed!$J$2:$J$11)</f>
        <v>20.448192865359768</v>
      </c>
      <c r="E14">
        <v>20.448192865359768</v>
      </c>
    </row>
    <row r="15" spans="1:5">
      <c r="A15" t="s">
        <v>26</v>
      </c>
      <c r="B15" t="s">
        <v>13</v>
      </c>
      <c r="C15" t="s">
        <v>9</v>
      </c>
      <c r="D15">
        <f>_xlfn.STDEV.S(per_seed!$J$2:$J$11)</f>
        <v>0.28880278869695281</v>
      </c>
      <c r="E15">
        <v>0.28880278869695442</v>
      </c>
    </row>
    <row r="16" spans="1:5">
      <c r="A16" t="s">
        <v>25</v>
      </c>
      <c r="B16" t="s">
        <v>13</v>
      </c>
      <c r="C16" t="s">
        <v>10</v>
      </c>
      <c r="D16">
        <f>AVERAGE(per_seed!$K$2:$K$11)</f>
        <v>3.600961801530759</v>
      </c>
      <c r="E16">
        <v>3.600961801530759</v>
      </c>
    </row>
    <row r="17" spans="1:5">
      <c r="A17" t="s">
        <v>26</v>
      </c>
      <c r="B17" t="s">
        <v>13</v>
      </c>
      <c r="C17" t="s">
        <v>10</v>
      </c>
      <c r="D17">
        <f>_xlfn.STDEV.S(per_seed!$K$2:$K$11)</f>
        <v>6.5771669471154939E-2</v>
      </c>
      <c r="E17">
        <v>6.5771669471154939E-2</v>
      </c>
    </row>
    <row r="18" spans="1:5">
      <c r="A18" t="s">
        <v>25</v>
      </c>
      <c r="B18" t="s">
        <v>13</v>
      </c>
      <c r="C18" t="s">
        <v>11</v>
      </c>
      <c r="D18">
        <f>AVERAGE(per_seed!$L$2:$L$11)</f>
        <v>395.17806637329932</v>
      </c>
      <c r="E18">
        <v>395.17806637329932</v>
      </c>
    </row>
    <row r="19" spans="1:5">
      <c r="A19" t="s">
        <v>26</v>
      </c>
      <c r="B19" t="s">
        <v>13</v>
      </c>
      <c r="C19" t="s">
        <v>11</v>
      </c>
      <c r="D19">
        <f>_xlfn.STDEV.S(per_seed!$L$2:$L$11)</f>
        <v>15.065815399218005</v>
      </c>
      <c r="E19">
        <v>15.06581539921801</v>
      </c>
    </row>
    <row r="20" spans="1:5">
      <c r="A20" t="s">
        <v>25</v>
      </c>
      <c r="B20" t="s">
        <v>13</v>
      </c>
      <c r="C20" t="s">
        <v>12</v>
      </c>
      <c r="D20">
        <f>AVERAGE(per_seed!$M$2:$M$11)</f>
        <v>3.7882129617377891</v>
      </c>
      <c r="E20">
        <v>3.7882129617377891</v>
      </c>
    </row>
    <row r="21" spans="1:5">
      <c r="A21" t="s">
        <v>26</v>
      </c>
      <c r="B21" t="s">
        <v>13</v>
      </c>
      <c r="C21" t="s">
        <v>12</v>
      </c>
      <c r="D21">
        <f>_xlfn.STDEV.S(per_seed!$M$2:$M$11)</f>
        <v>0.20978200802083008</v>
      </c>
      <c r="E21">
        <v>0.20978200802083</v>
      </c>
    </row>
    <row r="22" spans="1:5">
      <c r="A22" t="s">
        <v>25</v>
      </c>
      <c r="B22" t="s">
        <v>14</v>
      </c>
      <c r="C22" t="s">
        <v>3</v>
      </c>
      <c r="D22">
        <f>AVERAGE(per_seed!$D$12:$D$21)</f>
        <v>7399.2</v>
      </c>
      <c r="E22">
        <v>7399.2</v>
      </c>
    </row>
    <row r="23" spans="1:5">
      <c r="A23" t="s">
        <v>26</v>
      </c>
      <c r="B23" t="s">
        <v>14</v>
      </c>
      <c r="C23" t="s">
        <v>3</v>
      </c>
      <c r="D23">
        <f>_xlfn.STDEV.S(per_seed!$D$12:$D$21)</f>
        <v>116.51304171159936</v>
      </c>
      <c r="E23">
        <v>116.5130417115994</v>
      </c>
    </row>
    <row r="24" spans="1:5">
      <c r="A24" t="s">
        <v>25</v>
      </c>
      <c r="B24" t="s">
        <v>14</v>
      </c>
      <c r="C24" t="s">
        <v>4</v>
      </c>
      <c r="D24">
        <f>AVERAGE(per_seed!$E$12:$E$21)</f>
        <v>4785.8</v>
      </c>
      <c r="E24">
        <v>4785.8</v>
      </c>
    </row>
    <row r="25" spans="1:5">
      <c r="A25" t="s">
        <v>26</v>
      </c>
      <c r="B25" t="s">
        <v>14</v>
      </c>
      <c r="C25" t="s">
        <v>4</v>
      </c>
      <c r="D25">
        <f>_xlfn.STDEV.S(per_seed!$E$12:$E$21)</f>
        <v>74.176665992600249</v>
      </c>
      <c r="E25">
        <v>74.176665992600249</v>
      </c>
    </row>
    <row r="26" spans="1:5">
      <c r="A26" t="s">
        <v>25</v>
      </c>
      <c r="B26" t="s">
        <v>14</v>
      </c>
      <c r="C26" t="s">
        <v>5</v>
      </c>
      <c r="D26">
        <f>AVERAGE(per_seed!$F$12:$F$21)</f>
        <v>2991</v>
      </c>
      <c r="E26">
        <v>2991</v>
      </c>
    </row>
    <row r="27" spans="1:5">
      <c r="A27" t="s">
        <v>26</v>
      </c>
      <c r="B27" t="s">
        <v>14</v>
      </c>
      <c r="C27" t="s">
        <v>5</v>
      </c>
      <c r="D27">
        <f>_xlfn.STDEV.S(per_seed!$F$12:$F$21)</f>
        <v>60.007406950216478</v>
      </c>
      <c r="E27">
        <v>60.007406950216478</v>
      </c>
    </row>
    <row r="28" spans="1:5">
      <c r="A28" t="s">
        <v>25</v>
      </c>
      <c r="B28" t="s">
        <v>14</v>
      </c>
      <c r="C28" t="s">
        <v>6</v>
      </c>
      <c r="D28">
        <f>AVERAGE(per_seed!$G$12:$G$21)</f>
        <v>7.9840631507431752</v>
      </c>
      <c r="E28">
        <v>7.984063150743177</v>
      </c>
    </row>
    <row r="29" spans="1:5">
      <c r="A29" t="s">
        <v>26</v>
      </c>
      <c r="B29" t="s">
        <v>14</v>
      </c>
      <c r="C29" t="s">
        <v>6</v>
      </c>
      <c r="D29">
        <f>_xlfn.STDEV.S(per_seed!$G$12:$G$21)</f>
        <v>0.14528860370384225</v>
      </c>
      <c r="E29">
        <v>0.14528860370384231</v>
      </c>
    </row>
    <row r="30" spans="1:5">
      <c r="A30" t="s">
        <v>25</v>
      </c>
      <c r="B30" t="s">
        <v>14</v>
      </c>
      <c r="C30" t="s">
        <v>7</v>
      </c>
      <c r="D30">
        <f>AVERAGE(per_seed!$H$12:$H$21)</f>
        <v>374.7</v>
      </c>
      <c r="E30">
        <v>374.7</v>
      </c>
    </row>
    <row r="31" spans="1:5">
      <c r="A31" t="s">
        <v>26</v>
      </c>
      <c r="B31" t="s">
        <v>14</v>
      </c>
      <c r="C31" t="s">
        <v>7</v>
      </c>
      <c r="D31">
        <f>_xlfn.STDEV.S(per_seed!$H$12:$H$21)</f>
        <v>8.6544786093675228</v>
      </c>
      <c r="E31">
        <v>8.6544786093675228</v>
      </c>
    </row>
    <row r="32" spans="1:5">
      <c r="A32" t="s">
        <v>25</v>
      </c>
      <c r="B32" t="s">
        <v>14</v>
      </c>
      <c r="C32" t="s">
        <v>8</v>
      </c>
      <c r="D32">
        <f>AVERAGE(per_seed!$I$12:$I$21)</f>
        <v>0.12528695637262549</v>
      </c>
      <c r="E32">
        <v>0.12528695637262549</v>
      </c>
    </row>
    <row r="33" spans="1:5">
      <c r="A33" t="s">
        <v>26</v>
      </c>
      <c r="B33" t="s">
        <v>14</v>
      </c>
      <c r="C33" t="s">
        <v>8</v>
      </c>
      <c r="D33">
        <f>_xlfn.STDEV.S(per_seed!$I$12:$I$21)</f>
        <v>2.2866647372362173E-3</v>
      </c>
      <c r="E33">
        <v>2.2866647372362212E-3</v>
      </c>
    </row>
    <row r="34" spans="1:5">
      <c r="A34" t="s">
        <v>25</v>
      </c>
      <c r="B34" t="s">
        <v>14</v>
      </c>
      <c r="C34" t="s">
        <v>9</v>
      </c>
      <c r="D34">
        <f>AVERAGE(per_seed!$J$12:$J$21)</f>
        <v>19.917276621338949</v>
      </c>
      <c r="E34">
        <v>19.917276621338949</v>
      </c>
    </row>
    <row r="35" spans="1:5">
      <c r="A35" t="s">
        <v>26</v>
      </c>
      <c r="B35" t="s">
        <v>14</v>
      </c>
      <c r="C35" t="s">
        <v>9</v>
      </c>
      <c r="D35">
        <f>_xlfn.STDEV.S(per_seed!$J$12:$J$21)</f>
        <v>0.39699575668172732</v>
      </c>
      <c r="E35">
        <v>0.39699575668172699</v>
      </c>
    </row>
    <row r="36" spans="1:5">
      <c r="A36" t="s">
        <v>25</v>
      </c>
      <c r="B36" t="s">
        <v>14</v>
      </c>
      <c r="C36" t="s">
        <v>10</v>
      </c>
      <c r="D36">
        <f>AVERAGE(per_seed!$K$12:$K$21)</f>
        <v>3.5434865575755703</v>
      </c>
      <c r="E36">
        <v>3.5434865575755699</v>
      </c>
    </row>
    <row r="37" spans="1:5">
      <c r="A37" t="s">
        <v>26</v>
      </c>
      <c r="B37" t="s">
        <v>14</v>
      </c>
      <c r="C37" t="s">
        <v>10</v>
      </c>
      <c r="D37">
        <f>_xlfn.STDEV.S(per_seed!$K$12:$K$21)</f>
        <v>5.4317683556142748E-2</v>
      </c>
      <c r="E37">
        <v>5.4317683556142748E-2</v>
      </c>
    </row>
    <row r="38" spans="1:5">
      <c r="A38" t="s">
        <v>25</v>
      </c>
      <c r="B38" t="s">
        <v>14</v>
      </c>
      <c r="C38" t="s">
        <v>11</v>
      </c>
      <c r="D38">
        <f>AVERAGE(per_seed!$L$12:$L$21)</f>
        <v>399.67537950974571</v>
      </c>
      <c r="E38">
        <v>399.67537950974571</v>
      </c>
    </row>
    <row r="39" spans="1:5">
      <c r="A39" t="s">
        <v>26</v>
      </c>
      <c r="B39" t="s">
        <v>14</v>
      </c>
      <c r="C39" t="s">
        <v>11</v>
      </c>
      <c r="D39">
        <f>_xlfn.STDEV.S(per_seed!$L$12:$L$21)</f>
        <v>15.415428412550778</v>
      </c>
      <c r="E39">
        <v>15.41542841255078</v>
      </c>
    </row>
    <row r="40" spans="1:5">
      <c r="A40" t="s">
        <v>25</v>
      </c>
      <c r="B40" t="s">
        <v>14</v>
      </c>
      <c r="C40" t="s">
        <v>12</v>
      </c>
      <c r="D40">
        <f>AVERAGE(per_seed!$M$12:$M$21)</f>
        <v>14.413088376907519</v>
      </c>
      <c r="E40">
        <v>14.41308837690752</v>
      </c>
    </row>
    <row r="41" spans="1:5">
      <c r="A41" t="s">
        <v>26</v>
      </c>
      <c r="B41" t="s">
        <v>14</v>
      </c>
      <c r="C41" t="s">
        <v>12</v>
      </c>
      <c r="D41">
        <f>_xlfn.STDEV.S(per_seed!$M$12:$M$21)</f>
        <v>1.3506846761043168</v>
      </c>
      <c r="E41">
        <v>1.3506846761043161</v>
      </c>
    </row>
    <row r="42" spans="1:5">
      <c r="A42" t="s">
        <v>25</v>
      </c>
      <c r="B42" t="s">
        <v>15</v>
      </c>
      <c r="C42" t="s">
        <v>3</v>
      </c>
      <c r="D42">
        <f>AVERAGE(per_seed!$D$22:$D$31)</f>
        <v>7961.5</v>
      </c>
      <c r="E42">
        <v>7961.5</v>
      </c>
    </row>
    <row r="43" spans="1:5">
      <c r="A43" t="s">
        <v>26</v>
      </c>
      <c r="B43" t="s">
        <v>15</v>
      </c>
      <c r="C43" t="s">
        <v>3</v>
      </c>
      <c r="D43">
        <f>_xlfn.STDEV.S(per_seed!$D$22:$D$31)</f>
        <v>45.646589260437757</v>
      </c>
      <c r="E43">
        <v>45.646589260437757</v>
      </c>
    </row>
    <row r="44" spans="1:5">
      <c r="A44" t="s">
        <v>25</v>
      </c>
      <c r="B44" t="s">
        <v>15</v>
      </c>
      <c r="C44" t="s">
        <v>4</v>
      </c>
      <c r="D44">
        <f>AVERAGE(per_seed!$E$22:$E$31)</f>
        <v>5156.3</v>
      </c>
      <c r="E44">
        <v>5156.3</v>
      </c>
    </row>
    <row r="45" spans="1:5">
      <c r="A45" t="s">
        <v>26</v>
      </c>
      <c r="B45" t="s">
        <v>15</v>
      </c>
      <c r="C45" t="s">
        <v>4</v>
      </c>
      <c r="D45">
        <f>_xlfn.STDEV.S(per_seed!$E$22:$E$31)</f>
        <v>27.904798472265981</v>
      </c>
      <c r="E45">
        <v>27.904798472265981</v>
      </c>
    </row>
    <row r="46" spans="1:5">
      <c r="A46" t="s">
        <v>25</v>
      </c>
      <c r="B46" t="s">
        <v>15</v>
      </c>
      <c r="C46" t="s">
        <v>5</v>
      </c>
      <c r="D46">
        <f>AVERAGE(per_seed!$F$22:$F$31)</f>
        <v>3236.6</v>
      </c>
      <c r="E46">
        <v>3236.6</v>
      </c>
    </row>
    <row r="47" spans="1:5">
      <c r="A47" t="s">
        <v>26</v>
      </c>
      <c r="B47" t="s">
        <v>15</v>
      </c>
      <c r="C47" t="s">
        <v>5</v>
      </c>
      <c r="D47">
        <f>_xlfn.STDEV.S(per_seed!$F$22:$F$31)</f>
        <v>29.086843150201851</v>
      </c>
      <c r="E47">
        <v>29.086843150201851</v>
      </c>
    </row>
    <row r="48" spans="1:5">
      <c r="A48" t="s">
        <v>25</v>
      </c>
      <c r="B48" t="s">
        <v>15</v>
      </c>
      <c r="C48" t="s">
        <v>6</v>
      </c>
      <c r="D48">
        <f>AVERAGE(per_seed!$G$22:$G$31)</f>
        <v>8.0910611680325033</v>
      </c>
      <c r="E48">
        <v>8.0910611680325033</v>
      </c>
    </row>
    <row r="49" spans="1:5">
      <c r="A49" t="s">
        <v>26</v>
      </c>
      <c r="B49" t="s">
        <v>15</v>
      </c>
      <c r="C49" t="s">
        <v>6</v>
      </c>
      <c r="D49">
        <f>_xlfn.STDEV.S(per_seed!$G$22:$G$31)</f>
        <v>0.1885679004787662</v>
      </c>
      <c r="E49">
        <v>0.1885679004787662</v>
      </c>
    </row>
    <row r="50" spans="1:5">
      <c r="A50" t="s">
        <v>25</v>
      </c>
      <c r="B50" t="s">
        <v>15</v>
      </c>
      <c r="C50" t="s">
        <v>7</v>
      </c>
      <c r="D50">
        <f>AVERAGE(per_seed!$H$22:$H$31)</f>
        <v>400.2</v>
      </c>
      <c r="E50">
        <v>400.2</v>
      </c>
    </row>
    <row r="51" spans="1:5">
      <c r="A51" t="s">
        <v>26</v>
      </c>
      <c r="B51" t="s">
        <v>15</v>
      </c>
      <c r="C51" t="s">
        <v>7</v>
      </c>
      <c r="D51">
        <f>_xlfn.STDEV.S(per_seed!$H$22:$H$31)</f>
        <v>9.2111044095941317</v>
      </c>
      <c r="E51">
        <v>9.2111044095941317</v>
      </c>
    </row>
    <row r="52" spans="1:5">
      <c r="A52" t="s">
        <v>25</v>
      </c>
      <c r="B52" t="s">
        <v>15</v>
      </c>
      <c r="C52" t="s">
        <v>8</v>
      </c>
      <c r="D52">
        <f>AVERAGE(per_seed!$I$22:$I$31)</f>
        <v>0.12365290531771322</v>
      </c>
      <c r="E52">
        <v>0.1236529053177132</v>
      </c>
    </row>
    <row r="53" spans="1:5">
      <c r="A53" t="s">
        <v>26</v>
      </c>
      <c r="B53" t="s">
        <v>15</v>
      </c>
      <c r="C53" t="s">
        <v>8</v>
      </c>
      <c r="D53">
        <f>_xlfn.STDEV.S(per_seed!$I$22:$I$31)</f>
        <v>2.8482009949333921E-3</v>
      </c>
      <c r="E53">
        <v>2.8482009949333869E-3</v>
      </c>
    </row>
    <row r="54" spans="1:5">
      <c r="A54" t="s">
        <v>25</v>
      </c>
      <c r="B54" t="s">
        <v>15</v>
      </c>
      <c r="C54" t="s">
        <v>9</v>
      </c>
      <c r="D54">
        <f>AVERAGE(per_seed!$J$22:$J$31)</f>
        <v>19.735933260981927</v>
      </c>
      <c r="E54">
        <v>19.73593326098193</v>
      </c>
    </row>
    <row r="55" spans="1:5">
      <c r="A55" t="s">
        <v>26</v>
      </c>
      <c r="B55" t="s">
        <v>15</v>
      </c>
      <c r="C55" t="s">
        <v>9</v>
      </c>
      <c r="D55">
        <f>_xlfn.STDEV.S(per_seed!$J$22:$J$31)</f>
        <v>0.32531489527852492</v>
      </c>
      <c r="E55">
        <v>0.32531489527852581</v>
      </c>
    </row>
    <row r="56" spans="1:5">
      <c r="A56" t="s">
        <v>25</v>
      </c>
      <c r="B56" t="s">
        <v>15</v>
      </c>
      <c r="C56" t="s">
        <v>10</v>
      </c>
      <c r="D56">
        <f>AVERAGE(per_seed!$K$22:$K$31)</f>
        <v>3.4692766955777237</v>
      </c>
      <c r="E56">
        <v>3.4692766955777241</v>
      </c>
    </row>
    <row r="57" spans="1:5">
      <c r="A57" t="s">
        <v>26</v>
      </c>
      <c r="B57" t="s">
        <v>15</v>
      </c>
      <c r="C57" t="s">
        <v>10</v>
      </c>
      <c r="D57">
        <f>_xlfn.STDEV.S(per_seed!$K$22:$K$31)</f>
        <v>5.3955965755798425E-2</v>
      </c>
      <c r="E57">
        <v>5.3955965755798432E-2</v>
      </c>
    </row>
    <row r="58" spans="1:5">
      <c r="A58" t="s">
        <v>25</v>
      </c>
      <c r="B58" t="s">
        <v>15</v>
      </c>
      <c r="C58" t="s">
        <v>11</v>
      </c>
      <c r="D58">
        <f>AVERAGE(per_seed!$L$22:$L$31)</f>
        <v>383.82412192883436</v>
      </c>
      <c r="E58">
        <v>383.82412192883419</v>
      </c>
    </row>
    <row r="59" spans="1:5">
      <c r="A59" t="s">
        <v>26</v>
      </c>
      <c r="B59" t="s">
        <v>15</v>
      </c>
      <c r="C59" t="s">
        <v>11</v>
      </c>
      <c r="D59">
        <f>_xlfn.STDEV.S(per_seed!$L$22:$L$31)</f>
        <v>12.89622281893838</v>
      </c>
      <c r="E59">
        <v>12.89622281893838</v>
      </c>
    </row>
    <row r="60" spans="1:5">
      <c r="A60" t="s">
        <v>25</v>
      </c>
      <c r="B60" t="s">
        <v>15</v>
      </c>
      <c r="C60" t="s">
        <v>12</v>
      </c>
      <c r="D60">
        <f>AVERAGE(per_seed!$M$22:$M$31)</f>
        <v>7.9194927077542854</v>
      </c>
      <c r="E60">
        <v>7.9194927077542854</v>
      </c>
    </row>
    <row r="61" spans="1:5">
      <c r="A61" t="s">
        <v>26</v>
      </c>
      <c r="B61" t="s">
        <v>15</v>
      </c>
      <c r="C61" t="s">
        <v>12</v>
      </c>
      <c r="D61">
        <f>_xlfn.STDEV.S(per_seed!$M$22:$M$31)</f>
        <v>0.53008013968026957</v>
      </c>
      <c r="E61">
        <v>0.53008013968026935</v>
      </c>
    </row>
    <row r="62" spans="1:5">
      <c r="A62" t="s">
        <v>25</v>
      </c>
      <c r="B62" t="s">
        <v>16</v>
      </c>
      <c r="C62" t="s">
        <v>3</v>
      </c>
      <c r="D62">
        <f>AVERAGE(per_seed!$D$32:$D$41)</f>
        <v>8223.2000000000007</v>
      </c>
      <c r="E62">
        <v>8223.2000000000007</v>
      </c>
    </row>
    <row r="63" spans="1:5">
      <c r="A63" t="s">
        <v>26</v>
      </c>
      <c r="B63" t="s">
        <v>16</v>
      </c>
      <c r="C63" t="s">
        <v>3</v>
      </c>
      <c r="D63">
        <f>_xlfn.STDEV.S(per_seed!$D$32:$D$41)</f>
        <v>27.071099801161466</v>
      </c>
      <c r="E63">
        <v>27.07109980116147</v>
      </c>
    </row>
    <row r="64" spans="1:5">
      <c r="A64" t="s">
        <v>25</v>
      </c>
      <c r="B64" t="s">
        <v>16</v>
      </c>
      <c r="C64" t="s">
        <v>4</v>
      </c>
      <c r="D64">
        <f>AVERAGE(per_seed!$E$32:$E$41)</f>
        <v>5332</v>
      </c>
      <c r="E64">
        <v>5332</v>
      </c>
    </row>
    <row r="65" spans="1:5">
      <c r="A65" t="s">
        <v>26</v>
      </c>
      <c r="B65" t="s">
        <v>16</v>
      </c>
      <c r="C65" t="s">
        <v>4</v>
      </c>
      <c r="D65">
        <f>_xlfn.STDEV.S(per_seed!$E$32:$E$41)</f>
        <v>45.158978435448837</v>
      </c>
      <c r="E65">
        <v>45.158978435448837</v>
      </c>
    </row>
    <row r="66" spans="1:5">
      <c r="A66" t="s">
        <v>25</v>
      </c>
      <c r="B66" t="s">
        <v>16</v>
      </c>
      <c r="C66" t="s">
        <v>5</v>
      </c>
      <c r="D66">
        <f>AVERAGE(per_seed!$F$32:$F$41)</f>
        <v>3339.4</v>
      </c>
      <c r="E66">
        <v>3339.4</v>
      </c>
    </row>
    <row r="67" spans="1:5">
      <c r="A67" t="s">
        <v>26</v>
      </c>
      <c r="B67" t="s">
        <v>16</v>
      </c>
      <c r="C67" t="s">
        <v>5</v>
      </c>
      <c r="D67">
        <f>_xlfn.STDEV.S(per_seed!$F$32:$F$41)</f>
        <v>41.505555183747525</v>
      </c>
      <c r="E67">
        <v>41.505555183747518</v>
      </c>
    </row>
    <row r="68" spans="1:5">
      <c r="A68" t="s">
        <v>25</v>
      </c>
      <c r="B68" t="s">
        <v>16</v>
      </c>
      <c r="C68" t="s">
        <v>6</v>
      </c>
      <c r="D68">
        <f>AVERAGE(per_seed!$G$32:$G$41)</f>
        <v>8.194574681909554</v>
      </c>
      <c r="E68">
        <v>8.194574681909554</v>
      </c>
    </row>
    <row r="69" spans="1:5">
      <c r="A69" t="s">
        <v>26</v>
      </c>
      <c r="B69" t="s">
        <v>16</v>
      </c>
      <c r="C69" t="s">
        <v>6</v>
      </c>
      <c r="D69">
        <f>_xlfn.STDEV.S(per_seed!$G$32:$G$41)</f>
        <v>0.24512503741051325</v>
      </c>
      <c r="E69">
        <v>0.24512503741051331</v>
      </c>
    </row>
    <row r="70" spans="1:5">
      <c r="A70" t="s">
        <v>25</v>
      </c>
      <c r="B70" t="s">
        <v>16</v>
      </c>
      <c r="C70" t="s">
        <v>7</v>
      </c>
      <c r="D70">
        <f>AVERAGE(per_seed!$H$32:$H$41)</f>
        <v>407.8</v>
      </c>
      <c r="E70">
        <v>407.8</v>
      </c>
    </row>
    <row r="71" spans="1:5">
      <c r="A71" t="s">
        <v>26</v>
      </c>
      <c r="B71" t="s">
        <v>16</v>
      </c>
      <c r="C71" t="s">
        <v>7</v>
      </c>
      <c r="D71">
        <f>_xlfn.STDEV.S(per_seed!$H$32:$H$41)</f>
        <v>11.688550903436328</v>
      </c>
      <c r="E71">
        <v>11.68855090343633</v>
      </c>
    </row>
    <row r="72" spans="1:5">
      <c r="A72" t="s">
        <v>25</v>
      </c>
      <c r="B72" t="s">
        <v>16</v>
      </c>
      <c r="C72" t="s">
        <v>8</v>
      </c>
      <c r="D72">
        <f>AVERAGE(per_seed!$I$32:$I$41)</f>
        <v>0.12213167634049731</v>
      </c>
      <c r="E72">
        <v>0.12213167634049731</v>
      </c>
    </row>
    <row r="73" spans="1:5">
      <c r="A73" t="s">
        <v>26</v>
      </c>
      <c r="B73" t="s">
        <v>16</v>
      </c>
      <c r="C73" t="s">
        <v>8</v>
      </c>
      <c r="D73">
        <f>_xlfn.STDEV.S(per_seed!$I$32:$I$41)</f>
        <v>3.7065148221786244E-3</v>
      </c>
      <c r="E73">
        <v>3.7065148221786331E-3</v>
      </c>
    </row>
    <row r="74" spans="1:5">
      <c r="A74" t="s">
        <v>25</v>
      </c>
      <c r="B74" t="s">
        <v>16</v>
      </c>
      <c r="C74" t="s">
        <v>9</v>
      </c>
      <c r="D74">
        <f>AVERAGE(per_seed!$J$32:$J$41)</f>
        <v>19.551807537329069</v>
      </c>
      <c r="E74">
        <v>19.551807537329069</v>
      </c>
    </row>
    <row r="75" spans="1:5">
      <c r="A75" t="s">
        <v>26</v>
      </c>
      <c r="B75" t="s">
        <v>16</v>
      </c>
      <c r="C75" t="s">
        <v>9</v>
      </c>
      <c r="D75">
        <f>_xlfn.STDEV.S(per_seed!$J$32:$J$41)</f>
        <v>0.38625203215703019</v>
      </c>
      <c r="E75">
        <v>0.3862520321570288</v>
      </c>
    </row>
    <row r="76" spans="1:5">
      <c r="A76" t="s">
        <v>25</v>
      </c>
      <c r="B76" t="s">
        <v>16</v>
      </c>
      <c r="C76" t="s">
        <v>10</v>
      </c>
      <c r="D76">
        <f>AVERAGE(per_seed!$K$32:$K$41)</f>
        <v>3.4677567351349374</v>
      </c>
      <c r="E76">
        <v>3.467756735134937</v>
      </c>
    </row>
    <row r="77" spans="1:5">
      <c r="A77" t="s">
        <v>26</v>
      </c>
      <c r="B77" t="s">
        <v>16</v>
      </c>
      <c r="C77" t="s">
        <v>10</v>
      </c>
      <c r="D77">
        <f>_xlfn.STDEV.S(per_seed!$K$32:$K$41)</f>
        <v>6.2032972709790281E-2</v>
      </c>
      <c r="E77">
        <v>6.2032972709790281E-2</v>
      </c>
    </row>
    <row r="78" spans="1:5">
      <c r="A78" t="s">
        <v>25</v>
      </c>
      <c r="B78" t="s">
        <v>16</v>
      </c>
      <c r="C78" t="s">
        <v>11</v>
      </c>
      <c r="D78">
        <f>AVERAGE(per_seed!$L$32:$L$41)</f>
        <v>380.93152957600512</v>
      </c>
      <c r="E78">
        <v>380.93152957600512</v>
      </c>
    </row>
    <row r="79" spans="1:5">
      <c r="A79" t="s">
        <v>26</v>
      </c>
      <c r="B79" t="s">
        <v>16</v>
      </c>
      <c r="C79" t="s">
        <v>11</v>
      </c>
      <c r="D79">
        <f>_xlfn.STDEV.S(per_seed!$L$32:$L$41)</f>
        <v>9.6801852363665315</v>
      </c>
      <c r="E79">
        <v>9.6801852363665315</v>
      </c>
    </row>
    <row r="80" spans="1:5">
      <c r="A80" t="s">
        <v>25</v>
      </c>
      <c r="B80" t="s">
        <v>16</v>
      </c>
      <c r="C80" t="s">
        <v>12</v>
      </c>
      <c r="D80">
        <f>AVERAGE(per_seed!$M$32:$M$41)</f>
        <v>4.8884357035672066</v>
      </c>
      <c r="E80">
        <v>4.8884357035672066</v>
      </c>
    </row>
    <row r="81" spans="1:5">
      <c r="A81" t="s">
        <v>26</v>
      </c>
      <c r="B81" t="s">
        <v>16</v>
      </c>
      <c r="C81" t="s">
        <v>12</v>
      </c>
      <c r="D81">
        <f>_xlfn.STDEV.S(per_seed!$M$32:$M$41)</f>
        <v>0.31316310927967084</v>
      </c>
      <c r="E81">
        <v>0.31316310927967089</v>
      </c>
    </row>
    <row r="82" spans="1:5">
      <c r="A82" t="s">
        <v>25</v>
      </c>
      <c r="B82" t="s">
        <v>17</v>
      </c>
      <c r="C82" t="s">
        <v>3</v>
      </c>
      <c r="D82">
        <f>AVERAGE(per_seed!$D$42:$D$51)</f>
        <v>8370.2000000000007</v>
      </c>
      <c r="E82">
        <v>8370.2000000000007</v>
      </c>
    </row>
    <row r="83" spans="1:5">
      <c r="A83" t="s">
        <v>26</v>
      </c>
      <c r="B83" t="s">
        <v>17</v>
      </c>
      <c r="C83" t="s">
        <v>3</v>
      </c>
      <c r="D83">
        <f>_xlfn.STDEV.S(per_seed!$D$42:$D$51)</f>
        <v>33.232514199199557</v>
      </c>
      <c r="E83">
        <v>33.232514199199557</v>
      </c>
    </row>
    <row r="84" spans="1:5">
      <c r="A84" t="s">
        <v>25</v>
      </c>
      <c r="B84" t="s">
        <v>17</v>
      </c>
      <c r="C84" t="s">
        <v>4</v>
      </c>
      <c r="D84">
        <f>AVERAGE(per_seed!$E$42:$E$51)</f>
        <v>5421.4</v>
      </c>
      <c r="E84">
        <v>5421.4</v>
      </c>
    </row>
    <row r="85" spans="1:5">
      <c r="A85" t="s">
        <v>26</v>
      </c>
      <c r="B85" t="s">
        <v>17</v>
      </c>
      <c r="C85" t="s">
        <v>4</v>
      </c>
      <c r="D85">
        <f>_xlfn.STDEV.S(per_seed!$E$42:$E$51)</f>
        <v>35.443852311320036</v>
      </c>
      <c r="E85">
        <v>35.443852311320043</v>
      </c>
    </row>
    <row r="86" spans="1:5">
      <c r="A86" t="s">
        <v>25</v>
      </c>
      <c r="B86" t="s">
        <v>17</v>
      </c>
      <c r="C86" t="s">
        <v>5</v>
      </c>
      <c r="D86">
        <f>AVERAGE(per_seed!$F$42:$F$51)</f>
        <v>3400</v>
      </c>
      <c r="E86">
        <v>3400</v>
      </c>
    </row>
    <row r="87" spans="1:5">
      <c r="A87" t="s">
        <v>26</v>
      </c>
      <c r="B87" t="s">
        <v>17</v>
      </c>
      <c r="C87" t="s">
        <v>5</v>
      </c>
      <c r="D87">
        <f>_xlfn.STDEV.S(per_seed!$F$42:$F$51)</f>
        <v>44</v>
      </c>
      <c r="E87">
        <v>44</v>
      </c>
    </row>
    <row r="88" spans="1:5">
      <c r="A88" t="s">
        <v>25</v>
      </c>
      <c r="B88" t="s">
        <v>17</v>
      </c>
      <c r="C88" t="s">
        <v>6</v>
      </c>
      <c r="D88">
        <f>AVERAGE(per_seed!$G$42:$G$51)</f>
        <v>8.1355756518287841</v>
      </c>
      <c r="E88">
        <v>8.1355756518287841</v>
      </c>
    </row>
    <row r="89" spans="1:5">
      <c r="A89" t="s">
        <v>26</v>
      </c>
      <c r="B89" t="s">
        <v>17</v>
      </c>
      <c r="C89" t="s">
        <v>6</v>
      </c>
      <c r="D89">
        <f>_xlfn.STDEV.S(per_seed!$G$42:$G$51)</f>
        <v>0.21443067662453913</v>
      </c>
      <c r="E89">
        <v>0.2144306766245391</v>
      </c>
    </row>
    <row r="90" spans="1:5">
      <c r="A90" t="s">
        <v>25</v>
      </c>
      <c r="B90" t="s">
        <v>17</v>
      </c>
      <c r="C90" t="s">
        <v>7</v>
      </c>
      <c r="D90">
        <f>AVERAGE(per_seed!$H$42:$H$51)</f>
        <v>418.2</v>
      </c>
      <c r="E90">
        <v>418.2</v>
      </c>
    </row>
    <row r="91" spans="1:5">
      <c r="A91" t="s">
        <v>26</v>
      </c>
      <c r="B91" t="s">
        <v>17</v>
      </c>
      <c r="C91" t="s">
        <v>7</v>
      </c>
      <c r="D91">
        <f>_xlfn.STDEV.S(per_seed!$H$42:$H$51)</f>
        <v>13.053735097664575</v>
      </c>
      <c r="E91">
        <v>13.05373509766458</v>
      </c>
    </row>
    <row r="92" spans="1:5">
      <c r="A92" t="s">
        <v>25</v>
      </c>
      <c r="B92" t="s">
        <v>17</v>
      </c>
      <c r="C92" t="s">
        <v>8</v>
      </c>
      <c r="D92">
        <f>AVERAGE(per_seed!$I$42:$I$51)</f>
        <v>0.12299322574441914</v>
      </c>
      <c r="E92">
        <v>0.12299322574441909</v>
      </c>
    </row>
    <row r="93" spans="1:5">
      <c r="A93" t="s">
        <v>26</v>
      </c>
      <c r="B93" t="s">
        <v>17</v>
      </c>
      <c r="C93" t="s">
        <v>8</v>
      </c>
      <c r="D93">
        <f>_xlfn.STDEV.S(per_seed!$I$42:$I$51)</f>
        <v>3.2169178544607727E-3</v>
      </c>
      <c r="E93">
        <v>3.21691785446078E-3</v>
      </c>
    </row>
    <row r="94" spans="1:5">
      <c r="A94" t="s">
        <v>25</v>
      </c>
      <c r="B94" t="s">
        <v>17</v>
      </c>
      <c r="C94" t="s">
        <v>9</v>
      </c>
      <c r="D94">
        <f>AVERAGE(per_seed!$J$42:$J$51)</f>
        <v>19.922286875979033</v>
      </c>
      <c r="E94">
        <v>19.92228687597904</v>
      </c>
    </row>
    <row r="95" spans="1:5">
      <c r="A95" t="s">
        <v>26</v>
      </c>
      <c r="B95" t="s">
        <v>17</v>
      </c>
      <c r="C95" t="s">
        <v>9</v>
      </c>
      <c r="D95">
        <f>_xlfn.STDEV.S(per_seed!$J$42:$J$51)</f>
        <v>0.33612115796827668</v>
      </c>
      <c r="E95">
        <v>0.33612115796827757</v>
      </c>
    </row>
    <row r="96" spans="1:5">
      <c r="A96" t="s">
        <v>25</v>
      </c>
      <c r="B96" t="s">
        <v>17</v>
      </c>
      <c r="C96" t="s">
        <v>10</v>
      </c>
      <c r="D96">
        <f>AVERAGE(per_seed!$K$42:$K$51)</f>
        <v>3.5522589390473223</v>
      </c>
      <c r="E96">
        <v>3.5522589390473218</v>
      </c>
    </row>
    <row r="97" spans="1:5">
      <c r="A97" t="s">
        <v>26</v>
      </c>
      <c r="B97" t="s">
        <v>17</v>
      </c>
      <c r="C97" t="s">
        <v>10</v>
      </c>
      <c r="D97">
        <f>_xlfn.STDEV.S(per_seed!$K$42:$K$51)</f>
        <v>5.333005222041079E-2</v>
      </c>
      <c r="E97">
        <v>5.3330052220410797E-2</v>
      </c>
    </row>
    <row r="98" spans="1:5">
      <c r="A98" t="s">
        <v>25</v>
      </c>
      <c r="B98" t="s">
        <v>17</v>
      </c>
      <c r="C98" t="s">
        <v>11</v>
      </c>
      <c r="D98">
        <f>AVERAGE(per_seed!$L$42:$L$51)</f>
        <v>388.20137228848324</v>
      </c>
      <c r="E98">
        <v>388.20137228848319</v>
      </c>
    </row>
    <row r="99" spans="1:5">
      <c r="A99" t="s">
        <v>26</v>
      </c>
      <c r="B99" t="s">
        <v>17</v>
      </c>
      <c r="C99" t="s">
        <v>11</v>
      </c>
      <c r="D99">
        <f>_xlfn.STDEV.S(per_seed!$L$42:$L$51)</f>
        <v>10.736760567782843</v>
      </c>
      <c r="E99">
        <v>10.73676056778285</v>
      </c>
    </row>
    <row r="100" spans="1:5">
      <c r="A100" t="s">
        <v>25</v>
      </c>
      <c r="B100" t="s">
        <v>17</v>
      </c>
      <c r="C100" t="s">
        <v>12</v>
      </c>
      <c r="D100">
        <f>AVERAGE(per_seed!$M$42:$M$51)</f>
        <v>3.1966635025737085</v>
      </c>
      <c r="E100">
        <v>3.196663502573708</v>
      </c>
    </row>
    <row r="101" spans="1:5">
      <c r="A101" t="s">
        <v>26</v>
      </c>
      <c r="B101" t="s">
        <v>17</v>
      </c>
      <c r="C101" t="s">
        <v>12</v>
      </c>
      <c r="D101">
        <f>_xlfn.STDEV.S(per_seed!$M$42:$M$51)</f>
        <v>0.38742909691219418</v>
      </c>
      <c r="E101">
        <v>0.38742909691219429</v>
      </c>
    </row>
    <row r="102" spans="1:5">
      <c r="A102" t="s">
        <v>25</v>
      </c>
      <c r="B102" t="s">
        <v>18</v>
      </c>
      <c r="C102" t="s">
        <v>3</v>
      </c>
      <c r="D102">
        <f>AVERAGE(per_seed!$D$52:$D$61)</f>
        <v>8372.4</v>
      </c>
      <c r="E102">
        <v>8372.4</v>
      </c>
    </row>
    <row r="103" spans="1:5">
      <c r="A103" t="s">
        <v>26</v>
      </c>
      <c r="B103" t="s">
        <v>18</v>
      </c>
      <c r="C103" t="s">
        <v>3</v>
      </c>
      <c r="D103">
        <f>_xlfn.STDEV.S(per_seed!$D$52:$D$61)</f>
        <v>16.780941570722426</v>
      </c>
      <c r="E103">
        <v>16.78094157072243</v>
      </c>
    </row>
    <row r="104" spans="1:5">
      <c r="A104" t="s">
        <v>25</v>
      </c>
      <c r="B104" t="s">
        <v>18</v>
      </c>
      <c r="C104" t="s">
        <v>4</v>
      </c>
      <c r="D104">
        <f>AVERAGE(per_seed!$E$52:$E$61)</f>
        <v>5426.1</v>
      </c>
      <c r="E104">
        <v>5426.1</v>
      </c>
    </row>
    <row r="105" spans="1:5">
      <c r="A105" t="s">
        <v>26</v>
      </c>
      <c r="B105" t="s">
        <v>18</v>
      </c>
      <c r="C105" t="s">
        <v>4</v>
      </c>
      <c r="D105">
        <f>_xlfn.STDEV.S(per_seed!$E$52:$E$61)</f>
        <v>27.52150674169809</v>
      </c>
      <c r="E105">
        <v>27.52150674169809</v>
      </c>
    </row>
    <row r="106" spans="1:5">
      <c r="A106" t="s">
        <v>25</v>
      </c>
      <c r="B106" t="s">
        <v>18</v>
      </c>
      <c r="C106" t="s">
        <v>5</v>
      </c>
      <c r="D106">
        <f>AVERAGE(per_seed!$F$52:$F$61)</f>
        <v>3403.2</v>
      </c>
      <c r="E106">
        <v>3403.2</v>
      </c>
    </row>
    <row r="107" spans="1:5">
      <c r="A107" t="s">
        <v>26</v>
      </c>
      <c r="B107" t="s">
        <v>18</v>
      </c>
      <c r="C107" t="s">
        <v>5</v>
      </c>
      <c r="D107">
        <f>_xlfn.STDEV.S(per_seed!$F$52:$F$61)</f>
        <v>50.457462833118704</v>
      </c>
      <c r="E107">
        <v>50.457462833118697</v>
      </c>
    </row>
    <row r="108" spans="1:5">
      <c r="A108" t="s">
        <v>25</v>
      </c>
      <c r="B108" t="s">
        <v>18</v>
      </c>
      <c r="C108" t="s">
        <v>6</v>
      </c>
      <c r="D108">
        <f>AVERAGE(per_seed!$G$52:$G$61)</f>
        <v>8.1125127540627062</v>
      </c>
      <c r="E108">
        <v>8.1125127540627062</v>
      </c>
    </row>
    <row r="109" spans="1:5">
      <c r="A109" t="s">
        <v>26</v>
      </c>
      <c r="B109" t="s">
        <v>18</v>
      </c>
      <c r="C109" t="s">
        <v>6</v>
      </c>
      <c r="D109">
        <f>_xlfn.STDEV.S(per_seed!$G$52:$G$61)</f>
        <v>0.21129748850865113</v>
      </c>
      <c r="E109">
        <v>0.2112974885086511</v>
      </c>
    </row>
    <row r="110" spans="1:5">
      <c r="A110" t="s">
        <v>25</v>
      </c>
      <c r="B110" t="s">
        <v>18</v>
      </c>
      <c r="C110" t="s">
        <v>7</v>
      </c>
      <c r="D110">
        <f>AVERAGE(per_seed!$H$52:$H$61)</f>
        <v>419.7</v>
      </c>
      <c r="E110">
        <v>419.7</v>
      </c>
    </row>
    <row r="111" spans="1:5">
      <c r="A111" t="s">
        <v>26</v>
      </c>
      <c r="B111" t="s">
        <v>18</v>
      </c>
      <c r="C111" t="s">
        <v>7</v>
      </c>
      <c r="D111">
        <f>_xlfn.STDEV.S(per_seed!$H$52:$H$61)</f>
        <v>10.209472725529627</v>
      </c>
      <c r="E111">
        <v>10.209472725529629</v>
      </c>
    </row>
    <row r="112" spans="1:5">
      <c r="A112" t="s">
        <v>25</v>
      </c>
      <c r="B112" t="s">
        <v>18</v>
      </c>
      <c r="C112" t="s">
        <v>8</v>
      </c>
      <c r="D112">
        <f>AVERAGE(per_seed!$I$52:$I$61)</f>
        <v>0.12334195679600006</v>
      </c>
      <c r="E112">
        <v>0.123341956796</v>
      </c>
    </row>
    <row r="113" spans="1:5">
      <c r="A113" t="s">
        <v>26</v>
      </c>
      <c r="B113" t="s">
        <v>18</v>
      </c>
      <c r="C113" t="s">
        <v>8</v>
      </c>
      <c r="D113">
        <f>_xlfn.STDEV.S(per_seed!$I$52:$I$61)</f>
        <v>3.2253892479075777E-3</v>
      </c>
      <c r="E113">
        <v>3.2253892479075781E-3</v>
      </c>
    </row>
    <row r="114" spans="1:5">
      <c r="A114" t="s">
        <v>25</v>
      </c>
      <c r="B114" t="s">
        <v>18</v>
      </c>
      <c r="C114" t="s">
        <v>9</v>
      </c>
      <c r="D114">
        <f>AVERAGE(per_seed!$J$52:$J$61)</f>
        <v>20.157099122224931</v>
      </c>
      <c r="E114">
        <v>20.157099122224931</v>
      </c>
    </row>
    <row r="115" spans="1:5">
      <c r="A115" t="s">
        <v>26</v>
      </c>
      <c r="B115" t="s">
        <v>18</v>
      </c>
      <c r="C115" t="s">
        <v>9</v>
      </c>
      <c r="D115">
        <f>_xlfn.STDEV.S(per_seed!$J$52:$J$61)</f>
        <v>0.32694630918728107</v>
      </c>
      <c r="E115">
        <v>0.32694630918728268</v>
      </c>
    </row>
    <row r="116" spans="1:5">
      <c r="A116" t="s">
        <v>25</v>
      </c>
      <c r="B116" t="s">
        <v>18</v>
      </c>
      <c r="C116" t="s">
        <v>10</v>
      </c>
      <c r="D116">
        <f>AVERAGE(per_seed!$K$52:$K$61)</f>
        <v>3.6181503482657029</v>
      </c>
      <c r="E116">
        <v>3.6181503482657029</v>
      </c>
    </row>
    <row r="117" spans="1:5">
      <c r="A117" t="s">
        <v>26</v>
      </c>
      <c r="B117" t="s">
        <v>18</v>
      </c>
      <c r="C117" t="s">
        <v>10</v>
      </c>
      <c r="D117">
        <f>_xlfn.STDEV.S(per_seed!$K$52:$K$61)</f>
        <v>6.9177000580915082E-2</v>
      </c>
      <c r="E117">
        <v>6.9177000580915068E-2</v>
      </c>
    </row>
    <row r="118" spans="1:5">
      <c r="A118" t="s">
        <v>25</v>
      </c>
      <c r="B118" t="s">
        <v>18</v>
      </c>
      <c r="C118" t="s">
        <v>11</v>
      </c>
      <c r="D118">
        <f>AVERAGE(per_seed!$L$52:$L$61)</f>
        <v>397.4970007193333</v>
      </c>
      <c r="E118">
        <v>397.4970007193333</v>
      </c>
    </row>
    <row r="119" spans="1:5">
      <c r="A119" t="s">
        <v>26</v>
      </c>
      <c r="B119" t="s">
        <v>18</v>
      </c>
      <c r="C119" t="s">
        <v>11</v>
      </c>
      <c r="D119">
        <f>_xlfn.STDEV.S(per_seed!$L$52:$L$61)</f>
        <v>13.53542470115026</v>
      </c>
      <c r="E119">
        <v>13.53542470115026</v>
      </c>
    </row>
    <row r="120" spans="1:5">
      <c r="A120" t="s">
        <v>25</v>
      </c>
      <c r="B120" t="s">
        <v>18</v>
      </c>
      <c r="C120" t="s">
        <v>12</v>
      </c>
      <c r="D120">
        <f>AVERAGE(per_seed!$M$52:$M$61)</f>
        <v>3.1659937985612077</v>
      </c>
      <c r="E120">
        <v>3.1659937985612081</v>
      </c>
    </row>
    <row r="121" spans="1:5">
      <c r="A121" t="s">
        <v>26</v>
      </c>
      <c r="B121" t="s">
        <v>18</v>
      </c>
      <c r="C121" t="s">
        <v>12</v>
      </c>
      <c r="D121">
        <f>_xlfn.STDEV.S(per_seed!$M$52:$M$61)</f>
        <v>0.19043971405792248</v>
      </c>
      <c r="E121">
        <v>0.1904397140579227</v>
      </c>
    </row>
    <row r="122" spans="1:5">
      <c r="A122" t="s">
        <v>25</v>
      </c>
      <c r="B122" t="s">
        <v>19</v>
      </c>
      <c r="C122" t="s">
        <v>3</v>
      </c>
      <c r="D122">
        <f>AVERAGE(per_seed!$D$62:$D$71)</f>
        <v>8342.5</v>
      </c>
      <c r="E122">
        <v>8342.5</v>
      </c>
    </row>
    <row r="123" spans="1:5">
      <c r="A123" t="s">
        <v>26</v>
      </c>
      <c r="B123" t="s">
        <v>19</v>
      </c>
      <c r="C123" t="s">
        <v>3</v>
      </c>
      <c r="D123">
        <f>_xlfn.STDEV.S(per_seed!$D$62:$D$71)</f>
        <v>17.411681902293836</v>
      </c>
      <c r="E123">
        <v>17.411681902293839</v>
      </c>
    </row>
    <row r="124" spans="1:5">
      <c r="A124" t="s">
        <v>25</v>
      </c>
      <c r="B124" t="s">
        <v>19</v>
      </c>
      <c r="C124" t="s">
        <v>4</v>
      </c>
      <c r="D124">
        <f>AVERAGE(per_seed!$E$62:$E$71)</f>
        <v>5411</v>
      </c>
      <c r="E124">
        <v>5411</v>
      </c>
    </row>
    <row r="125" spans="1:5">
      <c r="A125" t="s">
        <v>26</v>
      </c>
      <c r="B125" t="s">
        <v>19</v>
      </c>
      <c r="C125" t="s">
        <v>4</v>
      </c>
      <c r="D125">
        <f>_xlfn.STDEV.S(per_seed!$E$62:$E$71)</f>
        <v>38.45921360494922</v>
      </c>
      <c r="E125">
        <v>38.45921360494922</v>
      </c>
    </row>
    <row r="126" spans="1:5">
      <c r="A126" t="s">
        <v>25</v>
      </c>
      <c r="B126" t="s">
        <v>19</v>
      </c>
      <c r="C126" t="s">
        <v>5</v>
      </c>
      <c r="D126">
        <f>AVERAGE(per_seed!$F$62:$F$71)</f>
        <v>3404.9</v>
      </c>
      <c r="E126">
        <v>3404.9</v>
      </c>
    </row>
    <row r="127" spans="1:5">
      <c r="A127" t="s">
        <v>26</v>
      </c>
      <c r="B127" t="s">
        <v>19</v>
      </c>
      <c r="C127" t="s">
        <v>5</v>
      </c>
      <c r="D127">
        <f>_xlfn.STDEV.S(per_seed!$F$62:$F$71)</f>
        <v>39.898343045517286</v>
      </c>
      <c r="E127">
        <v>39.898343045517286</v>
      </c>
    </row>
    <row r="128" spans="1:5">
      <c r="A128" t="s">
        <v>25</v>
      </c>
      <c r="B128" t="s">
        <v>19</v>
      </c>
      <c r="C128" t="s">
        <v>6</v>
      </c>
      <c r="D128">
        <f>AVERAGE(per_seed!$G$62:$G$71)</f>
        <v>8.3615898268531161</v>
      </c>
      <c r="E128">
        <v>8.3615898268531161</v>
      </c>
    </row>
    <row r="129" spans="1:5">
      <c r="A129" t="s">
        <v>26</v>
      </c>
      <c r="B129" t="s">
        <v>19</v>
      </c>
      <c r="C129" t="s">
        <v>6</v>
      </c>
      <c r="D129">
        <f>_xlfn.STDEV.S(per_seed!$G$62:$G$71)</f>
        <v>0.13541476785077833</v>
      </c>
      <c r="E129">
        <v>0.1354147678507783</v>
      </c>
    </row>
    <row r="130" spans="1:5">
      <c r="A130" t="s">
        <v>25</v>
      </c>
      <c r="B130" t="s">
        <v>19</v>
      </c>
      <c r="C130" t="s">
        <v>7</v>
      </c>
      <c r="D130">
        <f>AVERAGE(per_seed!$H$62:$H$71)</f>
        <v>407.3</v>
      </c>
      <c r="E130">
        <v>407.3</v>
      </c>
    </row>
    <row r="131" spans="1:5">
      <c r="A131" t="s">
        <v>26</v>
      </c>
      <c r="B131" t="s">
        <v>19</v>
      </c>
      <c r="C131" t="s">
        <v>7</v>
      </c>
      <c r="D131">
        <f>_xlfn.STDEV.S(per_seed!$H$62:$H$71)</f>
        <v>7.972870666621068</v>
      </c>
      <c r="E131">
        <v>7.972870666621068</v>
      </c>
    </row>
    <row r="132" spans="1:5">
      <c r="A132" t="s">
        <v>25</v>
      </c>
      <c r="B132" t="s">
        <v>19</v>
      </c>
      <c r="C132" t="s">
        <v>8</v>
      </c>
      <c r="D132">
        <f>AVERAGE(per_seed!$I$62:$I$71)</f>
        <v>0.11962268537646814</v>
      </c>
      <c r="E132">
        <v>0.1196226853764682</v>
      </c>
    </row>
    <row r="133" spans="1:5">
      <c r="A133" t="s">
        <v>26</v>
      </c>
      <c r="B133" t="s">
        <v>19</v>
      </c>
      <c r="C133" t="s">
        <v>8</v>
      </c>
      <c r="D133">
        <f>_xlfn.STDEV.S(per_seed!$I$62:$I$71)</f>
        <v>1.9352472660378332E-3</v>
      </c>
      <c r="E133">
        <v>1.9352472660378419E-3</v>
      </c>
    </row>
    <row r="134" spans="1:5">
      <c r="A134" t="s">
        <v>25</v>
      </c>
      <c r="B134" t="s">
        <v>19</v>
      </c>
      <c r="C134" t="s">
        <v>9</v>
      </c>
      <c r="D134">
        <f>AVERAGE(per_seed!$J$62:$J$71)</f>
        <v>20.316915101851428</v>
      </c>
      <c r="E134">
        <v>20.316915101851428</v>
      </c>
    </row>
    <row r="135" spans="1:5">
      <c r="A135" t="s">
        <v>26</v>
      </c>
      <c r="B135" t="s">
        <v>19</v>
      </c>
      <c r="C135" t="s">
        <v>9</v>
      </c>
      <c r="D135">
        <f>_xlfn.STDEV.S(per_seed!$J$62:$J$71)</f>
        <v>0.31963678739330847</v>
      </c>
      <c r="E135">
        <v>0.31963678739330831</v>
      </c>
    </row>
    <row r="136" spans="1:5">
      <c r="A136" t="s">
        <v>25</v>
      </c>
      <c r="B136" t="s">
        <v>19</v>
      </c>
      <c r="C136" t="s">
        <v>10</v>
      </c>
      <c r="D136">
        <f>AVERAGE(per_seed!$K$62:$K$71)</f>
        <v>3.6563799244305031</v>
      </c>
      <c r="E136">
        <v>3.6563799244305031</v>
      </c>
    </row>
    <row r="137" spans="1:5">
      <c r="A137" t="s">
        <v>26</v>
      </c>
      <c r="B137" t="s">
        <v>19</v>
      </c>
      <c r="C137" t="s">
        <v>10</v>
      </c>
      <c r="D137">
        <f>_xlfn.STDEV.S(per_seed!$K$62:$K$71)</f>
        <v>6.1018647714438719E-2</v>
      </c>
      <c r="E137">
        <v>6.1018647714438733E-2</v>
      </c>
    </row>
    <row r="138" spans="1:5">
      <c r="A138" t="s">
        <v>25</v>
      </c>
      <c r="B138" t="s">
        <v>19</v>
      </c>
      <c r="C138" t="s">
        <v>11</v>
      </c>
      <c r="D138">
        <f>AVERAGE(per_seed!$L$62:$L$71)</f>
        <v>387.61007287525814</v>
      </c>
      <c r="E138">
        <v>387.61007287525808</v>
      </c>
    </row>
    <row r="139" spans="1:5">
      <c r="A139" t="s">
        <v>26</v>
      </c>
      <c r="B139" t="s">
        <v>19</v>
      </c>
      <c r="C139" t="s">
        <v>11</v>
      </c>
      <c r="D139">
        <f>_xlfn.STDEV.S(per_seed!$L$62:$L$71)</f>
        <v>12.896998884538357</v>
      </c>
      <c r="E139">
        <v>12.896998884538361</v>
      </c>
    </row>
    <row r="140" spans="1:5">
      <c r="A140" t="s">
        <v>25</v>
      </c>
      <c r="B140" t="s">
        <v>19</v>
      </c>
      <c r="C140" t="s">
        <v>12</v>
      </c>
      <c r="D140">
        <f>AVERAGE(per_seed!$M$62:$M$71)</f>
        <v>3.5098396846594881</v>
      </c>
      <c r="E140">
        <v>3.5098396846594881</v>
      </c>
    </row>
    <row r="141" spans="1:5">
      <c r="A141" t="s">
        <v>26</v>
      </c>
      <c r="B141" t="s">
        <v>19</v>
      </c>
      <c r="C141" t="s">
        <v>12</v>
      </c>
      <c r="D141">
        <f>_xlfn.STDEV.S(per_seed!$M$62:$M$71)</f>
        <v>0.19876315057408331</v>
      </c>
      <c r="E141">
        <v>0.1987631505740832</v>
      </c>
    </row>
    <row r="142" spans="1:5">
      <c r="A142" t="s">
        <v>27</v>
      </c>
      <c r="B142" t="s">
        <v>28</v>
      </c>
      <c r="C142" t="s">
        <v>3</v>
      </c>
      <c r="D142">
        <f>(AVERAGE(per_seed!$D$12:$D$21)-AVERAGE(per_seed!$D$2:$D$11))/AVERAGE(per_seed!$D$2:$D$11)*100</f>
        <v>-11.048063282921795</v>
      </c>
      <c r="E142">
        <v>-11.048063282921801</v>
      </c>
    </row>
    <row r="143" spans="1:5">
      <c r="A143" t="s">
        <v>29</v>
      </c>
      <c r="B143" t="s">
        <v>28</v>
      </c>
      <c r="C143" t="s">
        <v>3</v>
      </c>
      <c r="D143">
        <f>_xlfn.T.TEST(per_seed!$D$2:$D$11,per_seed!$D$12:$D$21,2,1)</f>
        <v>5.4283444818653725E-10</v>
      </c>
      <c r="E143">
        <v>5.4283444818654159E-10</v>
      </c>
    </row>
    <row r="144" spans="1:5">
      <c r="A144" t="s">
        <v>27</v>
      </c>
      <c r="B144" t="s">
        <v>28</v>
      </c>
      <c r="C144" t="s">
        <v>4</v>
      </c>
      <c r="D144">
        <f>(AVERAGE(per_seed!$E$12:$E$21)-AVERAGE(per_seed!$E$2:$E$11))/AVERAGE(per_seed!$E$2:$E$11)*100</f>
        <v>-11.32316700327965</v>
      </c>
      <c r="E144">
        <v>-11.32316700327965</v>
      </c>
    </row>
    <row r="145" spans="1:5">
      <c r="A145" t="s">
        <v>29</v>
      </c>
      <c r="B145" t="s">
        <v>28</v>
      </c>
      <c r="C145" t="s">
        <v>4</v>
      </c>
      <c r="D145">
        <f>_xlfn.T.TEST(per_seed!$E$2:$E$11,per_seed!$E$12:$E$21,2,1)</f>
        <v>2.0015784696365915E-9</v>
      </c>
      <c r="E145">
        <v>2.0015784696365791E-9</v>
      </c>
    </row>
    <row r="146" spans="1:5">
      <c r="A146" t="s">
        <v>27</v>
      </c>
      <c r="B146" t="s">
        <v>28</v>
      </c>
      <c r="C146" t="s">
        <v>5</v>
      </c>
      <c r="D146">
        <f>(AVERAGE(per_seed!$F$12:$F$21)-AVERAGE(per_seed!$F$2:$F$11))/AVERAGE(per_seed!$F$2:$F$11)*100</f>
        <v>-11.647416772516472</v>
      </c>
      <c r="E146">
        <v>-11.64741677251647</v>
      </c>
    </row>
    <row r="147" spans="1:5">
      <c r="A147" t="s">
        <v>29</v>
      </c>
      <c r="B147" t="s">
        <v>28</v>
      </c>
      <c r="C147" t="s">
        <v>5</v>
      </c>
      <c r="D147">
        <f>_xlfn.T.TEST(per_seed!$F$2:$F$11,per_seed!$F$12:$F$21,2,1)</f>
        <v>4.6248112319937598E-9</v>
      </c>
      <c r="E147">
        <v>4.6248112319937797E-9</v>
      </c>
    </row>
    <row r="148" spans="1:5">
      <c r="A148" t="s">
        <v>27</v>
      </c>
      <c r="B148" t="s">
        <v>28</v>
      </c>
      <c r="C148" t="s">
        <v>6</v>
      </c>
      <c r="D148">
        <f>(AVERAGE(per_seed!$G$12:$G$21)-AVERAGE(per_seed!$G$2:$G$11))/AVERAGE(per_seed!$G$2:$G$11)*100</f>
        <v>4.7111655753386277</v>
      </c>
      <c r="E148">
        <v>4.7111655753386872</v>
      </c>
    </row>
    <row r="149" spans="1:5">
      <c r="A149" t="s">
        <v>29</v>
      </c>
      <c r="B149" t="s">
        <v>28</v>
      </c>
      <c r="C149" t="s">
        <v>6</v>
      </c>
      <c r="D149">
        <f>_xlfn.T.TEST(per_seed!$G$2:$G$11,per_seed!$G$12:$G$21,2,1)</f>
        <v>8.8575514399176817E-4</v>
      </c>
      <c r="E149">
        <v>8.857551439917351E-4</v>
      </c>
    </row>
    <row r="150" spans="1:5">
      <c r="A150" t="s">
        <v>27</v>
      </c>
      <c r="B150" t="s">
        <v>28</v>
      </c>
      <c r="C150" t="s">
        <v>7</v>
      </c>
      <c r="D150">
        <f>(AVERAGE(per_seed!$H$12:$H$21)-AVERAGE(per_seed!$H$2:$H$11))/AVERAGE(per_seed!$H$2:$H$11)*100</f>
        <v>-15.627111011033559</v>
      </c>
      <c r="E150">
        <v>-15.627111011033559</v>
      </c>
    </row>
    <row r="151" spans="1:5">
      <c r="A151" t="s">
        <v>29</v>
      </c>
      <c r="B151" t="s">
        <v>28</v>
      </c>
      <c r="C151" t="s">
        <v>7</v>
      </c>
      <c r="D151">
        <f>_xlfn.T.TEST(per_seed!$H$2:$H$11,per_seed!$H$12:$H$21,2,1)</f>
        <v>1.0351785129962488E-8</v>
      </c>
      <c r="E151">
        <v>1.03517851299625E-8</v>
      </c>
    </row>
    <row r="152" spans="1:5">
      <c r="A152" t="s">
        <v>27</v>
      </c>
      <c r="B152" t="s">
        <v>28</v>
      </c>
      <c r="C152" t="s">
        <v>8</v>
      </c>
      <c r="D152">
        <f>(AVERAGE(per_seed!$I$12:$I$21)-AVERAGE(per_seed!$I$2:$I$11))/AVERAGE(per_seed!$I$2:$I$11)*100</f>
        <v>-4.4952613980335832</v>
      </c>
      <c r="E152">
        <v>-4.4952613980335832</v>
      </c>
    </row>
    <row r="153" spans="1:5">
      <c r="A153" t="s">
        <v>29</v>
      </c>
      <c r="B153" t="s">
        <v>28</v>
      </c>
      <c r="C153" t="s">
        <v>8</v>
      </c>
      <c r="D153">
        <f>_xlfn.T.TEST(per_seed!$I$2:$I$11,per_seed!$I$12:$I$21,2,1)</f>
        <v>8.6746144681685319E-4</v>
      </c>
      <c r="E153">
        <v>8.6746144681685677E-4</v>
      </c>
    </row>
    <row r="154" spans="1:5">
      <c r="A154" t="s">
        <v>27</v>
      </c>
      <c r="B154" t="s">
        <v>28</v>
      </c>
      <c r="C154" t="s">
        <v>9</v>
      </c>
      <c r="D154">
        <f>(AVERAGE(per_seed!$J$12:$J$21)-AVERAGE(per_seed!$J$2:$J$11))/AVERAGE(per_seed!$J$2:$J$11)*100</f>
        <v>-2.5963968919728693</v>
      </c>
      <c r="E154">
        <v>-2.5963968919728688</v>
      </c>
    </row>
    <row r="155" spans="1:5">
      <c r="A155" t="s">
        <v>29</v>
      </c>
      <c r="B155" t="s">
        <v>28</v>
      </c>
      <c r="C155" t="s">
        <v>9</v>
      </c>
      <c r="D155">
        <f>_xlfn.T.TEST(per_seed!$J$2:$J$11,per_seed!$J$12:$J$21,2,1)</f>
        <v>1.9499215635096209E-2</v>
      </c>
      <c r="E155">
        <v>1.949921563509642E-2</v>
      </c>
    </row>
    <row r="156" spans="1:5">
      <c r="A156" t="s">
        <v>27</v>
      </c>
      <c r="B156" t="s">
        <v>28</v>
      </c>
      <c r="C156" t="s">
        <v>10</v>
      </c>
      <c r="D156">
        <f>(AVERAGE(per_seed!$K$12:$K$21)-AVERAGE(per_seed!$K$2:$K$11))/AVERAGE(per_seed!$K$2:$K$11)*100</f>
        <v>-1.5961081267442518</v>
      </c>
      <c r="E156">
        <v>-1.5961081267442521</v>
      </c>
    </row>
    <row r="157" spans="1:5">
      <c r="A157" t="s">
        <v>29</v>
      </c>
      <c r="B157" t="s">
        <v>28</v>
      </c>
      <c r="C157" t="s">
        <v>10</v>
      </c>
      <c r="D157">
        <f>_xlfn.T.TEST(per_seed!$K$2:$K$11,per_seed!$K$12:$K$21,2,1)</f>
        <v>8.8031180317557745E-2</v>
      </c>
      <c r="E157">
        <v>8.8031180317561145E-2</v>
      </c>
    </row>
    <row r="158" spans="1:5">
      <c r="A158" t="s">
        <v>27</v>
      </c>
      <c r="B158" t="s">
        <v>28</v>
      </c>
      <c r="C158" t="s">
        <v>11</v>
      </c>
      <c r="D158">
        <f>(AVERAGE(per_seed!$L$12:$L$21)-AVERAGE(per_seed!$L$2:$L$11))/AVERAGE(per_seed!$L$2:$L$11)*100</f>
        <v>1.1380472549299006</v>
      </c>
      <c r="E158">
        <v>1.1380472549298859</v>
      </c>
    </row>
    <row r="159" spans="1:5">
      <c r="A159" t="s">
        <v>29</v>
      </c>
      <c r="B159" t="s">
        <v>28</v>
      </c>
      <c r="C159" t="s">
        <v>11</v>
      </c>
      <c r="D159">
        <f>_xlfn.T.TEST(per_seed!$L$2:$L$11,per_seed!$L$12:$L$21,2,1)</f>
        <v>0.27380096721719055</v>
      </c>
      <c r="E159">
        <v>0.27380096721719138</v>
      </c>
    </row>
    <row r="160" spans="1:5">
      <c r="A160" t="s">
        <v>27</v>
      </c>
      <c r="B160" t="s">
        <v>28</v>
      </c>
      <c r="C160" t="s">
        <v>12</v>
      </c>
      <c r="D160">
        <f>(AVERAGE(per_seed!$M$12:$M$21)-AVERAGE(per_seed!$M$2:$M$11))/AVERAGE(per_seed!$M$2:$M$11)*100</f>
        <v>280.47196719098173</v>
      </c>
      <c r="E160">
        <v>280.47196719098167</v>
      </c>
    </row>
    <row r="161" spans="1:5">
      <c r="A161" t="s">
        <v>29</v>
      </c>
      <c r="B161" t="s">
        <v>28</v>
      </c>
      <c r="C161" t="s">
        <v>12</v>
      </c>
      <c r="D161">
        <f>_xlfn.T.TEST(per_seed!$M$2:$M$11,per_seed!$M$12:$M$21,2,1)</f>
        <v>5.4586097607354055E-10</v>
      </c>
      <c r="E161">
        <v>5.4586097607353735E-10</v>
      </c>
    </row>
    <row r="162" spans="1:5">
      <c r="A162" t="s">
        <v>27</v>
      </c>
      <c r="B162" t="s">
        <v>30</v>
      </c>
      <c r="C162" t="s">
        <v>3</v>
      </c>
      <c r="D162">
        <f>(AVERAGE(per_seed!$D$22:$D$31)-AVERAGE(per_seed!$D$2:$D$11))/AVERAGE(per_seed!$D$2:$D$11)*100</f>
        <v>-4.2881873482243833</v>
      </c>
      <c r="E162">
        <v>-4.2881873482243833</v>
      </c>
    </row>
    <row r="163" spans="1:5">
      <c r="A163" t="s">
        <v>29</v>
      </c>
      <c r="B163" t="s">
        <v>30</v>
      </c>
      <c r="C163" t="s">
        <v>3</v>
      </c>
      <c r="D163">
        <f>_xlfn.T.TEST(per_seed!$D$2:$D$11,per_seed!$D$22:$D$31,2,1)</f>
        <v>6.0621011878951572E-9</v>
      </c>
      <c r="E163">
        <v>6.0621011878952697E-9</v>
      </c>
    </row>
    <row r="164" spans="1:5">
      <c r="A164" t="s">
        <v>27</v>
      </c>
      <c r="B164" t="s">
        <v>30</v>
      </c>
      <c r="C164" t="s">
        <v>4</v>
      </c>
      <c r="D164">
        <f>(AVERAGE(per_seed!$E$22:$E$31)-AVERAGE(per_seed!$E$2:$E$11))/AVERAGE(per_seed!$E$2:$E$11)*100</f>
        <v>-4.4581148437065625</v>
      </c>
      <c r="E164">
        <v>-4.4581148437065634</v>
      </c>
    </row>
    <row r="165" spans="1:5">
      <c r="A165" t="s">
        <v>29</v>
      </c>
      <c r="B165" t="s">
        <v>30</v>
      </c>
      <c r="C165" t="s">
        <v>4</v>
      </c>
      <c r="D165">
        <f>_xlfn.T.TEST(per_seed!$E$2:$E$11,per_seed!$E$22:$E$31,2,1)</f>
        <v>1.3049166975769873E-8</v>
      </c>
      <c r="E165">
        <v>1.304916697576961E-8</v>
      </c>
    </row>
    <row r="166" spans="1:5">
      <c r="A166" t="s">
        <v>27</v>
      </c>
      <c r="B166" t="s">
        <v>30</v>
      </c>
      <c r="C166" t="s">
        <v>5</v>
      </c>
      <c r="D166">
        <f>(AVERAGE(per_seed!$F$22:$F$31)-AVERAGE(per_seed!$F$2:$F$11))/AVERAGE(per_seed!$F$2:$F$11)*100</f>
        <v>-4.3925206037869691</v>
      </c>
      <c r="E166">
        <v>-4.3925206037869691</v>
      </c>
    </row>
    <row r="167" spans="1:5">
      <c r="A167" t="s">
        <v>29</v>
      </c>
      <c r="B167" t="s">
        <v>30</v>
      </c>
      <c r="C167" t="s">
        <v>5</v>
      </c>
      <c r="D167">
        <f>_xlfn.T.TEST(per_seed!$F$2:$F$11,per_seed!$F$22:$F$31,2,1)</f>
        <v>2.3825324897305259E-7</v>
      </c>
      <c r="E167">
        <v>2.3825324897305711E-7</v>
      </c>
    </row>
    <row r="168" spans="1:5">
      <c r="A168" t="s">
        <v>27</v>
      </c>
      <c r="B168" t="s">
        <v>30</v>
      </c>
      <c r="C168" t="s">
        <v>6</v>
      </c>
      <c r="D168">
        <f>(AVERAGE(per_seed!$G$22:$G$31)-AVERAGE(per_seed!$G$2:$G$11))/AVERAGE(per_seed!$G$2:$G$11)*100</f>
        <v>6.11444694887998</v>
      </c>
      <c r="E168">
        <v>6.1144469488800164</v>
      </c>
    </row>
    <row r="169" spans="1:5">
      <c r="A169" t="s">
        <v>29</v>
      </c>
      <c r="B169" t="s">
        <v>30</v>
      </c>
      <c r="C169" t="s">
        <v>6</v>
      </c>
      <c r="D169">
        <f>_xlfn.T.TEST(per_seed!$G$2:$G$11,per_seed!$G$22:$G$31,2,1)</f>
        <v>6.6119849992799908E-5</v>
      </c>
      <c r="E169">
        <v>6.611984999279751E-5</v>
      </c>
    </row>
    <row r="170" spans="1:5">
      <c r="A170" t="s">
        <v>27</v>
      </c>
      <c r="B170" t="s">
        <v>30</v>
      </c>
      <c r="C170" t="s">
        <v>7</v>
      </c>
      <c r="D170">
        <f>(AVERAGE(per_seed!$H$22:$H$31)-AVERAGE(per_seed!$H$2:$H$11))/AVERAGE(per_seed!$H$2:$H$11)*100</f>
        <v>-9.8851609997748326</v>
      </c>
      <c r="E170">
        <v>-9.8851609997748326</v>
      </c>
    </row>
    <row r="171" spans="1:5">
      <c r="A171" t="s">
        <v>29</v>
      </c>
      <c r="B171" t="s">
        <v>30</v>
      </c>
      <c r="C171" t="s">
        <v>7</v>
      </c>
      <c r="D171">
        <f>_xlfn.T.TEST(per_seed!$H$2:$H$11,per_seed!$H$22:$H$31,2,1)</f>
        <v>2.9716684775062447E-6</v>
      </c>
      <c r="E171">
        <v>2.971668477506279E-6</v>
      </c>
    </row>
    <row r="172" spans="1:5">
      <c r="A172" t="s">
        <v>27</v>
      </c>
      <c r="B172" t="s">
        <v>30</v>
      </c>
      <c r="C172" t="s">
        <v>8</v>
      </c>
      <c r="D172">
        <f>(AVERAGE(per_seed!$I$22:$I$31)-AVERAGE(per_seed!$I$2:$I$11))/AVERAGE(per_seed!$I$2:$I$11)*100</f>
        <v>-5.7408788460104869</v>
      </c>
      <c r="E172">
        <v>-5.7408788460104869</v>
      </c>
    </row>
    <row r="173" spans="1:5">
      <c r="A173" t="s">
        <v>29</v>
      </c>
      <c r="B173" t="s">
        <v>30</v>
      </c>
      <c r="C173" t="s">
        <v>8</v>
      </c>
      <c r="D173">
        <f>_xlfn.T.TEST(per_seed!$I$2:$I$11,per_seed!$I$22:$I$31,2,1)</f>
        <v>5.300476483477846E-5</v>
      </c>
      <c r="E173">
        <v>5.300476483477884E-5</v>
      </c>
    </row>
    <row r="174" spans="1:5">
      <c r="A174" t="s">
        <v>27</v>
      </c>
      <c r="B174" t="s">
        <v>30</v>
      </c>
      <c r="C174" t="s">
        <v>9</v>
      </c>
      <c r="D174">
        <f>(AVERAGE(per_seed!$J$22:$J$31)-AVERAGE(per_seed!$J$2:$J$11))/AVERAGE(per_seed!$J$2:$J$11)*100</f>
        <v>-3.4832398592270906</v>
      </c>
      <c r="E174">
        <v>-3.483239859227091</v>
      </c>
    </row>
    <row r="175" spans="1:5">
      <c r="A175" t="s">
        <v>29</v>
      </c>
      <c r="B175" t="s">
        <v>30</v>
      </c>
      <c r="C175" t="s">
        <v>9</v>
      </c>
      <c r="D175">
        <f>_xlfn.T.TEST(per_seed!$J$2:$J$11,per_seed!$J$22:$J$31,2,1)</f>
        <v>1.8674946814297794E-4</v>
      </c>
      <c r="E175">
        <v>1.8674946814296891E-4</v>
      </c>
    </row>
    <row r="176" spans="1:5">
      <c r="A176" t="s">
        <v>27</v>
      </c>
      <c r="B176" t="s">
        <v>30</v>
      </c>
      <c r="C176" t="s">
        <v>10</v>
      </c>
      <c r="D176">
        <f>(AVERAGE(per_seed!$K$22:$K$31)-AVERAGE(per_seed!$K$2:$K$11))/AVERAGE(per_seed!$K$2:$K$11)*100</f>
        <v>-3.656942595088243</v>
      </c>
      <c r="E176">
        <v>-3.656942595088243</v>
      </c>
    </row>
    <row r="177" spans="1:5">
      <c r="A177" t="s">
        <v>29</v>
      </c>
      <c r="B177" t="s">
        <v>30</v>
      </c>
      <c r="C177" t="s">
        <v>10</v>
      </c>
      <c r="D177">
        <f>_xlfn.T.TEST(per_seed!$K$2:$K$11,per_seed!$K$22:$K$31,2,1)</f>
        <v>8.8434239375950133E-5</v>
      </c>
      <c r="E177">
        <v>8.8434239375957492E-5</v>
      </c>
    </row>
    <row r="178" spans="1:5">
      <c r="A178" t="s">
        <v>27</v>
      </c>
      <c r="B178" t="s">
        <v>30</v>
      </c>
      <c r="C178" t="s">
        <v>11</v>
      </c>
      <c r="D178">
        <f>(AVERAGE(per_seed!$L$22:$L$31)-AVERAGE(per_seed!$L$2:$L$11))/AVERAGE(per_seed!$L$2:$L$11)*100</f>
        <v>-2.8731211093430518</v>
      </c>
      <c r="E178">
        <v>-2.8731211093430802</v>
      </c>
    </row>
    <row r="179" spans="1:5">
      <c r="A179" t="s">
        <v>29</v>
      </c>
      <c r="B179" t="s">
        <v>30</v>
      </c>
      <c r="C179" t="s">
        <v>11</v>
      </c>
      <c r="D179">
        <f>_xlfn.T.TEST(per_seed!$L$2:$L$11,per_seed!$L$22:$L$31,2,1)</f>
        <v>3.7232927683293671E-2</v>
      </c>
      <c r="E179">
        <v>3.7232927683293178E-2</v>
      </c>
    </row>
    <row r="180" spans="1:5">
      <c r="A180" t="s">
        <v>27</v>
      </c>
      <c r="B180" t="s">
        <v>30</v>
      </c>
      <c r="C180" t="s">
        <v>12</v>
      </c>
      <c r="D180">
        <f>(AVERAGE(per_seed!$M$22:$M$31)-AVERAGE(per_seed!$M$2:$M$11))/AVERAGE(per_seed!$M$2:$M$11)*100</f>
        <v>109.05616415296065</v>
      </c>
      <c r="E180">
        <v>109.0561641529607</v>
      </c>
    </row>
    <row r="181" spans="1:5">
      <c r="A181" t="s">
        <v>29</v>
      </c>
      <c r="B181" t="s">
        <v>30</v>
      </c>
      <c r="C181" t="s">
        <v>12</v>
      </c>
      <c r="D181">
        <f>_xlfn.T.TEST(per_seed!$M$2:$M$11,per_seed!$M$22:$M$31,2,1)</f>
        <v>6.488561466900076E-9</v>
      </c>
      <c r="E181">
        <v>6.4885614669000363E-9</v>
      </c>
    </row>
    <row r="182" spans="1:5">
      <c r="A182" t="s">
        <v>27</v>
      </c>
      <c r="B182" t="s">
        <v>31</v>
      </c>
      <c r="C182" t="s">
        <v>3</v>
      </c>
      <c r="D182">
        <f>(AVERAGE(per_seed!$D$32:$D$41)-AVERAGE(per_seed!$D$2:$D$11))/AVERAGE(per_seed!$D$2:$D$11)*100</f>
        <v>-1.1420740063956143</v>
      </c>
      <c r="E182">
        <v>-1.1420740063956141</v>
      </c>
    </row>
    <row r="183" spans="1:5">
      <c r="A183" t="s">
        <v>29</v>
      </c>
      <c r="B183" t="s">
        <v>31</v>
      </c>
      <c r="C183" t="s">
        <v>3</v>
      </c>
      <c r="D183">
        <f>_xlfn.T.TEST(per_seed!$D$2:$D$11,per_seed!$D$32:$D$41,2,1)</f>
        <v>3.7035891743642148E-6</v>
      </c>
      <c r="E183">
        <v>3.7035891743642181E-6</v>
      </c>
    </row>
    <row r="184" spans="1:5">
      <c r="A184" t="s">
        <v>27</v>
      </c>
      <c r="B184" t="s">
        <v>31</v>
      </c>
      <c r="C184" t="s">
        <v>4</v>
      </c>
      <c r="D184">
        <f>(AVERAGE(per_seed!$E$32:$E$41)-AVERAGE(per_seed!$E$2:$E$11))/AVERAGE(per_seed!$E$2:$E$11)*100</f>
        <v>-1.2025422001519324</v>
      </c>
      <c r="E184">
        <v>-1.2025422001519319</v>
      </c>
    </row>
    <row r="185" spans="1:5">
      <c r="A185" t="s">
        <v>29</v>
      </c>
      <c r="B185" t="s">
        <v>31</v>
      </c>
      <c r="C185" t="s">
        <v>4</v>
      </c>
      <c r="D185">
        <f>_xlfn.T.TEST(per_seed!$E$2:$E$11,per_seed!$E$32:$E$41,2,1)</f>
        <v>5.2929129866809954E-5</v>
      </c>
      <c r="E185">
        <v>5.2929129866807637E-5</v>
      </c>
    </row>
    <row r="186" spans="1:5">
      <c r="A186" t="s">
        <v>27</v>
      </c>
      <c r="B186" t="s">
        <v>31</v>
      </c>
      <c r="C186" t="s">
        <v>5</v>
      </c>
      <c r="D186">
        <f>(AVERAGE(per_seed!$F$32:$F$41)-AVERAGE(per_seed!$F$2:$F$11))/AVERAGE(per_seed!$F$2:$F$11)*100</f>
        <v>-1.3558621097096295</v>
      </c>
      <c r="E186">
        <v>-1.3558621097096299</v>
      </c>
    </row>
    <row r="187" spans="1:5">
      <c r="A187" t="s">
        <v>29</v>
      </c>
      <c r="B187" t="s">
        <v>31</v>
      </c>
      <c r="C187" t="s">
        <v>5</v>
      </c>
      <c r="D187">
        <f>_xlfn.T.TEST(per_seed!$F$2:$F$11,per_seed!$F$32:$F$41,2,1)</f>
        <v>5.3942786941019031E-4</v>
      </c>
      <c r="E187">
        <v>5.3942786941019746E-4</v>
      </c>
    </row>
    <row r="188" spans="1:5">
      <c r="A188" t="s">
        <v>27</v>
      </c>
      <c r="B188" t="s">
        <v>31</v>
      </c>
      <c r="C188" t="s">
        <v>6</v>
      </c>
      <c r="D188">
        <f>(AVERAGE(per_seed!$G$32:$G$41)-AVERAGE(per_seed!$G$2:$G$11))/AVERAGE(per_seed!$G$2:$G$11)*100</f>
        <v>7.4720289827665782</v>
      </c>
      <c r="E188">
        <v>7.4720289827666164</v>
      </c>
    </row>
    <row r="189" spans="1:5">
      <c r="A189" t="s">
        <v>29</v>
      </c>
      <c r="B189" t="s">
        <v>31</v>
      </c>
      <c r="C189" t="s">
        <v>6</v>
      </c>
      <c r="D189">
        <f>_xlfn.T.TEST(per_seed!$G$2:$G$11,per_seed!$G$32:$G$41,2,1)</f>
        <v>1.662794319573942E-4</v>
      </c>
      <c r="E189">
        <v>1.66279431957391E-4</v>
      </c>
    </row>
    <row r="190" spans="1:5">
      <c r="A190" t="s">
        <v>27</v>
      </c>
      <c r="B190" t="s">
        <v>31</v>
      </c>
      <c r="C190" t="s">
        <v>7</v>
      </c>
      <c r="D190">
        <f>(AVERAGE(per_seed!$H$32:$H$41)-AVERAGE(per_seed!$H$2:$H$11))/AVERAGE(per_seed!$H$2:$H$11)*100</f>
        <v>-8.1738347219094809</v>
      </c>
      <c r="E190">
        <v>-8.1738347219094809</v>
      </c>
    </row>
    <row r="191" spans="1:5">
      <c r="A191" t="s">
        <v>29</v>
      </c>
      <c r="B191" t="s">
        <v>31</v>
      </c>
      <c r="C191" t="s">
        <v>7</v>
      </c>
      <c r="D191">
        <f>_xlfn.T.TEST(per_seed!$H$2:$H$11,per_seed!$H$32:$H$41,2,1)</f>
        <v>2.6363021749102673E-5</v>
      </c>
      <c r="E191">
        <v>2.6363021749102792E-5</v>
      </c>
    </row>
    <row r="192" spans="1:5">
      <c r="A192" t="s">
        <v>27</v>
      </c>
      <c r="B192" t="s">
        <v>31</v>
      </c>
      <c r="C192" t="s">
        <v>8</v>
      </c>
      <c r="D192">
        <f>(AVERAGE(per_seed!$I$32:$I$41)-AVERAGE(per_seed!$I$2:$I$11))/AVERAGE(per_seed!$I$2:$I$11)*100</f>
        <v>-6.9004933823445107</v>
      </c>
      <c r="E192">
        <v>-6.9004933823445107</v>
      </c>
    </row>
    <row r="193" spans="1:5">
      <c r="A193" t="s">
        <v>29</v>
      </c>
      <c r="B193" t="s">
        <v>31</v>
      </c>
      <c r="C193" t="s">
        <v>8</v>
      </c>
      <c r="D193">
        <f>_xlfn.T.TEST(per_seed!$I$2:$I$11,per_seed!$I$32:$I$41,2,1)</f>
        <v>1.4566710219372181E-4</v>
      </c>
      <c r="E193">
        <v>1.4566710219372271E-4</v>
      </c>
    </row>
    <row r="194" spans="1:5">
      <c r="A194" t="s">
        <v>27</v>
      </c>
      <c r="B194" t="s">
        <v>31</v>
      </c>
      <c r="C194" t="s">
        <v>9</v>
      </c>
      <c r="D194">
        <f>(AVERAGE(per_seed!$J$32:$J$41)-AVERAGE(per_seed!$J$2:$J$11))/AVERAGE(per_seed!$J$2:$J$11)*100</f>
        <v>-4.3836897173892577</v>
      </c>
      <c r="E194">
        <v>-4.3836897173892577</v>
      </c>
    </row>
    <row r="195" spans="1:5">
      <c r="A195" t="s">
        <v>29</v>
      </c>
      <c r="B195" t="s">
        <v>31</v>
      </c>
      <c r="C195" t="s">
        <v>9</v>
      </c>
      <c r="D195">
        <f>_xlfn.T.TEST(per_seed!$J$2:$J$11,per_seed!$J$32:$J$41,2,1)</f>
        <v>1.919996130065018E-4</v>
      </c>
      <c r="E195">
        <v>1.9199961300649619E-4</v>
      </c>
    </row>
    <row r="196" spans="1:5">
      <c r="A196" t="s">
        <v>27</v>
      </c>
      <c r="B196" t="s">
        <v>31</v>
      </c>
      <c r="C196" t="s">
        <v>10</v>
      </c>
      <c r="D196">
        <f>(AVERAGE(per_seed!$K$32:$K$41)-AVERAGE(per_seed!$K$2:$K$11))/AVERAGE(per_seed!$K$2:$K$11)*100</f>
        <v>-3.69915244141708</v>
      </c>
      <c r="E196">
        <v>-3.699152441417104</v>
      </c>
    </row>
    <row r="197" spans="1:5">
      <c r="A197" t="s">
        <v>29</v>
      </c>
      <c r="B197" t="s">
        <v>31</v>
      </c>
      <c r="C197" t="s">
        <v>10</v>
      </c>
      <c r="D197">
        <f>_xlfn.T.TEST(per_seed!$K$2:$K$11,per_seed!$K$32:$K$41,2,1)</f>
        <v>2.6952531652439221E-4</v>
      </c>
      <c r="E197">
        <v>2.6952531652440099E-4</v>
      </c>
    </row>
    <row r="198" spans="1:5">
      <c r="A198" t="s">
        <v>27</v>
      </c>
      <c r="B198" t="s">
        <v>31</v>
      </c>
      <c r="C198" t="s">
        <v>11</v>
      </c>
      <c r="D198">
        <f>(AVERAGE(per_seed!$L$32:$L$41)-AVERAGE(per_seed!$L$2:$L$11))/AVERAGE(per_seed!$L$2:$L$11)*100</f>
        <v>-3.6050929972000039</v>
      </c>
      <c r="E198">
        <v>-3.6050929972000039</v>
      </c>
    </row>
    <row r="199" spans="1:5">
      <c r="A199" t="s">
        <v>29</v>
      </c>
      <c r="B199" t="s">
        <v>31</v>
      </c>
      <c r="C199" t="s">
        <v>11</v>
      </c>
      <c r="D199">
        <f>_xlfn.T.TEST(per_seed!$L$2:$L$11,per_seed!$L$32:$L$41,2,1)</f>
        <v>2.8820636927623187E-3</v>
      </c>
      <c r="E199">
        <v>2.8820636927623161E-3</v>
      </c>
    </row>
    <row r="200" spans="1:5">
      <c r="A200" t="s">
        <v>27</v>
      </c>
      <c r="B200" t="s">
        <v>31</v>
      </c>
      <c r="C200" t="s">
        <v>12</v>
      </c>
      <c r="D200">
        <f>(AVERAGE(per_seed!$M$32:$M$41)-AVERAGE(per_seed!$M$2:$M$11))/AVERAGE(per_seed!$M$2:$M$11)*100</f>
        <v>29.043318127624641</v>
      </c>
      <c r="E200">
        <v>29.043318127624651</v>
      </c>
    </row>
    <row r="201" spans="1:5">
      <c r="A201" t="s">
        <v>29</v>
      </c>
      <c r="B201" t="s">
        <v>31</v>
      </c>
      <c r="C201" t="s">
        <v>12</v>
      </c>
      <c r="D201">
        <f>_xlfn.T.TEST(per_seed!$M$2:$M$11,per_seed!$M$32:$M$41,2,1)</f>
        <v>3.6663667007235322E-6</v>
      </c>
      <c r="E201">
        <v>3.6663667007235221E-6</v>
      </c>
    </row>
    <row r="202" spans="1:5">
      <c r="A202" t="s">
        <v>27</v>
      </c>
      <c r="B202" t="s">
        <v>32</v>
      </c>
      <c r="C202" t="s">
        <v>3</v>
      </c>
      <c r="D202">
        <f>(AVERAGE(per_seed!$D$42:$D$51)-AVERAGE(per_seed!$D$2:$D$11))/AVERAGE(per_seed!$D$2:$D$11)*100</f>
        <v>0.62513524560602052</v>
      </c>
      <c r="E202">
        <v>0.62513524560602052</v>
      </c>
    </row>
    <row r="203" spans="1:5">
      <c r="A203" t="s">
        <v>29</v>
      </c>
      <c r="B203" t="s">
        <v>32</v>
      </c>
      <c r="C203" t="s">
        <v>3</v>
      </c>
      <c r="D203">
        <f>_xlfn.T.TEST(per_seed!$D$2:$D$11,per_seed!$D$42:$D$51,2,1)</f>
        <v>1.0945263006198031E-3</v>
      </c>
      <c r="E203">
        <v>1.094526300619802E-3</v>
      </c>
    </row>
    <row r="204" spans="1:5">
      <c r="A204" t="s">
        <v>27</v>
      </c>
      <c r="B204" t="s">
        <v>32</v>
      </c>
      <c r="C204" t="s">
        <v>4</v>
      </c>
      <c r="D204">
        <f>(AVERAGE(per_seed!$E$42:$E$51)-AVERAGE(per_seed!$E$2:$E$11))/AVERAGE(per_seed!$E$2:$E$11)*100</f>
        <v>0.45396431284626365</v>
      </c>
      <c r="E204">
        <v>0.45396431284626371</v>
      </c>
    </row>
    <row r="205" spans="1:5">
      <c r="A205" t="s">
        <v>29</v>
      </c>
      <c r="B205" t="s">
        <v>32</v>
      </c>
      <c r="C205" t="s">
        <v>4</v>
      </c>
      <c r="D205">
        <f>_xlfn.T.TEST(per_seed!$E$2:$E$11,per_seed!$E$42:$E$51,2,1)</f>
        <v>5.2918687865255942E-2</v>
      </c>
      <c r="E205">
        <v>5.2918687865255859E-2</v>
      </c>
    </row>
    <row r="206" spans="1:5">
      <c r="A206" t="s">
        <v>27</v>
      </c>
      <c r="B206" t="s">
        <v>32</v>
      </c>
      <c r="C206" t="s">
        <v>5</v>
      </c>
      <c r="D206">
        <f>(AVERAGE(per_seed!$F$42:$F$51)-AVERAGE(per_seed!$F$2:$F$11))/AVERAGE(per_seed!$F$2:$F$11)*100</f>
        <v>0.43423034886124767</v>
      </c>
      <c r="E206">
        <v>0.43423034886124767</v>
      </c>
    </row>
    <row r="207" spans="1:5">
      <c r="A207" t="s">
        <v>29</v>
      </c>
      <c r="B207" t="s">
        <v>32</v>
      </c>
      <c r="C207" t="s">
        <v>5</v>
      </c>
      <c r="D207">
        <f>_xlfn.T.TEST(per_seed!$F$2:$F$11,per_seed!$F$42:$F$51,2,1)</f>
        <v>0.21125259277572669</v>
      </c>
      <c r="E207">
        <v>0.2112525927757215</v>
      </c>
    </row>
    <row r="208" spans="1:5">
      <c r="A208" t="s">
        <v>27</v>
      </c>
      <c r="B208" t="s">
        <v>32</v>
      </c>
      <c r="C208" t="s">
        <v>6</v>
      </c>
      <c r="D208">
        <f>(AVERAGE(per_seed!$G$42:$G$51)-AVERAGE(per_seed!$G$2:$G$11))/AVERAGE(per_seed!$G$2:$G$11)*100</f>
        <v>6.6982553926870931</v>
      </c>
      <c r="E208">
        <v>6.6982553926871287</v>
      </c>
    </row>
    <row r="209" spans="1:5">
      <c r="A209" t="s">
        <v>29</v>
      </c>
      <c r="B209" t="s">
        <v>32</v>
      </c>
      <c r="C209" t="s">
        <v>6</v>
      </c>
      <c r="D209">
        <f>_xlfn.T.TEST(per_seed!$G$2:$G$11,per_seed!$G$42:$G$51,2,1)</f>
        <v>3.304301786265927E-5</v>
      </c>
      <c r="E209">
        <v>3.3043017862658112E-5</v>
      </c>
    </row>
    <row r="210" spans="1:5">
      <c r="A210" t="s">
        <v>27</v>
      </c>
      <c r="B210" t="s">
        <v>32</v>
      </c>
      <c r="C210" t="s">
        <v>7</v>
      </c>
      <c r="D210">
        <f>(AVERAGE(per_seed!$H$42:$H$51)-AVERAGE(per_seed!$H$2:$H$11))/AVERAGE(per_seed!$H$2:$H$11)*100</f>
        <v>-5.8320198153569089</v>
      </c>
      <c r="E210">
        <v>-5.8320198153569089</v>
      </c>
    </row>
    <row r="211" spans="1:5">
      <c r="A211" t="s">
        <v>29</v>
      </c>
      <c r="B211" t="s">
        <v>32</v>
      </c>
      <c r="C211" t="s">
        <v>7</v>
      </c>
      <c r="D211">
        <f>_xlfn.T.TEST(per_seed!$H$2:$H$11,per_seed!$H$42:$H$51,2,1)</f>
        <v>1.3945467253363798E-5</v>
      </c>
      <c r="E211">
        <v>1.394546725336394E-5</v>
      </c>
    </row>
    <row r="212" spans="1:5">
      <c r="A212" t="s">
        <v>27</v>
      </c>
      <c r="B212" t="s">
        <v>32</v>
      </c>
      <c r="C212" t="s">
        <v>8</v>
      </c>
      <c r="D212">
        <f>(AVERAGE(per_seed!$I$42:$I$51)-AVERAGE(per_seed!$I$2:$I$11))/AVERAGE(per_seed!$I$2:$I$11)*100</f>
        <v>-6.2437446433176556</v>
      </c>
      <c r="E212">
        <v>-6.2437446433176769</v>
      </c>
    </row>
    <row r="213" spans="1:5">
      <c r="A213" t="s">
        <v>29</v>
      </c>
      <c r="B213" t="s">
        <v>32</v>
      </c>
      <c r="C213" t="s">
        <v>8</v>
      </c>
      <c r="D213">
        <f>_xlfn.T.TEST(per_seed!$I$2:$I$11,per_seed!$I$42:$I$51,2,1)</f>
        <v>2.7182255438676431E-5</v>
      </c>
      <c r="E213">
        <v>2.7182255438677139E-5</v>
      </c>
    </row>
    <row r="214" spans="1:5">
      <c r="A214" t="s">
        <v>27</v>
      </c>
      <c r="B214" t="s">
        <v>32</v>
      </c>
      <c r="C214" t="s">
        <v>9</v>
      </c>
      <c r="D214">
        <f>(AVERAGE(per_seed!$J$42:$J$51)-AVERAGE(per_seed!$J$2:$J$11))/AVERAGE(per_seed!$J$2:$J$11)*100</f>
        <v>-2.5718947040628009</v>
      </c>
      <c r="E214">
        <v>-2.571894704062784</v>
      </c>
    </row>
    <row r="215" spans="1:5">
      <c r="A215" t="s">
        <v>29</v>
      </c>
      <c r="B215" t="s">
        <v>32</v>
      </c>
      <c r="C215" t="s">
        <v>9</v>
      </c>
      <c r="D215">
        <f>_xlfn.T.TEST(per_seed!$J$2:$J$11,per_seed!$J$42:$J$51,2,1)</f>
        <v>5.7613077401022453E-3</v>
      </c>
      <c r="E215">
        <v>5.7613077401023139E-3</v>
      </c>
    </row>
    <row r="216" spans="1:5">
      <c r="A216" t="s">
        <v>27</v>
      </c>
      <c r="B216" t="s">
        <v>32</v>
      </c>
      <c r="C216" t="s">
        <v>10</v>
      </c>
      <c r="D216">
        <f>(AVERAGE(per_seed!$K$42:$K$51)-AVERAGE(per_seed!$K$2:$K$11))/AVERAGE(per_seed!$K$2:$K$11)*100</f>
        <v>-1.3524959487971586</v>
      </c>
      <c r="E216">
        <v>-1.3524959487971591</v>
      </c>
    </row>
    <row r="217" spans="1:5">
      <c r="A217" t="s">
        <v>29</v>
      </c>
      <c r="B217" t="s">
        <v>32</v>
      </c>
      <c r="C217" t="s">
        <v>10</v>
      </c>
      <c r="D217">
        <f>_xlfn.T.TEST(per_seed!$K$2:$K$11,per_seed!$K$42:$K$51,2,1)</f>
        <v>9.5799529407805575E-2</v>
      </c>
      <c r="E217">
        <v>9.579952940780985E-2</v>
      </c>
    </row>
    <row r="218" spans="1:5">
      <c r="A218" t="s">
        <v>27</v>
      </c>
      <c r="B218" t="s">
        <v>32</v>
      </c>
      <c r="C218" t="s">
        <v>11</v>
      </c>
      <c r="D218">
        <f>(AVERAGE(per_seed!$L$42:$L$51)-AVERAGE(per_seed!$L$2:$L$11))/AVERAGE(per_seed!$L$2:$L$11)*100</f>
        <v>-1.7654557978998866</v>
      </c>
      <c r="E218">
        <v>-1.765455797899901</v>
      </c>
    </row>
    <row r="219" spans="1:5">
      <c r="A219" t="s">
        <v>29</v>
      </c>
      <c r="B219" t="s">
        <v>32</v>
      </c>
      <c r="C219" t="s">
        <v>11</v>
      </c>
      <c r="D219">
        <f>_xlfn.T.TEST(per_seed!$L$2:$L$11,per_seed!$L$42:$L$51,2,1)</f>
        <v>0.14481911592630284</v>
      </c>
      <c r="E219">
        <v>0.1448191159263012</v>
      </c>
    </row>
    <row r="220" spans="1:5">
      <c r="A220" t="s">
        <v>27</v>
      </c>
      <c r="B220" t="s">
        <v>32</v>
      </c>
      <c r="C220" t="s">
        <v>12</v>
      </c>
      <c r="D220">
        <f>(AVERAGE(per_seed!$M$42:$M$51)-AVERAGE(per_seed!$M$2:$M$11))/AVERAGE(per_seed!$M$2:$M$11)*100</f>
        <v>-15.6155280903932</v>
      </c>
      <c r="E220">
        <v>-15.615528090393189</v>
      </c>
    </row>
    <row r="221" spans="1:5">
      <c r="A221" t="s">
        <v>29</v>
      </c>
      <c r="B221" t="s">
        <v>32</v>
      </c>
      <c r="C221" t="s">
        <v>12</v>
      </c>
      <c r="D221">
        <f>_xlfn.T.TEST(per_seed!$M$2:$M$11,per_seed!$M$42:$M$51,2,1)</f>
        <v>1.2232843204975389E-3</v>
      </c>
      <c r="E221">
        <v>1.223284320497532E-3</v>
      </c>
    </row>
    <row r="222" spans="1:5">
      <c r="A222" t="s">
        <v>27</v>
      </c>
      <c r="B222" t="s">
        <v>33</v>
      </c>
      <c r="C222" t="s">
        <v>3</v>
      </c>
      <c r="D222">
        <f>(AVERAGE(per_seed!$D$52:$D$61)-AVERAGE(per_seed!$D$2:$D$11))/AVERAGE(per_seed!$D$2:$D$11)*100</f>
        <v>0.65158327522780057</v>
      </c>
      <c r="E222">
        <v>0.65158327522780057</v>
      </c>
    </row>
    <row r="223" spans="1:5">
      <c r="A223" t="s">
        <v>29</v>
      </c>
      <c r="B223" t="s">
        <v>33</v>
      </c>
      <c r="C223" t="s">
        <v>3</v>
      </c>
      <c r="D223">
        <f>_xlfn.T.TEST(per_seed!$D$2:$D$11,per_seed!$D$52:$D$61,2,1)</f>
        <v>4.0552379297689164E-5</v>
      </c>
      <c r="E223">
        <v>4.0552379297682747E-5</v>
      </c>
    </row>
    <row r="224" spans="1:5">
      <c r="A224" t="s">
        <v>27</v>
      </c>
      <c r="B224" t="s">
        <v>33</v>
      </c>
      <c r="C224" t="s">
        <v>4</v>
      </c>
      <c r="D224">
        <f>(AVERAGE(per_seed!$E$52:$E$61)-AVERAGE(per_seed!$E$2:$E$11))/AVERAGE(per_seed!$E$2:$E$11)*100</f>
        <v>0.54105134429025425</v>
      </c>
      <c r="E224">
        <v>0.54105134429025425</v>
      </c>
    </row>
    <row r="225" spans="1:5">
      <c r="A225" t="s">
        <v>29</v>
      </c>
      <c r="B225" t="s">
        <v>33</v>
      </c>
      <c r="C225" t="s">
        <v>4</v>
      </c>
      <c r="D225">
        <f>_xlfn.T.TEST(per_seed!$E$2:$E$11,per_seed!$E$52:$E$61,2,1)</f>
        <v>6.2743046179683879E-3</v>
      </c>
      <c r="E225">
        <v>6.2743046179692423E-3</v>
      </c>
    </row>
    <row r="226" spans="1:5">
      <c r="A226" t="s">
        <v>27</v>
      </c>
      <c r="B226" t="s">
        <v>33</v>
      </c>
      <c r="C226" t="s">
        <v>5</v>
      </c>
      <c r="D226">
        <f>(AVERAGE(per_seed!$F$52:$F$61)-AVERAGE(per_seed!$F$2:$F$11))/AVERAGE(per_seed!$F$2:$F$11)*100</f>
        <v>0.52875668330722936</v>
      </c>
      <c r="E226">
        <v>0.52875668330722936</v>
      </c>
    </row>
    <row r="227" spans="1:5">
      <c r="A227" t="s">
        <v>29</v>
      </c>
      <c r="B227" t="s">
        <v>33</v>
      </c>
      <c r="C227" t="s">
        <v>5</v>
      </c>
      <c r="D227">
        <f>_xlfn.T.TEST(per_seed!$F$2:$F$11,per_seed!$F$52:$F$61,2,1)</f>
        <v>9.8731318590183789E-2</v>
      </c>
      <c r="E227">
        <v>9.8731318590178085E-2</v>
      </c>
    </row>
    <row r="228" spans="1:5">
      <c r="A228" t="s">
        <v>27</v>
      </c>
      <c r="B228" t="s">
        <v>33</v>
      </c>
      <c r="C228" t="s">
        <v>6</v>
      </c>
      <c r="D228">
        <f>(AVERAGE(per_seed!$G$52:$G$61)-AVERAGE(per_seed!$G$2:$G$11))/AVERAGE(per_seed!$G$2:$G$11)*100</f>
        <v>6.3957849761791641</v>
      </c>
      <c r="E228">
        <v>6.3957849761792014</v>
      </c>
    </row>
    <row r="229" spans="1:5">
      <c r="A229" t="s">
        <v>29</v>
      </c>
      <c r="B229" t="s">
        <v>33</v>
      </c>
      <c r="C229" t="s">
        <v>6</v>
      </c>
      <c r="D229">
        <f>_xlfn.T.TEST(per_seed!$G$2:$G$11,per_seed!$G$52:$G$61,2,1)</f>
        <v>6.0420364924802794E-4</v>
      </c>
      <c r="E229">
        <v>6.0420364924800073E-4</v>
      </c>
    </row>
    <row r="230" spans="1:5">
      <c r="A230" t="s">
        <v>27</v>
      </c>
      <c r="B230" t="s">
        <v>33</v>
      </c>
      <c r="C230" t="s">
        <v>7</v>
      </c>
      <c r="D230">
        <f>(AVERAGE(per_seed!$H$52:$H$61)-AVERAGE(per_seed!$H$2:$H$11))/AVERAGE(per_seed!$H$2:$H$11)*100</f>
        <v>-5.4942580499887486</v>
      </c>
      <c r="E230">
        <v>-5.4942580499887486</v>
      </c>
    </row>
    <row r="231" spans="1:5">
      <c r="A231" t="s">
        <v>29</v>
      </c>
      <c r="B231" t="s">
        <v>33</v>
      </c>
      <c r="C231" t="s">
        <v>7</v>
      </c>
      <c r="D231">
        <f>_xlfn.T.TEST(per_seed!$H$2:$H$11,per_seed!$H$52:$H$61,2,1)</f>
        <v>4.8742170234773881E-4</v>
      </c>
      <c r="E231">
        <v>4.8742170234774342E-4</v>
      </c>
    </row>
    <row r="232" spans="1:5">
      <c r="A232" t="s">
        <v>27</v>
      </c>
      <c r="B232" t="s">
        <v>33</v>
      </c>
      <c r="C232" t="s">
        <v>8</v>
      </c>
      <c r="D232">
        <f>(AVERAGE(per_seed!$I$52:$I$61)-AVERAGE(per_seed!$I$2:$I$11))/AVERAGE(per_seed!$I$2:$I$11)*100</f>
        <v>-5.9779111608235267</v>
      </c>
      <c r="E232">
        <v>-5.9779111608235356</v>
      </c>
    </row>
    <row r="233" spans="1:5">
      <c r="A233" t="s">
        <v>29</v>
      </c>
      <c r="B233" t="s">
        <v>33</v>
      </c>
      <c r="C233" t="s">
        <v>8</v>
      </c>
      <c r="D233">
        <f>_xlfn.T.TEST(per_seed!$I$2:$I$11,per_seed!$I$52:$I$61,2,1)</f>
        <v>5.6179627551633646E-4</v>
      </c>
      <c r="E233">
        <v>5.6179627551633114E-4</v>
      </c>
    </row>
    <row r="234" spans="1:5">
      <c r="A234" t="s">
        <v>27</v>
      </c>
      <c r="B234" t="s">
        <v>33</v>
      </c>
      <c r="C234" t="s">
        <v>9</v>
      </c>
      <c r="D234">
        <f>(AVERAGE(per_seed!$J$52:$J$61)-AVERAGE(per_seed!$J$2:$J$11))/AVERAGE(per_seed!$J$2:$J$11)*100</f>
        <v>-1.4235670851284086</v>
      </c>
      <c r="E234">
        <v>-1.423567085128409</v>
      </c>
    </row>
    <row r="235" spans="1:5">
      <c r="A235" t="s">
        <v>29</v>
      </c>
      <c r="B235" t="s">
        <v>33</v>
      </c>
      <c r="C235" t="s">
        <v>9</v>
      </c>
      <c r="D235">
        <f>_xlfn.T.TEST(per_seed!$J$2:$J$11,per_seed!$J$52:$J$61,2,1)</f>
        <v>3.7905376666022235E-2</v>
      </c>
      <c r="E235">
        <v>3.7905376666022707E-2</v>
      </c>
    </row>
    <row r="236" spans="1:5">
      <c r="A236" t="s">
        <v>27</v>
      </c>
      <c r="B236" t="s">
        <v>33</v>
      </c>
      <c r="C236" t="s">
        <v>10</v>
      </c>
      <c r="D236">
        <f>(AVERAGE(per_seed!$K$52:$K$61)-AVERAGE(per_seed!$K$2:$K$11))/AVERAGE(per_seed!$K$2:$K$11)*100</f>
        <v>0.47733210409611015</v>
      </c>
      <c r="E236">
        <v>0.47733210409611021</v>
      </c>
    </row>
    <row r="237" spans="1:5">
      <c r="A237" t="s">
        <v>29</v>
      </c>
      <c r="B237" t="s">
        <v>33</v>
      </c>
      <c r="C237" t="s">
        <v>10</v>
      </c>
      <c r="D237">
        <f>_xlfn.T.TEST(per_seed!$K$2:$K$11,per_seed!$K$52:$K$61,2,1)</f>
        <v>0.53039411508603884</v>
      </c>
      <c r="E237">
        <v>0.53039411508601331</v>
      </c>
    </row>
    <row r="238" spans="1:5">
      <c r="A238" t="s">
        <v>27</v>
      </c>
      <c r="B238" t="s">
        <v>33</v>
      </c>
      <c r="C238" t="s">
        <v>11</v>
      </c>
      <c r="D238">
        <f>(AVERAGE(per_seed!$L$52:$L$61)-AVERAGE(per_seed!$L$2:$L$11))/AVERAGE(per_seed!$L$2:$L$11)*100</f>
        <v>0.58680745298334347</v>
      </c>
      <c r="E238">
        <v>0.58680745298334347</v>
      </c>
    </row>
    <row r="239" spans="1:5">
      <c r="A239" t="s">
        <v>29</v>
      </c>
      <c r="B239" t="s">
        <v>33</v>
      </c>
      <c r="C239" t="s">
        <v>11</v>
      </c>
      <c r="D239">
        <f>_xlfn.T.TEST(per_seed!$L$2:$L$11,per_seed!$L$52:$L$61,2,1)</f>
        <v>0.62658782992473494</v>
      </c>
      <c r="E239">
        <v>0.62658782992473405</v>
      </c>
    </row>
    <row r="240" spans="1:5">
      <c r="A240" t="s">
        <v>27</v>
      </c>
      <c r="B240" t="s">
        <v>33</v>
      </c>
      <c r="C240" t="s">
        <v>12</v>
      </c>
      <c r="D240">
        <f>(AVERAGE(per_seed!$M$52:$M$61)-AVERAGE(per_seed!$M$2:$M$11))/AVERAGE(per_seed!$M$2:$M$11)*100</f>
        <v>-16.425136851101087</v>
      </c>
      <c r="E240">
        <v>-16.425136851101069</v>
      </c>
    </row>
    <row r="241" spans="1:5">
      <c r="A241" t="s">
        <v>29</v>
      </c>
      <c r="B241" t="s">
        <v>33</v>
      </c>
      <c r="C241" t="s">
        <v>12</v>
      </c>
      <c r="D241">
        <f>_xlfn.T.TEST(per_seed!$M$2:$M$11,per_seed!$M$52:$M$61,2,1)</f>
        <v>4.2481113676574842E-5</v>
      </c>
      <c r="E241">
        <v>4.2481113676574557E-5</v>
      </c>
    </row>
    <row r="242" spans="1:5">
      <c r="A242" t="s">
        <v>27</v>
      </c>
      <c r="B242" t="s">
        <v>34</v>
      </c>
      <c r="C242" t="s">
        <v>3</v>
      </c>
      <c r="D242">
        <f>(AVERAGE(per_seed!$D$62:$D$71)-AVERAGE(per_seed!$D$2:$D$11))/AVERAGE(per_seed!$D$2:$D$11)*100</f>
        <v>0.29213050900434312</v>
      </c>
      <c r="E242">
        <v>0.29213050900434312</v>
      </c>
    </row>
    <row r="243" spans="1:5">
      <c r="A243" t="s">
        <v>29</v>
      </c>
      <c r="B243" t="s">
        <v>34</v>
      </c>
      <c r="C243" t="s">
        <v>3</v>
      </c>
      <c r="D243">
        <f>_xlfn.T.TEST(per_seed!$D$2:$D$11,per_seed!$D$62:$D$71,2,1)</f>
        <v>1.9410785235076819E-2</v>
      </c>
      <c r="E243">
        <v>1.9410785235074099E-2</v>
      </c>
    </row>
    <row r="244" spans="1:5">
      <c r="A244" t="s">
        <v>27</v>
      </c>
      <c r="B244" t="s">
        <v>34</v>
      </c>
      <c r="C244" t="s">
        <v>4</v>
      </c>
      <c r="D244">
        <f>(AVERAGE(per_seed!$E$62:$E$71)-AVERAGE(per_seed!$E$2:$E$11))/AVERAGE(per_seed!$E$2:$E$11)*100</f>
        <v>0.26126109433193806</v>
      </c>
      <c r="E244">
        <v>0.26126109433193812</v>
      </c>
    </row>
    <row r="245" spans="1:5">
      <c r="A245" t="s">
        <v>29</v>
      </c>
      <c r="B245" t="s">
        <v>34</v>
      </c>
      <c r="C245" t="s">
        <v>4</v>
      </c>
      <c r="D245">
        <f>_xlfn.T.TEST(per_seed!$E$2:$E$11,per_seed!$E$62:$E$71,2,1)</f>
        <v>0.31422826110974106</v>
      </c>
      <c r="E245">
        <v>0.31422826110975272</v>
      </c>
    </row>
    <row r="246" spans="1:5">
      <c r="A246" t="s">
        <v>27</v>
      </c>
      <c r="B246" t="s">
        <v>34</v>
      </c>
      <c r="C246" t="s">
        <v>5</v>
      </c>
      <c r="D246">
        <f>(AVERAGE(per_seed!$F$62:$F$71)-AVERAGE(per_seed!$F$2:$F$11))/AVERAGE(per_seed!$F$2:$F$11)*100</f>
        <v>0.57897379848166797</v>
      </c>
      <c r="E246">
        <v>0.57897379848166797</v>
      </c>
    </row>
    <row r="247" spans="1:5">
      <c r="A247" t="s">
        <v>29</v>
      </c>
      <c r="B247" t="s">
        <v>34</v>
      </c>
      <c r="C247" t="s">
        <v>5</v>
      </c>
      <c r="D247">
        <f>_xlfn.T.TEST(per_seed!$F$2:$F$11,per_seed!$F$62:$F$71,2,1)</f>
        <v>0.1570785217934357</v>
      </c>
      <c r="E247">
        <v>0.15707852179343409</v>
      </c>
    </row>
    <row r="248" spans="1:5">
      <c r="A248" t="s">
        <v>27</v>
      </c>
      <c r="B248" t="s">
        <v>34</v>
      </c>
      <c r="C248" t="s">
        <v>6</v>
      </c>
      <c r="D248">
        <f>(AVERAGE(per_seed!$G$62:$G$71)-AVERAGE(per_seed!$G$2:$G$11))/AVERAGE(per_seed!$G$2:$G$11)*100</f>
        <v>9.6624363186788287</v>
      </c>
      <c r="E248">
        <v>9.662436318678866</v>
      </c>
    </row>
    <row r="249" spans="1:5">
      <c r="A249" t="s">
        <v>29</v>
      </c>
      <c r="B249" t="s">
        <v>34</v>
      </c>
      <c r="C249" t="s">
        <v>6</v>
      </c>
      <c r="D249">
        <f>_xlfn.T.TEST(per_seed!$G$2:$G$11,per_seed!$G$62:$G$71,2,1)</f>
        <v>3.0720079705986997E-6</v>
      </c>
      <c r="E249">
        <v>3.0720079705986311E-6</v>
      </c>
    </row>
    <row r="250" spans="1:5">
      <c r="A250" t="s">
        <v>27</v>
      </c>
      <c r="B250" t="s">
        <v>34</v>
      </c>
      <c r="C250" t="s">
        <v>7</v>
      </c>
      <c r="D250">
        <f>(AVERAGE(per_seed!$H$62:$H$71)-AVERAGE(per_seed!$H$2:$H$11))/AVERAGE(per_seed!$H$2:$H$11)*100</f>
        <v>-8.2864219770322016</v>
      </c>
      <c r="E250">
        <v>-8.2864219770322016</v>
      </c>
    </row>
    <row r="251" spans="1:5">
      <c r="A251" t="s">
        <v>29</v>
      </c>
      <c r="B251" t="s">
        <v>34</v>
      </c>
      <c r="C251" t="s">
        <v>7</v>
      </c>
      <c r="D251">
        <f>_xlfn.T.TEST(per_seed!$H$2:$H$11,per_seed!$H$62:$H$71,2,1)</f>
        <v>3.2342677938277156E-6</v>
      </c>
      <c r="E251">
        <v>3.2342677938277181E-6</v>
      </c>
    </row>
    <row r="252" spans="1:5">
      <c r="A252" t="s">
        <v>27</v>
      </c>
      <c r="B252" t="s">
        <v>34</v>
      </c>
      <c r="C252" t="s">
        <v>8</v>
      </c>
      <c r="D252">
        <f>(AVERAGE(per_seed!$I$62:$I$71)-AVERAGE(per_seed!$I$2:$I$11))/AVERAGE(per_seed!$I$2:$I$11)*100</f>
        <v>-8.8130669902596654</v>
      </c>
      <c r="E252">
        <v>-8.8130669902596459</v>
      </c>
    </row>
    <row r="253" spans="1:5">
      <c r="A253" t="s">
        <v>29</v>
      </c>
      <c r="B253" t="s">
        <v>34</v>
      </c>
      <c r="C253" t="s">
        <v>8</v>
      </c>
      <c r="D253">
        <f>_xlfn.T.TEST(per_seed!$I$2:$I$11,per_seed!$I$62:$I$71,2,1)</f>
        <v>3.0419822994461849E-6</v>
      </c>
      <c r="E253">
        <v>3.0419822994462649E-6</v>
      </c>
    </row>
    <row r="254" spans="1:5">
      <c r="A254" t="s">
        <v>27</v>
      </c>
      <c r="B254" t="s">
        <v>34</v>
      </c>
      <c r="C254" t="s">
        <v>9</v>
      </c>
      <c r="D254">
        <f>(AVERAGE(per_seed!$J$62:$J$71)-AVERAGE(per_seed!$J$2:$J$11))/AVERAGE(per_seed!$J$2:$J$11)*100</f>
        <v>-0.64200178652819184</v>
      </c>
      <c r="E254">
        <v>-0.64200178652819184</v>
      </c>
    </row>
    <row r="255" spans="1:5">
      <c r="A255" t="s">
        <v>29</v>
      </c>
      <c r="B255" t="s">
        <v>34</v>
      </c>
      <c r="C255" t="s">
        <v>9</v>
      </c>
      <c r="D255">
        <f>_xlfn.T.TEST(per_seed!$J$2:$J$11,per_seed!$J$62:$J$71,2,1)</f>
        <v>0.45111491938477066</v>
      </c>
      <c r="E255">
        <v>0.451114919384769</v>
      </c>
    </row>
    <row r="256" spans="1:5">
      <c r="A256" t="s">
        <v>27</v>
      </c>
      <c r="B256" t="s">
        <v>34</v>
      </c>
      <c r="C256" t="s">
        <v>10</v>
      </c>
      <c r="D256">
        <f>(AVERAGE(per_seed!$K$62:$K$71)-AVERAGE(per_seed!$K$2:$K$11))/AVERAGE(per_seed!$K$2:$K$11)*100</f>
        <v>1.5389811376556686</v>
      </c>
      <c r="E256">
        <v>1.538981137655669</v>
      </c>
    </row>
    <row r="257" spans="1:5">
      <c r="A257" t="s">
        <v>29</v>
      </c>
      <c r="B257" t="s">
        <v>34</v>
      </c>
      <c r="C257" t="s">
        <v>10</v>
      </c>
      <c r="D257">
        <f>_xlfn.T.TEST(per_seed!$K$2:$K$11,per_seed!$K$62:$K$71,2,1)</f>
        <v>6.3420665391612702E-2</v>
      </c>
      <c r="E257">
        <v>6.3420665391609232E-2</v>
      </c>
    </row>
    <row r="258" spans="1:5">
      <c r="A258" t="s">
        <v>27</v>
      </c>
      <c r="B258" t="s">
        <v>34</v>
      </c>
      <c r="C258" t="s">
        <v>11</v>
      </c>
      <c r="D258">
        <f>(AVERAGE(per_seed!$L$62:$L$71)-AVERAGE(per_seed!$L$2:$L$11))/AVERAGE(per_seed!$L$2:$L$11)*100</f>
        <v>-1.9150843991660658</v>
      </c>
      <c r="E258">
        <v>-1.915084399166066</v>
      </c>
    </row>
    <row r="259" spans="1:5">
      <c r="A259" t="s">
        <v>29</v>
      </c>
      <c r="B259" t="s">
        <v>34</v>
      </c>
      <c r="C259" t="s">
        <v>11</v>
      </c>
      <c r="D259">
        <f>_xlfn.T.TEST(per_seed!$L$2:$L$11,per_seed!$L$62:$L$71,2,1)</f>
        <v>8.7869877894619655E-2</v>
      </c>
      <c r="E259">
        <v>8.7869877894618614E-2</v>
      </c>
    </row>
    <row r="260" spans="1:5">
      <c r="A260" t="s">
        <v>27</v>
      </c>
      <c r="B260" t="s">
        <v>34</v>
      </c>
      <c r="C260" t="s">
        <v>12</v>
      </c>
      <c r="D260">
        <f>(AVERAGE(per_seed!$M$62:$M$71)-AVERAGE(per_seed!$M$2:$M$11))/AVERAGE(per_seed!$M$2:$M$11)*100</f>
        <v>-7.3484062245170385</v>
      </c>
      <c r="E260">
        <v>-7.3484062245170279</v>
      </c>
    </row>
    <row r="261" spans="1:5">
      <c r="A261" t="s">
        <v>29</v>
      </c>
      <c r="B261" t="s">
        <v>34</v>
      </c>
      <c r="C261" t="s">
        <v>12</v>
      </c>
      <c r="D261">
        <f>_xlfn.T.TEST(per_seed!$M$2:$M$11,per_seed!$M$62:$M$71,2,1)</f>
        <v>2.2736329845838916E-2</v>
      </c>
      <c r="E261">
        <v>2.2736329845838749E-2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2026-09-17T07:00:28Z</dcterms:created>
  <dcterms:modified xsi:type="dcterms:W3CDTF">2026-09-17T07:00:31Z</dcterms:modified>
</cp:coreProperties>
</file>