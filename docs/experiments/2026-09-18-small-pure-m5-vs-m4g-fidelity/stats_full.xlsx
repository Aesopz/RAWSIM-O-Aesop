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8_small_pure_m5_vs_m4g_fidelity\"/>
    </mc:Choice>
  </mc:AlternateContent>
  <xr:revisionPtr revIDLastSave="0" documentId="13_ncr:1_{C3D71683-77C2-4E73-A9F7-54CFC1EFF72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1" i="2" l="1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<sst xmlns="http://schemas.openxmlformats.org/spreadsheetml/2006/main" count="798" uniqueCount="34">
  <si>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</si>
  <si>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</si>
  <si>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</si>
  <si>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</si>
  <si>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</si>
  <si>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</si>
  <si>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</si>
  <si>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</si>
  <si>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</si>
  <si>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</si>
  <si>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</si>
  <si>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</si>
  <si>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</si>
  <si>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m4g_6b</t>
  </si>
  <si>
    <t>m5_pure_6b</t>
  </si>
  <si>
    <t>m4g_10b</t>
  </si>
  <si>
    <t>m5_pure_10b</t>
  </si>
  <si>
    <t>m1g_6b</t>
  </si>
  <si>
    <t>m1g_10b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</si>
  <si>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</si>
  <si>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</si>
  <si>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</si>
  <si>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</si>
  <si>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</si>
  <si>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</si>
  <si>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</si>
  <si>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</si>
  <si>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m5_pure_6b vs m4g_6b</t>
  </si>
  <si>
    <t>p</t>
  </si>
  <si>
    <t>m5_pure_10b vs m4g_10b</t>
  </si>
  <si>
    <t>m5_pure_6b vs m1g_6b</t>
  </si>
  <si>
    <t>m4g_6b vs m1g_6b</t>
  </si>
  <si>
    <t>m5_pure_10b vs m1g_10b</t>
  </si>
  <si>
    <t>m4g_10b vs m1g_10b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</si>
</sst>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1418</v>
      </c>
      <c r="E12">
        <v>930</v>
      </c>
      <c r="F12">
        <v>615</v>
      </c>
      <c r="G12">
        <v>5.9134615384615383</v>
      </c>
      <c r="H12">
        <v>104</v>
      </c>
      <c r="I12">
        <v>0.16910569105691059</v>
      </c>
      <c r="J12">
        <v>9.6634408602150756</v>
      </c>
      <c r="K12">
        <v>1.1574935588700701</v>
      </c>
      <c r="L12">
        <v>825.82222221865504</v>
      </c>
      <c r="M12">
        <v>1.594753086566965</v>
      </c>
    </row>
    <row r="13" spans="1:13">
      <c r="A13" t="s">
        <v>14</v>
      </c>
      <c r="B13">
        <v>6</v>
      </c>
      <c r="C13">
        <v>1</v>
      </c>
      <c r="D13">
        <v>1429</v>
      </c>
      <c r="E13">
        <v>921</v>
      </c>
      <c r="F13">
        <v>580</v>
      </c>
      <c r="G13">
        <v>5.858585858585859</v>
      </c>
      <c r="H13">
        <v>99</v>
      </c>
      <c r="I13">
        <v>0.1706896551724138</v>
      </c>
      <c r="J13">
        <v>9.3444127759508913</v>
      </c>
      <c r="K13">
        <v>1.1677156688888599</v>
      </c>
      <c r="L13">
        <v>952.84444444988401</v>
      </c>
      <c r="M13">
        <v>0.84691358039423126</v>
      </c>
    </row>
    <row r="14" spans="1:13">
      <c r="A14" t="s">
        <v>14</v>
      </c>
      <c r="B14">
        <v>6</v>
      </c>
      <c r="C14">
        <v>2</v>
      </c>
      <c r="D14">
        <v>1425</v>
      </c>
      <c r="E14">
        <v>947</v>
      </c>
      <c r="F14">
        <v>595</v>
      </c>
      <c r="G14">
        <v>6.0714285714285712</v>
      </c>
      <c r="H14">
        <v>98</v>
      </c>
      <c r="I14">
        <v>0.1647058823529412</v>
      </c>
      <c r="J14">
        <v>9.3484204464682783</v>
      </c>
      <c r="K14">
        <v>1.1686827567774101</v>
      </c>
      <c r="L14">
        <v>908.13333333870196</v>
      </c>
      <c r="M14">
        <v>1.1092592594064741</v>
      </c>
    </row>
    <row r="15" spans="1:13">
      <c r="A15" t="s">
        <v>14</v>
      </c>
      <c r="B15">
        <v>6</v>
      </c>
      <c r="C15">
        <v>3</v>
      </c>
      <c r="D15">
        <v>1423</v>
      </c>
      <c r="E15">
        <v>935</v>
      </c>
      <c r="F15">
        <v>601</v>
      </c>
      <c r="G15">
        <v>5.8349514563106792</v>
      </c>
      <c r="H15">
        <v>103</v>
      </c>
      <c r="I15">
        <v>0.17138103161397669</v>
      </c>
      <c r="J15">
        <v>9.1347310316914427</v>
      </c>
      <c r="K15">
        <v>1.1278838842677299</v>
      </c>
      <c r="L15">
        <v>921.37777778322504</v>
      </c>
      <c r="M15">
        <v>1.280864197678282</v>
      </c>
    </row>
    <row r="16" spans="1:13">
      <c r="A16" t="s">
        <v>14</v>
      </c>
      <c r="B16">
        <v>6</v>
      </c>
      <c r="C16">
        <v>4</v>
      </c>
      <c r="D16">
        <v>1416</v>
      </c>
      <c r="E16">
        <v>924</v>
      </c>
      <c r="F16">
        <v>582</v>
      </c>
      <c r="G16">
        <v>5.9387755102040813</v>
      </c>
      <c r="H16">
        <v>98</v>
      </c>
      <c r="I16">
        <v>0.1683848797250859</v>
      </c>
      <c r="J16">
        <v>9.1979024454020024</v>
      </c>
      <c r="K16">
        <v>1.15561835468114</v>
      </c>
      <c r="L16">
        <v>802.75555555208803</v>
      </c>
      <c r="M16">
        <v>1.7750000001474651</v>
      </c>
    </row>
    <row r="17" spans="1:13">
      <c r="A17" t="s">
        <v>14</v>
      </c>
      <c r="B17">
        <v>6</v>
      </c>
      <c r="C17">
        <v>5</v>
      </c>
      <c r="D17">
        <v>1413</v>
      </c>
      <c r="E17">
        <v>928</v>
      </c>
      <c r="F17">
        <v>597</v>
      </c>
      <c r="G17">
        <v>5.6857142857142859</v>
      </c>
      <c r="H17">
        <v>105</v>
      </c>
      <c r="I17">
        <v>0.17587939698492461</v>
      </c>
      <c r="J17">
        <v>9.9815418462472536</v>
      </c>
      <c r="K17">
        <v>1.2163166275970401</v>
      </c>
      <c r="L17">
        <v>964.84444444353801</v>
      </c>
      <c r="M17">
        <v>1.9339506174311261</v>
      </c>
    </row>
    <row r="18" spans="1:13">
      <c r="A18" t="s">
        <v>14</v>
      </c>
      <c r="B18">
        <v>6</v>
      </c>
      <c r="C18">
        <v>6</v>
      </c>
      <c r="D18">
        <v>1423</v>
      </c>
      <c r="E18">
        <v>925</v>
      </c>
      <c r="F18">
        <v>579</v>
      </c>
      <c r="G18">
        <v>5.79</v>
      </c>
      <c r="H18">
        <v>100</v>
      </c>
      <c r="I18">
        <v>0.17271157167530221</v>
      </c>
      <c r="J18">
        <v>9.6010641349607138</v>
      </c>
      <c r="K18">
        <v>1.2149651639374599</v>
      </c>
      <c r="L18">
        <v>975.11111111687603</v>
      </c>
      <c r="M18">
        <v>1.251543210023784</v>
      </c>
    </row>
    <row r="19" spans="1:13">
      <c r="A19" t="s">
        <v>14</v>
      </c>
      <c r="B19">
        <v>6</v>
      </c>
      <c r="C19">
        <v>7</v>
      </c>
      <c r="D19">
        <v>1425</v>
      </c>
      <c r="E19">
        <v>938</v>
      </c>
      <c r="F19">
        <v>603</v>
      </c>
      <c r="G19">
        <v>6.0909090909090908</v>
      </c>
      <c r="H19">
        <v>99</v>
      </c>
      <c r="I19">
        <v>0.16417910447761189</v>
      </c>
      <c r="J19">
        <v>9.2515991471215671</v>
      </c>
      <c r="K19">
        <v>1.1269647917335599</v>
      </c>
      <c r="L19">
        <v>916.88888888492795</v>
      </c>
      <c r="M19">
        <v>1.126543210023869</v>
      </c>
    </row>
    <row r="20" spans="1:13">
      <c r="A20" t="s">
        <v>14</v>
      </c>
      <c r="B20">
        <v>6</v>
      </c>
      <c r="C20">
        <v>8</v>
      </c>
      <c r="D20">
        <v>1421</v>
      </c>
      <c r="E20">
        <v>940</v>
      </c>
      <c r="F20">
        <v>593</v>
      </c>
      <c r="G20">
        <v>5.8712871287128712</v>
      </c>
      <c r="H20">
        <v>101</v>
      </c>
      <c r="I20">
        <v>0.1703204047217538</v>
      </c>
      <c r="J20">
        <v>9.1702790541939141</v>
      </c>
      <c r="K20">
        <v>1.15147617264563</v>
      </c>
      <c r="L20">
        <v>790.22222222623702</v>
      </c>
      <c r="M20">
        <v>1.425925926073381</v>
      </c>
    </row>
    <row r="21" spans="1:13">
      <c r="A21" t="s">
        <v>14</v>
      </c>
      <c r="B21">
        <v>6</v>
      </c>
      <c r="C21">
        <v>9</v>
      </c>
      <c r="D21">
        <v>1418</v>
      </c>
      <c r="E21">
        <v>921</v>
      </c>
      <c r="F21">
        <v>585</v>
      </c>
      <c r="G21">
        <v>5.6796116504854366</v>
      </c>
      <c r="H21">
        <v>103</v>
      </c>
      <c r="I21">
        <v>0.17606837606837611</v>
      </c>
      <c r="J21">
        <v>9.2976086153285014</v>
      </c>
      <c r="K21">
        <v>1.16088649666816</v>
      </c>
      <c r="L21">
        <v>848.88888888555505</v>
      </c>
      <c r="M21">
        <v>1.5891975310113819</v>
      </c>
    </row>
    <row r="22" spans="1:13">
      <c r="A22" t="s">
        <v>15</v>
      </c>
      <c r="B22">
        <v>10</v>
      </c>
      <c r="C22">
        <v>0</v>
      </c>
      <c r="D22">
        <v>1424</v>
      </c>
      <c r="E22">
        <v>944</v>
      </c>
      <c r="F22">
        <v>620</v>
      </c>
      <c r="G22">
        <v>5.081967213114754</v>
      </c>
      <c r="H22">
        <v>122</v>
      </c>
      <c r="I22">
        <v>0.1967741935483871</v>
      </c>
      <c r="J22">
        <v>10.591101694915301</v>
      </c>
      <c r="K22">
        <v>1.29946112931366</v>
      </c>
      <c r="L22">
        <v>795.73333332989603</v>
      </c>
      <c r="M22">
        <v>1.188888889036176</v>
      </c>
    </row>
    <row r="23" spans="1:13">
      <c r="A23" t="s">
        <v>15</v>
      </c>
      <c r="B23">
        <v>10</v>
      </c>
      <c r="C23">
        <v>1</v>
      </c>
      <c r="D23">
        <v>1430</v>
      </c>
      <c r="E23">
        <v>935</v>
      </c>
      <c r="F23">
        <v>584</v>
      </c>
      <c r="G23">
        <v>4.9075630252100844</v>
      </c>
      <c r="H23">
        <v>119</v>
      </c>
      <c r="I23">
        <v>0.20376712328767119</v>
      </c>
      <c r="J23">
        <v>10.34438502673801</v>
      </c>
      <c r="K23">
        <v>1.3347944831168801</v>
      </c>
      <c r="L23">
        <v>833.77777777938104</v>
      </c>
      <c r="M23">
        <v>0.71820987669017078</v>
      </c>
    </row>
    <row r="24" spans="1:13">
      <c r="A24" t="s">
        <v>15</v>
      </c>
      <c r="B24">
        <v>10</v>
      </c>
      <c r="C24">
        <v>2</v>
      </c>
      <c r="D24">
        <v>1430</v>
      </c>
      <c r="E24">
        <v>987</v>
      </c>
      <c r="F24">
        <v>617</v>
      </c>
      <c r="G24">
        <v>5.0991735537190079</v>
      </c>
      <c r="H24">
        <v>121</v>
      </c>
      <c r="I24">
        <v>0.19611021069692061</v>
      </c>
      <c r="J24">
        <v>10.13779128672746</v>
      </c>
      <c r="K24">
        <v>1.3103632125460101</v>
      </c>
      <c r="L24">
        <v>762.40000000450698</v>
      </c>
      <c r="M24">
        <v>0.73271604952975911</v>
      </c>
    </row>
    <row r="25" spans="1:13">
      <c r="A25" t="s">
        <v>15</v>
      </c>
      <c r="B25">
        <v>10</v>
      </c>
      <c r="C25">
        <v>3</v>
      </c>
      <c r="D25">
        <v>1428</v>
      </c>
      <c r="E25">
        <v>940</v>
      </c>
      <c r="F25">
        <v>607</v>
      </c>
      <c r="G25">
        <v>5.1880341880341883</v>
      </c>
      <c r="H25">
        <v>117</v>
      </c>
      <c r="I25">
        <v>0.1927512355848435</v>
      </c>
      <c r="J25">
        <v>10.42021276595751</v>
      </c>
      <c r="K25">
        <v>1.31301350242091</v>
      </c>
      <c r="L25">
        <v>766.48888889342004</v>
      </c>
      <c r="M25">
        <v>0.88580246928293405</v>
      </c>
    </row>
    <row r="26" spans="1:13">
      <c r="A26" t="s">
        <v>15</v>
      </c>
      <c r="B26">
        <v>10</v>
      </c>
      <c r="C26">
        <v>4</v>
      </c>
      <c r="D26">
        <v>1431</v>
      </c>
      <c r="E26">
        <v>950</v>
      </c>
      <c r="F26">
        <v>597</v>
      </c>
      <c r="G26">
        <v>5.0168067226890756</v>
      </c>
      <c r="H26">
        <v>119</v>
      </c>
      <c r="I26">
        <v>0.19932998324958121</v>
      </c>
      <c r="J26">
        <v>10.676155323210949</v>
      </c>
      <c r="K26">
        <v>1.3667976693759201</v>
      </c>
      <c r="L26">
        <v>772.00000000456396</v>
      </c>
      <c r="M26">
        <v>0.70154321002381459</v>
      </c>
    </row>
    <row r="27" spans="1:13">
      <c r="A27" t="s">
        <v>15</v>
      </c>
      <c r="B27">
        <v>10</v>
      </c>
      <c r="C27">
        <v>5</v>
      </c>
      <c r="D27">
        <v>1430</v>
      </c>
      <c r="E27">
        <v>953</v>
      </c>
      <c r="F27">
        <v>600</v>
      </c>
      <c r="G27">
        <v>4.8780487804878048</v>
      </c>
      <c r="H27">
        <v>123</v>
      </c>
      <c r="I27">
        <v>0.20499999999999999</v>
      </c>
      <c r="J27">
        <v>10.73377750814816</v>
      </c>
      <c r="K27">
        <v>1.3544387784605201</v>
      </c>
      <c r="L27">
        <v>781.99999999687202</v>
      </c>
      <c r="M27">
        <v>0.81388888903642154</v>
      </c>
    </row>
    <row r="28" spans="1:13">
      <c r="A28" t="s">
        <v>15</v>
      </c>
      <c r="B28">
        <v>10</v>
      </c>
      <c r="C28">
        <v>6</v>
      </c>
      <c r="D28">
        <v>1428</v>
      </c>
      <c r="E28">
        <v>966</v>
      </c>
      <c r="F28">
        <v>606</v>
      </c>
      <c r="G28">
        <v>5.1794871794871797</v>
      </c>
      <c r="H28">
        <v>117</v>
      </c>
      <c r="I28">
        <v>0.1930693069306931</v>
      </c>
      <c r="J28">
        <v>10.004140786749529</v>
      </c>
      <c r="K28">
        <v>1.2918463715397599</v>
      </c>
      <c r="L28">
        <v>772.04444444455703</v>
      </c>
      <c r="M28">
        <v>0.9370370371844674</v>
      </c>
    </row>
    <row r="29" spans="1:13">
      <c r="A29" t="s">
        <v>15</v>
      </c>
      <c r="B29">
        <v>10</v>
      </c>
      <c r="C29">
        <v>7</v>
      </c>
      <c r="D29">
        <v>1431</v>
      </c>
      <c r="E29">
        <v>958</v>
      </c>
      <c r="F29">
        <v>611</v>
      </c>
      <c r="G29">
        <v>5.3596491228070171</v>
      </c>
      <c r="H29">
        <v>114</v>
      </c>
      <c r="I29">
        <v>0.18657937806873981</v>
      </c>
      <c r="J29">
        <v>9.9624204070976212</v>
      </c>
      <c r="K29">
        <v>1.2660103568502099</v>
      </c>
      <c r="L29">
        <v>879.73333333853395</v>
      </c>
      <c r="M29">
        <v>0.70493827175223189</v>
      </c>
    </row>
    <row r="30" spans="1:13">
      <c r="A30" t="s">
        <v>15</v>
      </c>
      <c r="B30">
        <v>10</v>
      </c>
      <c r="C30">
        <v>8</v>
      </c>
      <c r="D30">
        <v>1429</v>
      </c>
      <c r="E30">
        <v>958</v>
      </c>
      <c r="F30">
        <v>601</v>
      </c>
      <c r="G30">
        <v>5.2260869565217387</v>
      </c>
      <c r="H30">
        <v>115</v>
      </c>
      <c r="I30">
        <v>0.1913477537437604</v>
      </c>
      <c r="J30">
        <v>10.174321503131569</v>
      </c>
      <c r="K30">
        <v>1.3178763564051901</v>
      </c>
      <c r="L30">
        <v>741.77777778216296</v>
      </c>
      <c r="M30">
        <v>0.87839506187589045</v>
      </c>
    </row>
    <row r="31" spans="1:13">
      <c r="A31" t="s">
        <v>15</v>
      </c>
      <c r="B31">
        <v>10</v>
      </c>
      <c r="C31">
        <v>9</v>
      </c>
      <c r="D31">
        <v>1426</v>
      </c>
      <c r="E31">
        <v>931</v>
      </c>
      <c r="F31">
        <v>592</v>
      </c>
      <c r="G31">
        <v>5.2389380530973453</v>
      </c>
      <c r="H31">
        <v>113</v>
      </c>
      <c r="I31">
        <v>0.1908783783783784</v>
      </c>
      <c r="J31">
        <v>10.459717656914499</v>
      </c>
      <c r="K31">
        <v>1.31724954228765</v>
      </c>
      <c r="L31">
        <v>771.82222222678502</v>
      </c>
      <c r="M31">
        <v>0.99598765446795334</v>
      </c>
    </row>
    <row r="32" spans="1:13">
      <c r="A32" t="s">
        <v>16</v>
      </c>
      <c r="B32">
        <v>10</v>
      </c>
      <c r="C32">
        <v>0</v>
      </c>
      <c r="D32">
        <v>1429</v>
      </c>
      <c r="E32">
        <v>928</v>
      </c>
      <c r="F32">
        <v>592</v>
      </c>
      <c r="G32">
        <v>5.431192660550459</v>
      </c>
      <c r="H32">
        <v>109</v>
      </c>
      <c r="I32">
        <v>0.1841216216216216</v>
      </c>
      <c r="J32">
        <v>10.90301724137931</v>
      </c>
      <c r="K32">
        <v>1.3577859832707899</v>
      </c>
      <c r="L32">
        <v>822.00000000485898</v>
      </c>
      <c r="M32">
        <v>0.87962962977713888</v>
      </c>
    </row>
    <row r="33" spans="1:13">
      <c r="A33" t="s">
        <v>16</v>
      </c>
      <c r="B33">
        <v>10</v>
      </c>
      <c r="C33">
        <v>1</v>
      </c>
      <c r="D33">
        <v>1429</v>
      </c>
      <c r="E33">
        <v>923</v>
      </c>
      <c r="F33">
        <v>575</v>
      </c>
      <c r="G33">
        <v>5.75</v>
      </c>
      <c r="H33">
        <v>100</v>
      </c>
      <c r="I33">
        <v>0.17391304347826089</v>
      </c>
      <c r="J33">
        <v>10.189987397649761</v>
      </c>
      <c r="K33">
        <v>1.2935388160363599</v>
      </c>
      <c r="L33">
        <v>1029.8222222225399</v>
      </c>
      <c r="M33">
        <v>0.83549382730774036</v>
      </c>
    </row>
    <row r="34" spans="1:13">
      <c r="A34" t="s">
        <v>16</v>
      </c>
      <c r="B34">
        <v>10</v>
      </c>
      <c r="C34">
        <v>2</v>
      </c>
      <c r="D34">
        <v>1429</v>
      </c>
      <c r="E34">
        <v>967</v>
      </c>
      <c r="F34">
        <v>617</v>
      </c>
      <c r="G34">
        <v>5.8761904761904766</v>
      </c>
      <c r="H34">
        <v>105</v>
      </c>
      <c r="I34">
        <v>0.17017828200972451</v>
      </c>
      <c r="J34">
        <v>9.9120992761117357</v>
      </c>
      <c r="K34">
        <v>1.2312442462314599</v>
      </c>
      <c r="L34">
        <v>923.51111111160606</v>
      </c>
      <c r="M34">
        <v>0.8487654322460938</v>
      </c>
    </row>
    <row r="35" spans="1:13">
      <c r="A35" t="s">
        <v>16</v>
      </c>
      <c r="B35">
        <v>10</v>
      </c>
      <c r="C35">
        <v>3</v>
      </c>
      <c r="D35">
        <v>1429</v>
      </c>
      <c r="E35">
        <v>944</v>
      </c>
      <c r="F35">
        <v>598</v>
      </c>
      <c r="G35">
        <v>5.6415094339622636</v>
      </c>
      <c r="H35">
        <v>106</v>
      </c>
      <c r="I35">
        <v>0.17725752508361201</v>
      </c>
      <c r="J35">
        <v>10.40663234901106</v>
      </c>
      <c r="K35">
        <v>1.30333467656674</v>
      </c>
      <c r="L35">
        <v>946.800000000252</v>
      </c>
      <c r="M35">
        <v>0.86820987669064786</v>
      </c>
    </row>
    <row r="36" spans="1:13">
      <c r="A36" t="s">
        <v>16</v>
      </c>
      <c r="B36">
        <v>10</v>
      </c>
      <c r="C36">
        <v>4</v>
      </c>
      <c r="D36">
        <v>1428</v>
      </c>
      <c r="E36">
        <v>932</v>
      </c>
      <c r="F36">
        <v>583</v>
      </c>
      <c r="G36">
        <v>5.715686274509804</v>
      </c>
      <c r="H36">
        <v>102</v>
      </c>
      <c r="I36">
        <v>0.17495711835334479</v>
      </c>
      <c r="J36">
        <v>10.118025751073009</v>
      </c>
      <c r="K36">
        <v>1.28230973260544</v>
      </c>
      <c r="L36">
        <v>916.66666666270703</v>
      </c>
      <c r="M36">
        <v>0.86697530878899576</v>
      </c>
    </row>
    <row r="37" spans="1:13">
      <c r="A37" t="s">
        <v>16</v>
      </c>
      <c r="B37">
        <v>10</v>
      </c>
      <c r="C37">
        <v>5</v>
      </c>
      <c r="D37">
        <v>1428</v>
      </c>
      <c r="E37">
        <v>939</v>
      </c>
      <c r="F37">
        <v>598</v>
      </c>
      <c r="G37">
        <v>5.5370370370370372</v>
      </c>
      <c r="H37">
        <v>108</v>
      </c>
      <c r="I37">
        <v>0.1806020066889632</v>
      </c>
      <c r="J37">
        <v>10.51331203407886</v>
      </c>
      <c r="K37">
        <v>1.2913490973158399</v>
      </c>
      <c r="L37">
        <v>886.00000000234797</v>
      </c>
      <c r="M37">
        <v>0.89598765446817996</v>
      </c>
    </row>
    <row r="38" spans="1:13">
      <c r="A38" t="s">
        <v>16</v>
      </c>
      <c r="B38">
        <v>10</v>
      </c>
      <c r="C38">
        <v>6</v>
      </c>
      <c r="D38">
        <v>1428</v>
      </c>
      <c r="E38">
        <v>933</v>
      </c>
      <c r="F38">
        <v>582</v>
      </c>
      <c r="G38">
        <v>5.4392523364485994</v>
      </c>
      <c r="H38">
        <v>107</v>
      </c>
      <c r="I38">
        <v>0.18384879725085909</v>
      </c>
      <c r="J38">
        <v>10.16676385330171</v>
      </c>
      <c r="K38">
        <v>1.2953192383692</v>
      </c>
      <c r="L38">
        <v>1024.88888889495</v>
      </c>
      <c r="M38">
        <v>0.89197530878914177</v>
      </c>
    </row>
    <row r="39" spans="1:13">
      <c r="A39" t="s">
        <v>16</v>
      </c>
      <c r="B39">
        <v>10</v>
      </c>
      <c r="C39">
        <v>7</v>
      </c>
      <c r="D39">
        <v>1428</v>
      </c>
      <c r="E39">
        <v>943</v>
      </c>
      <c r="F39">
        <v>611</v>
      </c>
      <c r="G39">
        <v>5.875</v>
      </c>
      <c r="H39">
        <v>104</v>
      </c>
      <c r="I39">
        <v>0.1702127659574468</v>
      </c>
      <c r="J39">
        <v>9.9434657053274744</v>
      </c>
      <c r="K39">
        <v>1.2216571136950001</v>
      </c>
      <c r="L39">
        <v>762.13333333393996</v>
      </c>
      <c r="M39">
        <v>0.8950617285422473</v>
      </c>
    </row>
    <row r="40" spans="1:13">
      <c r="A40" t="s">
        <v>16</v>
      </c>
      <c r="B40">
        <v>10</v>
      </c>
      <c r="C40">
        <v>8</v>
      </c>
      <c r="D40">
        <v>1429</v>
      </c>
      <c r="E40">
        <v>943</v>
      </c>
      <c r="F40">
        <v>591</v>
      </c>
      <c r="G40">
        <v>5.628571428571429</v>
      </c>
      <c r="H40">
        <v>105</v>
      </c>
      <c r="I40">
        <v>0.17766497461928929</v>
      </c>
      <c r="J40">
        <v>10.363783175735939</v>
      </c>
      <c r="K40">
        <v>1.30298992422393</v>
      </c>
      <c r="L40">
        <v>834.66666666733101</v>
      </c>
      <c r="M40">
        <v>0.84753086434484859</v>
      </c>
    </row>
    <row r="41" spans="1:13">
      <c r="A41" t="s">
        <v>16</v>
      </c>
      <c r="B41">
        <v>10</v>
      </c>
      <c r="C41">
        <v>9</v>
      </c>
      <c r="D41">
        <v>1429</v>
      </c>
      <c r="E41">
        <v>927</v>
      </c>
      <c r="F41">
        <v>592</v>
      </c>
      <c r="G41">
        <v>5.92</v>
      </c>
      <c r="H41">
        <v>100</v>
      </c>
      <c r="I41">
        <v>0.16891891891891889</v>
      </c>
      <c r="J41">
        <v>10.05830243165309</v>
      </c>
      <c r="K41">
        <v>1.2292202047724601</v>
      </c>
      <c r="L41">
        <v>875.20000000000198</v>
      </c>
      <c r="M41">
        <v>0.83672839520897857</v>
      </c>
    </row>
    <row r="42" spans="1:13">
      <c r="A42" t="s">
        <v>17</v>
      </c>
      <c r="B42">
        <v>6</v>
      </c>
      <c r="C42">
        <v>0</v>
      </c>
      <c r="D42">
        <v>1224</v>
      </c>
      <c r="E42">
        <v>788</v>
      </c>
      <c r="F42">
        <v>578</v>
      </c>
      <c r="G42">
        <v>3.2655367231638421</v>
      </c>
      <c r="H42">
        <v>177</v>
      </c>
      <c r="I42">
        <v>0.30622837370242212</v>
      </c>
      <c r="J42">
        <v>14.69670050761421</v>
      </c>
      <c r="K42">
        <v>1.64242936099588</v>
      </c>
      <c r="L42">
        <v>321.46666666692198</v>
      </c>
      <c r="M42">
        <v>15.057716049456459</v>
      </c>
    </row>
    <row r="43" spans="1:13">
      <c r="A43" t="s">
        <v>17</v>
      </c>
      <c r="B43">
        <v>6</v>
      </c>
      <c r="C43">
        <v>1</v>
      </c>
      <c r="D43">
        <v>1263</v>
      </c>
      <c r="E43">
        <v>813</v>
      </c>
      <c r="F43">
        <v>564</v>
      </c>
      <c r="G43">
        <v>3.279069767441861</v>
      </c>
      <c r="H43">
        <v>172</v>
      </c>
      <c r="I43">
        <v>0.30496453900709219</v>
      </c>
      <c r="J43">
        <v>14.49077490774908</v>
      </c>
      <c r="K43">
        <v>1.70701758748049</v>
      </c>
      <c r="L43">
        <v>341.86666666665502</v>
      </c>
      <c r="M43">
        <v>12.412037037184559</v>
      </c>
    </row>
    <row r="44" spans="1:13">
      <c r="A44" t="s">
        <v>17</v>
      </c>
      <c r="B44">
        <v>6</v>
      </c>
      <c r="C44">
        <v>2</v>
      </c>
      <c r="D44">
        <v>1244</v>
      </c>
      <c r="E44">
        <v>833</v>
      </c>
      <c r="F44">
        <v>587</v>
      </c>
      <c r="G44">
        <v>3.243093922651934</v>
      </c>
      <c r="H44">
        <v>181</v>
      </c>
      <c r="I44">
        <v>0.30834752981260649</v>
      </c>
      <c r="J44">
        <v>15.087635054021611</v>
      </c>
      <c r="K44">
        <v>1.7439230310848199</v>
      </c>
      <c r="L44">
        <v>340.62222222249301</v>
      </c>
      <c r="M44">
        <v>13.62345679019694</v>
      </c>
    </row>
    <row r="45" spans="1:13">
      <c r="A45" t="s">
        <v>17</v>
      </c>
      <c r="B45">
        <v>6</v>
      </c>
      <c r="C45">
        <v>3</v>
      </c>
      <c r="D45">
        <v>1239</v>
      </c>
      <c r="E45">
        <v>808</v>
      </c>
      <c r="F45">
        <v>576</v>
      </c>
      <c r="G45">
        <v>3.2727272727272729</v>
      </c>
      <c r="H45">
        <v>176</v>
      </c>
      <c r="I45">
        <v>0.30555555555555558</v>
      </c>
      <c r="J45">
        <v>14.68968623464777</v>
      </c>
      <c r="K45">
        <v>1.69337299560711</v>
      </c>
      <c r="L45">
        <v>338.31111110965003</v>
      </c>
      <c r="M45">
        <v>13.985185185258761</v>
      </c>
    </row>
    <row r="46" spans="1:13">
      <c r="A46" t="s">
        <v>17</v>
      </c>
      <c r="B46">
        <v>6</v>
      </c>
      <c r="C46">
        <v>4</v>
      </c>
      <c r="D46">
        <v>1222</v>
      </c>
      <c r="E46">
        <v>787</v>
      </c>
      <c r="F46">
        <v>569</v>
      </c>
      <c r="G46">
        <v>3.2146892655367232</v>
      </c>
      <c r="H46">
        <v>177</v>
      </c>
      <c r="I46">
        <v>0.31107205623901579</v>
      </c>
      <c r="J46">
        <v>14.962433996881449</v>
      </c>
      <c r="K46">
        <v>1.6935606721330201</v>
      </c>
      <c r="L46">
        <v>322.04444444305301</v>
      </c>
      <c r="M46">
        <v>15.1802469136539</v>
      </c>
    </row>
    <row r="47" spans="1:13">
      <c r="A47" t="s">
        <v>17</v>
      </c>
      <c r="B47">
        <v>6</v>
      </c>
      <c r="C47">
        <v>5</v>
      </c>
      <c r="D47">
        <v>1280</v>
      </c>
      <c r="E47">
        <v>820</v>
      </c>
      <c r="F47">
        <v>585</v>
      </c>
      <c r="G47">
        <v>3.362068965517242</v>
      </c>
      <c r="H47">
        <v>174</v>
      </c>
      <c r="I47">
        <v>0.29743589743589738</v>
      </c>
      <c r="J47">
        <v>15.264476244873171</v>
      </c>
      <c r="K47">
        <v>1.72494127526053</v>
      </c>
      <c r="L47">
        <v>321.28888888895801</v>
      </c>
      <c r="M47">
        <v>11.13734567915934</v>
      </c>
    </row>
    <row r="48" spans="1:13">
      <c r="A48" t="s">
        <v>17</v>
      </c>
      <c r="B48">
        <v>6</v>
      </c>
      <c r="C48">
        <v>6</v>
      </c>
      <c r="D48">
        <v>1196</v>
      </c>
      <c r="E48">
        <v>773</v>
      </c>
      <c r="F48">
        <v>542</v>
      </c>
      <c r="G48">
        <v>3.1511627906976738</v>
      </c>
      <c r="H48">
        <v>172</v>
      </c>
      <c r="I48">
        <v>0.31734317343173429</v>
      </c>
      <c r="J48">
        <v>15.293245417213971</v>
      </c>
      <c r="K48">
        <v>1.75458335800288</v>
      </c>
      <c r="L48">
        <v>314.44444444469502</v>
      </c>
      <c r="M48">
        <v>16.969135802542709</v>
      </c>
    </row>
    <row r="49" spans="1:13">
      <c r="A49" t="s">
        <v>17</v>
      </c>
      <c r="B49">
        <v>6</v>
      </c>
      <c r="C49">
        <v>7</v>
      </c>
      <c r="D49">
        <v>1275</v>
      </c>
      <c r="E49">
        <v>840</v>
      </c>
      <c r="F49">
        <v>603</v>
      </c>
      <c r="G49">
        <v>3.387640449438202</v>
      </c>
      <c r="H49">
        <v>178</v>
      </c>
      <c r="I49">
        <v>0.29519071310116091</v>
      </c>
      <c r="J49">
        <v>14.517857142857141</v>
      </c>
      <c r="K49">
        <v>1.6245744242684299</v>
      </c>
      <c r="L49">
        <v>312.13333333517897</v>
      </c>
      <c r="M49">
        <v>11.515432098912591</v>
      </c>
    </row>
    <row r="50" spans="1:13">
      <c r="A50" t="s">
        <v>17</v>
      </c>
      <c r="B50">
        <v>6</v>
      </c>
      <c r="C50">
        <v>8</v>
      </c>
      <c r="D50">
        <v>1251</v>
      </c>
      <c r="E50">
        <v>820</v>
      </c>
      <c r="F50">
        <v>585</v>
      </c>
      <c r="G50">
        <v>3.2681564245810062</v>
      </c>
      <c r="H50">
        <v>179</v>
      </c>
      <c r="I50">
        <v>0.30598290598290601</v>
      </c>
      <c r="J50">
        <v>14.557021045022189</v>
      </c>
      <c r="K50">
        <v>1.6542766530206101</v>
      </c>
      <c r="L50">
        <v>304.04444444624198</v>
      </c>
      <c r="M50">
        <v>13.19475308656695</v>
      </c>
    </row>
    <row r="51" spans="1:13">
      <c r="A51" t="s">
        <v>17</v>
      </c>
      <c r="B51">
        <v>6</v>
      </c>
      <c r="C51">
        <v>9</v>
      </c>
      <c r="D51">
        <v>1229</v>
      </c>
      <c r="E51">
        <v>787</v>
      </c>
      <c r="F51">
        <v>560</v>
      </c>
      <c r="G51">
        <v>3.1638418079096051</v>
      </c>
      <c r="H51">
        <v>177</v>
      </c>
      <c r="I51">
        <v>0.31607142857142861</v>
      </c>
      <c r="J51">
        <v>15.036848792884371</v>
      </c>
      <c r="K51">
        <v>1.7195392349684999</v>
      </c>
      <c r="L51">
        <v>328.66666666860999</v>
      </c>
      <c r="M51">
        <v>14.69814814829528</v>
      </c>
    </row>
    <row r="52" spans="1:13">
      <c r="A52" t="s">
        <v>18</v>
      </c>
      <c r="B52">
        <v>10</v>
      </c>
      <c r="C52">
        <v>0</v>
      </c>
      <c r="D52">
        <v>1421</v>
      </c>
      <c r="E52">
        <v>912</v>
      </c>
      <c r="F52">
        <v>656</v>
      </c>
      <c r="G52">
        <v>2.9818181818181819</v>
      </c>
      <c r="H52">
        <v>220</v>
      </c>
      <c r="I52">
        <v>0.33536585365853661</v>
      </c>
      <c r="J52">
        <v>16.99577365846557</v>
      </c>
      <c r="K52">
        <v>1.94116153467863</v>
      </c>
      <c r="L52">
        <v>352.84444444338999</v>
      </c>
      <c r="M52">
        <v>1.383024691505224</v>
      </c>
    </row>
    <row r="53" spans="1:13">
      <c r="A53" t="s">
        <v>18</v>
      </c>
      <c r="B53">
        <v>10</v>
      </c>
      <c r="C53">
        <v>1</v>
      </c>
      <c r="D53">
        <v>1428</v>
      </c>
      <c r="E53">
        <v>907</v>
      </c>
      <c r="F53">
        <v>629</v>
      </c>
      <c r="G53">
        <v>3.083333333333333</v>
      </c>
      <c r="H53">
        <v>204</v>
      </c>
      <c r="I53">
        <v>0.32432432432432429</v>
      </c>
      <c r="J53">
        <v>16.52593613884223</v>
      </c>
      <c r="K53">
        <v>1.9659670136571901</v>
      </c>
      <c r="L53">
        <v>406.17777778017899</v>
      </c>
      <c r="M53">
        <v>0.91203703718432294</v>
      </c>
    </row>
    <row r="54" spans="1:13">
      <c r="A54" t="s">
        <v>18</v>
      </c>
      <c r="B54">
        <v>10</v>
      </c>
      <c r="C54">
        <v>2</v>
      </c>
      <c r="D54">
        <v>1415</v>
      </c>
      <c r="E54">
        <v>945</v>
      </c>
      <c r="F54">
        <v>655</v>
      </c>
      <c r="G54">
        <v>3.075117370892019</v>
      </c>
      <c r="H54">
        <v>213</v>
      </c>
      <c r="I54">
        <v>0.32519083969465651</v>
      </c>
      <c r="J54">
        <v>16.53951499113915</v>
      </c>
      <c r="K54">
        <v>1.9823049406889299</v>
      </c>
      <c r="L54">
        <v>382.26666666892697</v>
      </c>
      <c r="M54">
        <v>1.813580247060868</v>
      </c>
    </row>
    <row r="55" spans="1:13">
      <c r="A55" t="s">
        <v>18</v>
      </c>
      <c r="B55">
        <v>10</v>
      </c>
      <c r="C55">
        <v>3</v>
      </c>
      <c r="D55">
        <v>1411</v>
      </c>
      <c r="E55">
        <v>910</v>
      </c>
      <c r="F55">
        <v>632</v>
      </c>
      <c r="G55">
        <v>2.967136150234742</v>
      </c>
      <c r="H55">
        <v>213</v>
      </c>
      <c r="I55">
        <v>0.33702531645569622</v>
      </c>
      <c r="J55">
        <v>16.966275734261099</v>
      </c>
      <c r="K55">
        <v>2.0163228071356598</v>
      </c>
      <c r="L55">
        <v>383.82222222449099</v>
      </c>
      <c r="M55">
        <v>2.078086419900278</v>
      </c>
    </row>
    <row r="56" spans="1:13">
      <c r="A56" t="s">
        <v>18</v>
      </c>
      <c r="B56">
        <v>10</v>
      </c>
      <c r="C56">
        <v>4</v>
      </c>
      <c r="D56">
        <v>1419</v>
      </c>
      <c r="E56">
        <v>922</v>
      </c>
      <c r="F56">
        <v>648</v>
      </c>
      <c r="G56">
        <v>3</v>
      </c>
      <c r="H56">
        <v>216</v>
      </c>
      <c r="I56">
        <v>0.33333333333333331</v>
      </c>
      <c r="J56">
        <v>16.612296637726899</v>
      </c>
      <c r="K56">
        <v>1.9616677057202301</v>
      </c>
      <c r="L56">
        <v>401.15555555792702</v>
      </c>
      <c r="M56">
        <v>1.4808641976044119</v>
      </c>
    </row>
    <row r="57" spans="1:13">
      <c r="A57" t="s">
        <v>18</v>
      </c>
      <c r="B57">
        <v>10</v>
      </c>
      <c r="C57">
        <v>5</v>
      </c>
      <c r="D57">
        <v>1373</v>
      </c>
      <c r="E57">
        <v>883</v>
      </c>
      <c r="F57">
        <v>620</v>
      </c>
      <c r="G57">
        <v>2.805429864253393</v>
      </c>
      <c r="H57">
        <v>221</v>
      </c>
      <c r="I57">
        <v>0.3564516129032258</v>
      </c>
      <c r="J57">
        <v>18.215340694547791</v>
      </c>
      <c r="K57">
        <v>2.1410628888438499</v>
      </c>
      <c r="L57">
        <v>381.51111110966701</v>
      </c>
      <c r="M57">
        <v>4.7620370371844976</v>
      </c>
    </row>
    <row r="58" spans="1:13">
      <c r="A58" t="s">
        <v>18</v>
      </c>
      <c r="B58">
        <v>10</v>
      </c>
      <c r="C58">
        <v>6</v>
      </c>
      <c r="D58">
        <v>1421</v>
      </c>
      <c r="E58">
        <v>920</v>
      </c>
      <c r="F58">
        <v>641</v>
      </c>
      <c r="G58">
        <v>2.995327102803738</v>
      </c>
      <c r="H58">
        <v>214</v>
      </c>
      <c r="I58">
        <v>0.33385335413416539</v>
      </c>
      <c r="J58">
        <v>16.631573407303371</v>
      </c>
      <c r="K58">
        <v>1.9766889831076699</v>
      </c>
      <c r="L58">
        <v>372.22222222442298</v>
      </c>
      <c r="M58">
        <v>1.4179012347153039</v>
      </c>
    </row>
    <row r="59" spans="1:13">
      <c r="A59" t="s">
        <v>18</v>
      </c>
      <c r="B59">
        <v>10</v>
      </c>
      <c r="C59">
        <v>7</v>
      </c>
      <c r="D59">
        <v>1423</v>
      </c>
      <c r="E59">
        <v>936</v>
      </c>
      <c r="F59">
        <v>656</v>
      </c>
      <c r="G59">
        <v>3.0943396226415101</v>
      </c>
      <c r="H59">
        <v>212</v>
      </c>
      <c r="I59">
        <v>0.32317073170731708</v>
      </c>
      <c r="J59">
        <v>16.258547499027781</v>
      </c>
      <c r="K59">
        <v>1.91841138002889</v>
      </c>
      <c r="L59">
        <v>340.53333333360399</v>
      </c>
      <c r="M59">
        <v>1.267592592739927</v>
      </c>
    </row>
    <row r="60" spans="1:13">
      <c r="A60" t="s">
        <v>18</v>
      </c>
      <c r="B60">
        <v>10</v>
      </c>
      <c r="C60">
        <v>8</v>
      </c>
      <c r="D60">
        <v>1419</v>
      </c>
      <c r="E60">
        <v>923</v>
      </c>
      <c r="F60">
        <v>650</v>
      </c>
      <c r="G60">
        <v>3.066037735849056</v>
      </c>
      <c r="H60">
        <v>212</v>
      </c>
      <c r="I60">
        <v>0.32615384615384613</v>
      </c>
      <c r="J60">
        <v>16.925180570568799</v>
      </c>
      <c r="K60">
        <v>1.9695530510728301</v>
      </c>
      <c r="L60">
        <v>350.53333333361201</v>
      </c>
      <c r="M60">
        <v>1.503086419900173</v>
      </c>
    </row>
    <row r="61" spans="1:13">
      <c r="A61" t="s">
        <v>18</v>
      </c>
      <c r="B61">
        <v>10</v>
      </c>
      <c r="C61">
        <v>9</v>
      </c>
      <c r="D61">
        <v>1426</v>
      </c>
      <c r="E61">
        <v>921</v>
      </c>
      <c r="F61">
        <v>640</v>
      </c>
      <c r="G61">
        <v>3.1067961165048539</v>
      </c>
      <c r="H61">
        <v>206</v>
      </c>
      <c r="I61">
        <v>0.32187500000000002</v>
      </c>
      <c r="J61">
        <v>16.052093553873611</v>
      </c>
      <c r="K61">
        <v>1.9310365423097899</v>
      </c>
      <c r="L61">
        <v>364.97777777620098</v>
      </c>
      <c r="M61">
        <v>1.0293209878014771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defaultRowHeight="15.75"/>
  <cols>
    <col min="1" max="5" width="18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25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24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25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24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25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24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25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24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25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24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25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24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25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24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25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24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25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24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25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24</v>
      </c>
      <c r="B22" t="s">
        <v>14</v>
      </c>
      <c r="C22" t="s">
        <v>3</v>
      </c>
      <c r="D22">
        <f>AVERAGE(per_seed!$D$12:$D$21)</f>
        <v>1421.1</v>
      </c>
      <c r="E22">
        <v>1421.1</v>
      </c>
    </row>
    <row r="23" spans="1:5">
      <c r="A23" t="s">
        <v>25</v>
      </c>
      <c r="B23" t="s">
        <v>14</v>
      </c>
      <c r="C23" t="s">
        <v>3</v>
      </c>
      <c r="D23">
        <f>_xlfn.STDEV.S(per_seed!$D$12:$D$21)</f>
        <v>4.840798832148816</v>
      </c>
      <c r="E23">
        <v>4.840798832148816</v>
      </c>
    </row>
    <row r="24" spans="1:5">
      <c r="A24" t="s">
        <v>24</v>
      </c>
      <c r="B24" t="s">
        <v>14</v>
      </c>
      <c r="C24" t="s">
        <v>4</v>
      </c>
      <c r="D24">
        <f>AVERAGE(per_seed!$E$12:$E$21)</f>
        <v>930.9</v>
      </c>
      <c r="E24">
        <v>930.9</v>
      </c>
    </row>
    <row r="25" spans="1:5">
      <c r="A25" t="s">
        <v>25</v>
      </c>
      <c r="B25" t="s">
        <v>14</v>
      </c>
      <c r="C25" t="s">
        <v>4</v>
      </c>
      <c r="D25">
        <f>_xlfn.STDEV.S(per_seed!$E$12:$E$21)</f>
        <v>8.7996212039685737</v>
      </c>
      <c r="E25">
        <v>8.7996212039685737</v>
      </c>
    </row>
    <row r="26" spans="1:5">
      <c r="A26" t="s">
        <v>24</v>
      </c>
      <c r="B26" t="s">
        <v>14</v>
      </c>
      <c r="C26" t="s">
        <v>5</v>
      </c>
      <c r="D26">
        <f>AVERAGE(per_seed!$F$12:$F$21)</f>
        <v>593</v>
      </c>
      <c r="E26">
        <v>593</v>
      </c>
    </row>
    <row r="27" spans="1:5">
      <c r="A27" t="s">
        <v>25</v>
      </c>
      <c r="B27" t="s">
        <v>14</v>
      </c>
      <c r="C27" t="s">
        <v>5</v>
      </c>
      <c r="D27">
        <f>_xlfn.STDEV.S(per_seed!$F$12:$F$21)</f>
        <v>11.633285577743433</v>
      </c>
      <c r="E27">
        <v>11.633285577743431</v>
      </c>
    </row>
    <row r="28" spans="1:5">
      <c r="A28" t="s">
        <v>24</v>
      </c>
      <c r="B28" t="s">
        <v>14</v>
      </c>
      <c r="C28" t="s">
        <v>6</v>
      </c>
      <c r="D28">
        <f>AVERAGE(per_seed!$G$12:$G$21)</f>
        <v>5.8734725090812416</v>
      </c>
      <c r="E28">
        <v>5.8734725090812407</v>
      </c>
    </row>
    <row r="29" spans="1:5">
      <c r="A29" t="s">
        <v>25</v>
      </c>
      <c r="B29" t="s">
        <v>14</v>
      </c>
      <c r="C29" t="s">
        <v>6</v>
      </c>
      <c r="D29">
        <f>_xlfn.STDEV.S(per_seed!$G$12:$G$21)</f>
        <v>0.13898120441671302</v>
      </c>
      <c r="E29">
        <v>0.13898120441671299</v>
      </c>
    </row>
    <row r="30" spans="1:5">
      <c r="A30" t="s">
        <v>24</v>
      </c>
      <c r="B30" t="s">
        <v>14</v>
      </c>
      <c r="C30" t="s">
        <v>7</v>
      </c>
      <c r="D30">
        <f>AVERAGE(per_seed!$H$12:$H$21)</f>
        <v>101</v>
      </c>
      <c r="E30">
        <v>101</v>
      </c>
    </row>
    <row r="31" spans="1:5">
      <c r="A31" t="s">
        <v>25</v>
      </c>
      <c r="B31" t="s">
        <v>14</v>
      </c>
      <c r="C31" t="s">
        <v>7</v>
      </c>
      <c r="D31">
        <f>_xlfn.STDEV.S(per_seed!$H$12:$H$21)</f>
        <v>2.5819888974716112</v>
      </c>
      <c r="E31">
        <v>2.5819888974716112</v>
      </c>
    </row>
    <row r="32" spans="1:5">
      <c r="A32" t="s">
        <v>24</v>
      </c>
      <c r="B32" t="s">
        <v>14</v>
      </c>
      <c r="C32" t="s">
        <v>8</v>
      </c>
      <c r="D32">
        <f>AVERAGE(per_seed!$I$12:$I$21)</f>
        <v>0.17034259938492971</v>
      </c>
      <c r="E32">
        <v>0.17034259938492971</v>
      </c>
    </row>
    <row r="33" spans="1:5">
      <c r="A33" t="s">
        <v>25</v>
      </c>
      <c r="B33" t="s">
        <v>14</v>
      </c>
      <c r="C33" t="s">
        <v>8</v>
      </c>
      <c r="D33">
        <f>_xlfn.STDEV.S(per_seed!$I$12:$I$21)</f>
        <v>4.0190631118221755E-3</v>
      </c>
      <c r="E33">
        <v>4.019063111822172E-3</v>
      </c>
    </row>
    <row r="34" spans="1:5">
      <c r="A34" t="s">
        <v>24</v>
      </c>
      <c r="B34" t="s">
        <v>14</v>
      </c>
      <c r="C34" t="s">
        <v>9</v>
      </c>
      <c r="D34">
        <f>AVERAGE(per_seed!$J$12:$J$21)</f>
        <v>9.3991000357579644</v>
      </c>
      <c r="E34">
        <v>9.3991000357579644</v>
      </c>
    </row>
    <row r="35" spans="1:5">
      <c r="A35" t="s">
        <v>25</v>
      </c>
      <c r="B35" t="s">
        <v>14</v>
      </c>
      <c r="C35" t="s">
        <v>9</v>
      </c>
      <c r="D35">
        <f>_xlfn.STDEV.S(per_seed!$J$12:$J$21)</f>
        <v>0.26879373575965565</v>
      </c>
      <c r="E35">
        <v>0.26879373575965559</v>
      </c>
    </row>
    <row r="36" spans="1:5">
      <c r="A36" t="s">
        <v>24</v>
      </c>
      <c r="B36" t="s">
        <v>14</v>
      </c>
      <c r="C36" t="s">
        <v>10</v>
      </c>
      <c r="D36">
        <f>AVERAGE(per_seed!$K$12:$K$21)</f>
        <v>1.1648003476067061</v>
      </c>
      <c r="E36">
        <v>1.1648003476067059</v>
      </c>
    </row>
    <row r="37" spans="1:5">
      <c r="A37" t="s">
        <v>25</v>
      </c>
      <c r="B37" t="s">
        <v>14</v>
      </c>
      <c r="C37" t="s">
        <v>10</v>
      </c>
      <c r="D37">
        <f>_xlfn.STDEV.S(per_seed!$K$12:$K$21)</f>
        <v>3.0402691177783617E-2</v>
      </c>
      <c r="E37">
        <v>3.040269117778362E-2</v>
      </c>
    </row>
    <row r="38" spans="1:5">
      <c r="A38" t="s">
        <v>24</v>
      </c>
      <c r="B38" t="s">
        <v>14</v>
      </c>
      <c r="C38" t="s">
        <v>11</v>
      </c>
      <c r="D38">
        <f>AVERAGE(per_seed!$L$12:$L$21)</f>
        <v>890.68888888996878</v>
      </c>
      <c r="E38">
        <v>890.68888888996878</v>
      </c>
    </row>
    <row r="39" spans="1:5">
      <c r="A39" t="s">
        <v>25</v>
      </c>
      <c r="B39" t="s">
        <v>14</v>
      </c>
      <c r="C39" t="s">
        <v>11</v>
      </c>
      <c r="D39">
        <f>_xlfn.STDEV.S(per_seed!$L$12:$L$21)</f>
        <v>68.477712776057047</v>
      </c>
      <c r="E39">
        <v>68.477712776057047</v>
      </c>
    </row>
    <row r="40" spans="1:5">
      <c r="A40" t="s">
        <v>24</v>
      </c>
      <c r="B40" t="s">
        <v>14</v>
      </c>
      <c r="C40" t="s">
        <v>12</v>
      </c>
      <c r="D40">
        <f>AVERAGE(per_seed!$M$12:$M$21)</f>
        <v>1.3933950618756956</v>
      </c>
      <c r="E40">
        <v>1.3933950618756961</v>
      </c>
    </row>
    <row r="41" spans="1:5">
      <c r="A41" t="s">
        <v>25</v>
      </c>
      <c r="B41" t="s">
        <v>14</v>
      </c>
      <c r="C41" t="s">
        <v>12</v>
      </c>
      <c r="D41">
        <f>_xlfn.STDEV.S(per_seed!$M$12:$M$21)</f>
        <v>0.33352240865286564</v>
      </c>
      <c r="E41">
        <v>0.33352240865286498</v>
      </c>
    </row>
    <row r="42" spans="1:5">
      <c r="A42" t="s">
        <v>24</v>
      </c>
      <c r="B42" t="s">
        <v>15</v>
      </c>
      <c r="C42" t="s">
        <v>3</v>
      </c>
      <c r="D42">
        <f>AVERAGE(per_seed!$D$22:$D$31)</f>
        <v>1428.7</v>
      </c>
      <c r="E42">
        <v>1428.7</v>
      </c>
    </row>
    <row r="43" spans="1:5">
      <c r="A43" t="s">
        <v>25</v>
      </c>
      <c r="B43" t="s">
        <v>15</v>
      </c>
      <c r="C43" t="s">
        <v>3</v>
      </c>
      <c r="D43">
        <f>_xlfn.STDEV.S(per_seed!$D$22:$D$31)</f>
        <v>2.263232692902394</v>
      </c>
      <c r="E43">
        <v>2.263232692902394</v>
      </c>
    </row>
    <row r="44" spans="1:5">
      <c r="A44" t="s">
        <v>24</v>
      </c>
      <c r="B44" t="s">
        <v>15</v>
      </c>
      <c r="C44" t="s">
        <v>4</v>
      </c>
      <c r="D44">
        <f>AVERAGE(per_seed!$E$22:$E$31)</f>
        <v>952.2</v>
      </c>
      <c r="E44">
        <v>952.2</v>
      </c>
    </row>
    <row r="45" spans="1:5">
      <c r="A45" t="s">
        <v>25</v>
      </c>
      <c r="B45" t="s">
        <v>15</v>
      </c>
      <c r="C45" t="s">
        <v>4</v>
      </c>
      <c r="D45">
        <f>_xlfn.STDEV.S(per_seed!$E$22:$E$31)</f>
        <v>16.45059944871986</v>
      </c>
      <c r="E45">
        <v>16.45059944871986</v>
      </c>
    </row>
    <row r="46" spans="1:5">
      <c r="A46" t="s">
        <v>24</v>
      </c>
      <c r="B46" t="s">
        <v>15</v>
      </c>
      <c r="C46" t="s">
        <v>5</v>
      </c>
      <c r="D46">
        <f>AVERAGE(per_seed!$F$22:$F$31)</f>
        <v>603.5</v>
      </c>
      <c r="E46">
        <v>603.5</v>
      </c>
    </row>
    <row r="47" spans="1:5">
      <c r="A47" t="s">
        <v>25</v>
      </c>
      <c r="B47" t="s">
        <v>15</v>
      </c>
      <c r="C47" t="s">
        <v>5</v>
      </c>
      <c r="D47">
        <f>_xlfn.STDEV.S(per_seed!$F$22:$F$31)</f>
        <v>11.067971810589327</v>
      </c>
      <c r="E47">
        <v>11.067971810589331</v>
      </c>
    </row>
    <row r="48" spans="1:5">
      <c r="A48" t="s">
        <v>24</v>
      </c>
      <c r="B48" t="s">
        <v>15</v>
      </c>
      <c r="C48" t="s">
        <v>6</v>
      </c>
      <c r="D48">
        <f>AVERAGE(per_seed!$G$22:$G$31)</f>
        <v>5.1175754795168205</v>
      </c>
      <c r="E48">
        <v>5.1175754795168196</v>
      </c>
    </row>
    <row r="49" spans="1:5">
      <c r="A49" t="s">
        <v>25</v>
      </c>
      <c r="B49" t="s">
        <v>15</v>
      </c>
      <c r="C49" t="s">
        <v>6</v>
      </c>
      <c r="D49">
        <f>_xlfn.STDEV.S(per_seed!$G$22:$G$31)</f>
        <v>0.15170876494723376</v>
      </c>
      <c r="E49">
        <v>0.15170876494723379</v>
      </c>
    </row>
    <row r="50" spans="1:5">
      <c r="A50" t="s">
        <v>24</v>
      </c>
      <c r="B50" t="s">
        <v>15</v>
      </c>
      <c r="C50" t="s">
        <v>7</v>
      </c>
      <c r="D50">
        <f>AVERAGE(per_seed!$H$22:$H$31)</f>
        <v>118</v>
      </c>
      <c r="E50">
        <v>118</v>
      </c>
    </row>
    <row r="51" spans="1:5">
      <c r="A51" t="s">
        <v>25</v>
      </c>
      <c r="B51" t="s">
        <v>15</v>
      </c>
      <c r="C51" t="s">
        <v>7</v>
      </c>
      <c r="D51">
        <f>_xlfn.STDEV.S(per_seed!$H$22:$H$31)</f>
        <v>3.39934634239519</v>
      </c>
      <c r="E51">
        <v>3.39934634239519</v>
      </c>
    </row>
    <row r="52" spans="1:5">
      <c r="A52" t="s">
        <v>24</v>
      </c>
      <c r="B52" t="s">
        <v>15</v>
      </c>
      <c r="C52" t="s">
        <v>8</v>
      </c>
      <c r="D52">
        <f>AVERAGE(per_seed!$I$22:$I$31)</f>
        <v>0.19556075634889752</v>
      </c>
      <c r="E52">
        <v>0.1955607563488975</v>
      </c>
    </row>
    <row r="53" spans="1:5">
      <c r="A53" t="s">
        <v>25</v>
      </c>
      <c r="B53" t="s">
        <v>15</v>
      </c>
      <c r="C53" t="s">
        <v>8</v>
      </c>
      <c r="D53">
        <f>_xlfn.STDEV.S(per_seed!$I$22:$I$31)</f>
        <v>5.8391886587596444E-3</v>
      </c>
      <c r="E53">
        <v>5.8391886587596644E-3</v>
      </c>
    </row>
    <row r="54" spans="1:5">
      <c r="A54" t="s">
        <v>24</v>
      </c>
      <c r="B54" t="s">
        <v>15</v>
      </c>
      <c r="C54" t="s">
        <v>9</v>
      </c>
      <c r="D54">
        <f>AVERAGE(per_seed!$J$22:$J$31)</f>
        <v>10.35040239595906</v>
      </c>
      <c r="E54">
        <v>10.35040239595906</v>
      </c>
    </row>
    <row r="55" spans="1:5">
      <c r="A55" t="s">
        <v>25</v>
      </c>
      <c r="B55" t="s">
        <v>15</v>
      </c>
      <c r="C55" t="s">
        <v>9</v>
      </c>
      <c r="D55">
        <f>_xlfn.STDEV.S(per_seed!$J$22:$J$31)</f>
        <v>0.27376433738760975</v>
      </c>
      <c r="E55">
        <v>0.27376433738760908</v>
      </c>
    </row>
    <row r="56" spans="1:5">
      <c r="A56" t="s">
        <v>24</v>
      </c>
      <c r="B56" t="s">
        <v>15</v>
      </c>
      <c r="C56" t="s">
        <v>10</v>
      </c>
      <c r="D56">
        <f>AVERAGE(per_seed!$K$22:$K$31)</f>
        <v>1.317185140231671</v>
      </c>
      <c r="E56">
        <v>1.317185140231671</v>
      </c>
    </row>
    <row r="57" spans="1:5">
      <c r="A57" t="s">
        <v>25</v>
      </c>
      <c r="B57" t="s">
        <v>15</v>
      </c>
      <c r="C57" t="s">
        <v>10</v>
      </c>
      <c r="D57">
        <f>_xlfn.STDEV.S(per_seed!$K$22:$K$31)</f>
        <v>2.9436940075360178E-2</v>
      </c>
      <c r="E57">
        <v>2.9436940075360182E-2</v>
      </c>
    </row>
    <row r="58" spans="1:5">
      <c r="A58" t="s">
        <v>24</v>
      </c>
      <c r="B58" t="s">
        <v>15</v>
      </c>
      <c r="C58" t="s">
        <v>11</v>
      </c>
      <c r="D58">
        <f>AVERAGE(per_seed!$L$22:$L$31)</f>
        <v>787.77777778006782</v>
      </c>
      <c r="E58">
        <v>787.77777778006782</v>
      </c>
    </row>
    <row r="59" spans="1:5">
      <c r="A59" t="s">
        <v>25</v>
      </c>
      <c r="B59" t="s">
        <v>15</v>
      </c>
      <c r="C59" t="s">
        <v>11</v>
      </c>
      <c r="D59">
        <f>_xlfn.STDEV.S(per_seed!$L$22:$L$31)</f>
        <v>40.322039707109951</v>
      </c>
      <c r="E59">
        <v>40.322039707109951</v>
      </c>
    </row>
    <row r="60" spans="1:5">
      <c r="A60" t="s">
        <v>24</v>
      </c>
      <c r="B60" t="s">
        <v>15</v>
      </c>
      <c r="C60" t="s">
        <v>12</v>
      </c>
      <c r="D60">
        <f>AVERAGE(per_seed!$M$22:$M$31)</f>
        <v>0.8557407408879818</v>
      </c>
      <c r="E60">
        <v>0.8557407408879818</v>
      </c>
    </row>
    <row r="61" spans="1:5">
      <c r="A61" t="s">
        <v>25</v>
      </c>
      <c r="B61" t="s">
        <v>15</v>
      </c>
      <c r="C61" t="s">
        <v>12</v>
      </c>
      <c r="D61">
        <f>_xlfn.STDEV.S(per_seed!$M$22:$M$31)</f>
        <v>0.15670302874636355</v>
      </c>
      <c r="E61">
        <v>0.15670302874636341</v>
      </c>
    </row>
    <row r="62" spans="1:5">
      <c r="A62" t="s">
        <v>24</v>
      </c>
      <c r="B62" t="s">
        <v>16</v>
      </c>
      <c r="C62" t="s">
        <v>3</v>
      </c>
      <c r="D62">
        <f>AVERAGE(per_seed!$D$32:$D$41)</f>
        <v>1428.6</v>
      </c>
      <c r="E62">
        <v>1428.6</v>
      </c>
    </row>
    <row r="63" spans="1:5">
      <c r="A63" t="s">
        <v>25</v>
      </c>
      <c r="B63" t="s">
        <v>16</v>
      </c>
      <c r="C63" t="s">
        <v>3</v>
      </c>
      <c r="D63">
        <f>_xlfn.STDEV.S(per_seed!$D$32:$D$41)</f>
        <v>0.51639777949432231</v>
      </c>
      <c r="E63">
        <v>0.51639777949432231</v>
      </c>
    </row>
    <row r="64" spans="1:5">
      <c r="A64" t="s">
        <v>24</v>
      </c>
      <c r="B64" t="s">
        <v>16</v>
      </c>
      <c r="C64" t="s">
        <v>4</v>
      </c>
      <c r="D64">
        <f>AVERAGE(per_seed!$E$32:$E$41)</f>
        <v>937.9</v>
      </c>
      <c r="E64">
        <v>937.9</v>
      </c>
    </row>
    <row r="65" spans="1:5">
      <c r="A65" t="s">
        <v>25</v>
      </c>
      <c r="B65" t="s">
        <v>16</v>
      </c>
      <c r="C65" t="s">
        <v>4</v>
      </c>
      <c r="D65">
        <f>_xlfn.STDEV.S(per_seed!$E$32:$E$41)</f>
        <v>12.626691305854171</v>
      </c>
      <c r="E65">
        <v>12.62669130585417</v>
      </c>
    </row>
    <row r="66" spans="1:5">
      <c r="A66" t="s">
        <v>24</v>
      </c>
      <c r="B66" t="s">
        <v>16</v>
      </c>
      <c r="C66" t="s">
        <v>5</v>
      </c>
      <c r="D66">
        <f>AVERAGE(per_seed!$F$32:$F$41)</f>
        <v>593.9</v>
      </c>
      <c r="E66">
        <v>593.9</v>
      </c>
    </row>
    <row r="67" spans="1:5">
      <c r="A67" t="s">
        <v>25</v>
      </c>
      <c r="B67" t="s">
        <v>16</v>
      </c>
      <c r="C67" t="s">
        <v>5</v>
      </c>
      <c r="D67">
        <f>_xlfn.STDEV.S(per_seed!$F$32:$F$41)</f>
        <v>12.879354711233702</v>
      </c>
      <c r="E67">
        <v>12.879354711233701</v>
      </c>
    </row>
    <row r="68" spans="1:5">
      <c r="A68" t="s">
        <v>24</v>
      </c>
      <c r="B68" t="s">
        <v>16</v>
      </c>
      <c r="C68" t="s">
        <v>6</v>
      </c>
      <c r="D68">
        <f>AVERAGE(per_seed!$G$32:$G$41)</f>
        <v>5.6814439647270065</v>
      </c>
      <c r="E68">
        <v>5.6814439647270074</v>
      </c>
    </row>
    <row r="69" spans="1:5">
      <c r="A69" t="s">
        <v>25</v>
      </c>
      <c r="B69" t="s">
        <v>16</v>
      </c>
      <c r="C69" t="s">
        <v>6</v>
      </c>
      <c r="D69">
        <f>_xlfn.STDEV.S(per_seed!$G$32:$G$41)</f>
        <v>0.17785690967634082</v>
      </c>
      <c r="E69">
        <v>0.17785690967634099</v>
      </c>
    </row>
    <row r="70" spans="1:5">
      <c r="A70" t="s">
        <v>24</v>
      </c>
      <c r="B70" t="s">
        <v>16</v>
      </c>
      <c r="C70" t="s">
        <v>7</v>
      </c>
      <c r="D70">
        <f>AVERAGE(per_seed!$H$32:$H$41)</f>
        <v>104.6</v>
      </c>
      <c r="E70">
        <v>104.6</v>
      </c>
    </row>
    <row r="71" spans="1:5">
      <c r="A71" t="s">
        <v>25</v>
      </c>
      <c r="B71" t="s">
        <v>16</v>
      </c>
      <c r="C71" t="s">
        <v>7</v>
      </c>
      <c r="D71">
        <f>_xlfn.STDEV.S(per_seed!$H$32:$H$41)</f>
        <v>3.1340424729448424</v>
      </c>
      <c r="E71">
        <v>3.134042472944842</v>
      </c>
    </row>
    <row r="72" spans="1:5">
      <c r="A72" t="s">
        <v>24</v>
      </c>
      <c r="B72" t="s">
        <v>16</v>
      </c>
      <c r="C72" t="s">
        <v>8</v>
      </c>
      <c r="D72">
        <f>AVERAGE(per_seed!$I$32:$I$41)</f>
        <v>0.17616750539820411</v>
      </c>
      <c r="E72">
        <v>0.17616750539820411</v>
      </c>
    </row>
    <row r="73" spans="1:5">
      <c r="A73" t="s">
        <v>25</v>
      </c>
      <c r="B73" t="s">
        <v>16</v>
      </c>
      <c r="C73" t="s">
        <v>8</v>
      </c>
      <c r="D73">
        <f>_xlfn.STDEV.S(per_seed!$I$32:$I$41)</f>
        <v>5.5355911859394117E-3</v>
      </c>
      <c r="E73">
        <v>5.5355911859394239E-3</v>
      </c>
    </row>
    <row r="74" spans="1:5">
      <c r="A74" t="s">
        <v>24</v>
      </c>
      <c r="B74" t="s">
        <v>16</v>
      </c>
      <c r="C74" t="s">
        <v>9</v>
      </c>
      <c r="D74">
        <f>AVERAGE(per_seed!$J$32:$J$41)</f>
        <v>10.257538921532193</v>
      </c>
      <c r="E74">
        <v>10.257538921532189</v>
      </c>
    </row>
    <row r="75" spans="1:5">
      <c r="A75" t="s">
        <v>25</v>
      </c>
      <c r="B75" t="s">
        <v>16</v>
      </c>
      <c r="C75" t="s">
        <v>9</v>
      </c>
      <c r="D75">
        <f>_xlfn.STDEV.S(per_seed!$J$32:$J$41)</f>
        <v>0.29916769673927907</v>
      </c>
      <c r="E75">
        <v>0.29916769673927868</v>
      </c>
    </row>
    <row r="76" spans="1:5">
      <c r="A76" t="s">
        <v>24</v>
      </c>
      <c r="B76" t="s">
        <v>16</v>
      </c>
      <c r="C76" t="s">
        <v>10</v>
      </c>
      <c r="D76">
        <f>AVERAGE(per_seed!$K$32:$K$41)</f>
        <v>1.2808749033087219</v>
      </c>
      <c r="E76">
        <v>1.2808749033087219</v>
      </c>
    </row>
    <row r="77" spans="1:5">
      <c r="A77" t="s">
        <v>25</v>
      </c>
      <c r="B77" t="s">
        <v>16</v>
      </c>
      <c r="C77" t="s">
        <v>10</v>
      </c>
      <c r="D77">
        <f>_xlfn.STDEV.S(per_seed!$K$32:$K$41)</f>
        <v>4.2200272999990102E-2</v>
      </c>
      <c r="E77">
        <v>4.2200272999990102E-2</v>
      </c>
    </row>
    <row r="78" spans="1:5">
      <c r="A78" t="s">
        <v>24</v>
      </c>
      <c r="B78" t="s">
        <v>16</v>
      </c>
      <c r="C78" t="s">
        <v>11</v>
      </c>
      <c r="D78">
        <f>AVERAGE(per_seed!$L$32:$L$41)</f>
        <v>902.16888889005349</v>
      </c>
      <c r="E78">
        <v>902.16888889005349</v>
      </c>
    </row>
    <row r="79" spans="1:5">
      <c r="A79" t="s">
        <v>25</v>
      </c>
      <c r="B79" t="s">
        <v>16</v>
      </c>
      <c r="C79" t="s">
        <v>11</v>
      </c>
      <c r="D79">
        <f>_xlfn.STDEV.S(per_seed!$L$32:$L$41)</f>
        <v>85.372058600090597</v>
      </c>
      <c r="E79">
        <v>85.372058600090597</v>
      </c>
    </row>
    <row r="80" spans="1:5">
      <c r="A80" t="s">
        <v>24</v>
      </c>
      <c r="B80" t="s">
        <v>16</v>
      </c>
      <c r="C80" t="s">
        <v>12</v>
      </c>
      <c r="D80">
        <f>AVERAGE(per_seed!$M$32:$M$41)</f>
        <v>0.86663580261640139</v>
      </c>
      <c r="E80">
        <v>0.86663580261640139</v>
      </c>
    </row>
    <row r="81" spans="1:5">
      <c r="A81" t="s">
        <v>25</v>
      </c>
      <c r="B81" t="s">
        <v>16</v>
      </c>
      <c r="C81" t="s">
        <v>12</v>
      </c>
      <c r="D81">
        <f>_xlfn.STDEV.S(per_seed!$M$32:$M$41)</f>
        <v>2.3644853821955941E-2</v>
      </c>
      <c r="E81">
        <v>2.3644853821955941E-2</v>
      </c>
    </row>
    <row r="82" spans="1:5">
      <c r="A82" t="s">
        <v>24</v>
      </c>
      <c r="B82" t="s">
        <v>17</v>
      </c>
      <c r="C82" t="s">
        <v>3</v>
      </c>
      <c r="D82">
        <f>AVERAGE(per_seed!$D$42:$D$51)</f>
        <v>1242.3</v>
      </c>
      <c r="E82">
        <v>1242.3</v>
      </c>
    </row>
    <row r="83" spans="1:5">
      <c r="A83" t="s">
        <v>25</v>
      </c>
      <c r="B83" t="s">
        <v>17</v>
      </c>
      <c r="C83" t="s">
        <v>3</v>
      </c>
      <c r="D83">
        <f>_xlfn.STDEV.S(per_seed!$D$42:$D$51)</f>
        <v>25.983114174829431</v>
      </c>
      <c r="E83">
        <v>25.983114174829431</v>
      </c>
    </row>
    <row r="84" spans="1:5">
      <c r="A84" t="s">
        <v>24</v>
      </c>
      <c r="B84" t="s">
        <v>17</v>
      </c>
      <c r="C84" t="s">
        <v>4</v>
      </c>
      <c r="D84">
        <f>AVERAGE(per_seed!$E$42:$E$51)</f>
        <v>806.9</v>
      </c>
      <c r="E84">
        <v>806.9</v>
      </c>
    </row>
    <row r="85" spans="1:5">
      <c r="A85" t="s">
        <v>25</v>
      </c>
      <c r="B85" t="s">
        <v>17</v>
      </c>
      <c r="C85" t="s">
        <v>4</v>
      </c>
      <c r="D85">
        <f>_xlfn.STDEV.S(per_seed!$E$42:$E$51)</f>
        <v>22.253339324944267</v>
      </c>
      <c r="E85">
        <v>22.253339324944271</v>
      </c>
    </row>
    <row r="86" spans="1:5">
      <c r="A86" t="s">
        <v>24</v>
      </c>
      <c r="B86" t="s">
        <v>17</v>
      </c>
      <c r="C86" t="s">
        <v>5</v>
      </c>
      <c r="D86">
        <f>AVERAGE(per_seed!$F$42:$F$51)</f>
        <v>574.9</v>
      </c>
      <c r="E86">
        <v>574.9</v>
      </c>
    </row>
    <row r="87" spans="1:5">
      <c r="A87" t="s">
        <v>25</v>
      </c>
      <c r="B87" t="s">
        <v>17</v>
      </c>
      <c r="C87" t="s">
        <v>5</v>
      </c>
      <c r="D87">
        <f>_xlfn.STDEV.S(per_seed!$F$42:$F$51)</f>
        <v>17.025797419732733</v>
      </c>
      <c r="E87">
        <v>17.025797419732729</v>
      </c>
    </row>
    <row r="88" spans="1:5">
      <c r="A88" t="s">
        <v>24</v>
      </c>
      <c r="B88" t="s">
        <v>17</v>
      </c>
      <c r="C88" t="s">
        <v>6</v>
      </c>
      <c r="D88">
        <f>AVERAGE(per_seed!$G$42:$G$51)</f>
        <v>3.2607987389665363</v>
      </c>
      <c r="E88">
        <v>3.2607987389665358</v>
      </c>
    </row>
    <row r="89" spans="1:5">
      <c r="A89" t="s">
        <v>25</v>
      </c>
      <c r="B89" t="s">
        <v>17</v>
      </c>
      <c r="C89" t="s">
        <v>6</v>
      </c>
      <c r="D89">
        <f>_xlfn.STDEV.S(per_seed!$G$42:$G$51)</f>
        <v>7.509802070597188E-2</v>
      </c>
      <c r="E89">
        <v>7.5098020705971866E-2</v>
      </c>
    </row>
    <row r="90" spans="1:5">
      <c r="A90" t="s">
        <v>24</v>
      </c>
      <c r="B90" t="s">
        <v>17</v>
      </c>
      <c r="C90" t="s">
        <v>7</v>
      </c>
      <c r="D90">
        <f>AVERAGE(per_seed!$H$42:$H$51)</f>
        <v>176.3</v>
      </c>
      <c r="E90">
        <v>176.3</v>
      </c>
    </row>
    <row r="91" spans="1:5">
      <c r="A91" t="s">
        <v>25</v>
      </c>
      <c r="B91" t="s">
        <v>17</v>
      </c>
      <c r="C91" t="s">
        <v>7</v>
      </c>
      <c r="D91">
        <f>_xlfn.STDEV.S(per_seed!$H$42:$H$51)</f>
        <v>2.9078437983419181</v>
      </c>
      <c r="E91">
        <v>2.907843798341919</v>
      </c>
    </row>
    <row r="92" spans="1:5">
      <c r="A92" t="s">
        <v>24</v>
      </c>
      <c r="B92" t="s">
        <v>17</v>
      </c>
      <c r="C92" t="s">
        <v>8</v>
      </c>
      <c r="D92">
        <f>AVERAGE(per_seed!$I$42:$I$51)</f>
        <v>0.30681921728398198</v>
      </c>
      <c r="E92">
        <v>0.30681921728398193</v>
      </c>
    </row>
    <row r="93" spans="1:5">
      <c r="A93" t="s">
        <v>25</v>
      </c>
      <c r="B93" t="s">
        <v>17</v>
      </c>
      <c r="C93" t="s">
        <v>8</v>
      </c>
      <c r="D93">
        <f>_xlfn.STDEV.S(per_seed!$I$42:$I$51)</f>
        <v>7.0406236401184454E-3</v>
      </c>
      <c r="E93">
        <v>7.0406236401184394E-3</v>
      </c>
    </row>
    <row r="94" spans="1:5">
      <c r="A94" t="s">
        <v>24</v>
      </c>
      <c r="B94" t="s">
        <v>17</v>
      </c>
      <c r="C94" t="s">
        <v>9</v>
      </c>
      <c r="D94">
        <f>AVERAGE(per_seed!$J$42:$J$51)</f>
        <v>14.859667934376494</v>
      </c>
      <c r="E94">
        <v>14.8596679343765</v>
      </c>
    </row>
    <row r="95" spans="1:5">
      <c r="A95" t="s">
        <v>25</v>
      </c>
      <c r="B95" t="s">
        <v>17</v>
      </c>
      <c r="C95" t="s">
        <v>9</v>
      </c>
      <c r="D95">
        <f>_xlfn.STDEV.S(per_seed!$J$42:$J$51)</f>
        <v>0.30654818582473975</v>
      </c>
      <c r="E95">
        <v>0.30654818582473869</v>
      </c>
    </row>
    <row r="96" spans="1:5">
      <c r="A96" t="s">
        <v>24</v>
      </c>
      <c r="B96" t="s">
        <v>17</v>
      </c>
      <c r="C96" t="s">
        <v>10</v>
      </c>
      <c r="D96">
        <f>AVERAGE(per_seed!$K$42:$K$51)</f>
        <v>1.6958218592822267</v>
      </c>
      <c r="E96">
        <v>1.695821859282227</v>
      </c>
    </row>
    <row r="97" spans="1:5">
      <c r="A97" t="s">
        <v>25</v>
      </c>
      <c r="B97" t="s">
        <v>17</v>
      </c>
      <c r="C97" t="s">
        <v>10</v>
      </c>
      <c r="D97">
        <f>_xlfn.STDEV.S(per_seed!$K$42:$K$51)</f>
        <v>4.3418512462589882E-2</v>
      </c>
      <c r="E97">
        <v>4.3418512462589882E-2</v>
      </c>
    </row>
    <row r="98" spans="1:5">
      <c r="A98" t="s">
        <v>24</v>
      </c>
      <c r="B98" t="s">
        <v>17</v>
      </c>
      <c r="C98" t="s">
        <v>11</v>
      </c>
      <c r="D98">
        <f>AVERAGE(per_seed!$L$42:$L$51)</f>
        <v>324.48888888924569</v>
      </c>
      <c r="E98">
        <v>324.48888888924569</v>
      </c>
    </row>
    <row r="99" spans="1:5">
      <c r="A99" t="s">
        <v>25</v>
      </c>
      <c r="B99" t="s">
        <v>17</v>
      </c>
      <c r="C99" t="s">
        <v>11</v>
      </c>
      <c r="D99">
        <f>_xlfn.STDEV.S(per_seed!$L$42:$L$51)</f>
        <v>12.769992259862397</v>
      </c>
      <c r="E99">
        <v>12.7699922598624</v>
      </c>
    </row>
    <row r="100" spans="1:5">
      <c r="A100" t="s">
        <v>24</v>
      </c>
      <c r="B100" t="s">
        <v>17</v>
      </c>
      <c r="C100" t="s">
        <v>12</v>
      </c>
      <c r="D100">
        <f>AVERAGE(per_seed!$M$42:$M$51)</f>
        <v>13.77734567912275</v>
      </c>
      <c r="E100">
        <v>13.77734567912275</v>
      </c>
    </row>
    <row r="101" spans="1:5">
      <c r="A101" t="s">
        <v>25</v>
      </c>
      <c r="B101" t="s">
        <v>17</v>
      </c>
      <c r="C101" t="s">
        <v>12</v>
      </c>
      <c r="D101">
        <f>_xlfn.STDEV.S(per_seed!$M$42:$M$51)</f>
        <v>1.7950269403585484</v>
      </c>
      <c r="E101">
        <v>1.795026940358541</v>
      </c>
    </row>
    <row r="102" spans="1:5">
      <c r="A102" t="s">
        <v>24</v>
      </c>
      <c r="B102" t="s">
        <v>18</v>
      </c>
      <c r="C102" t="s">
        <v>3</v>
      </c>
      <c r="D102">
        <f>AVERAGE(per_seed!$D$52:$D$61)</f>
        <v>1415.6</v>
      </c>
      <c r="E102">
        <v>1415.6</v>
      </c>
    </row>
    <row r="103" spans="1:5">
      <c r="A103" t="s">
        <v>25</v>
      </c>
      <c r="B103" t="s">
        <v>18</v>
      </c>
      <c r="C103" t="s">
        <v>3</v>
      </c>
      <c r="D103">
        <f>_xlfn.STDEV.S(per_seed!$D$52:$D$61)</f>
        <v>15.756480148391853</v>
      </c>
      <c r="E103">
        <v>15.75648014839186</v>
      </c>
    </row>
    <row r="104" spans="1:5">
      <c r="A104" t="s">
        <v>24</v>
      </c>
      <c r="B104" t="s">
        <v>18</v>
      </c>
      <c r="C104" t="s">
        <v>4</v>
      </c>
      <c r="D104">
        <f>AVERAGE(per_seed!$E$52:$E$61)</f>
        <v>917.9</v>
      </c>
      <c r="E104">
        <v>917.9</v>
      </c>
    </row>
    <row r="105" spans="1:5">
      <c r="A105" t="s">
        <v>25</v>
      </c>
      <c r="B105" t="s">
        <v>18</v>
      </c>
      <c r="C105" t="s">
        <v>4</v>
      </c>
      <c r="D105">
        <f>_xlfn.STDEV.S(per_seed!$E$52:$E$61)</f>
        <v>16.842076937110683</v>
      </c>
      <c r="E105">
        <v>16.842076937110679</v>
      </c>
    </row>
    <row r="106" spans="1:5">
      <c r="A106" t="s">
        <v>24</v>
      </c>
      <c r="B106" t="s">
        <v>18</v>
      </c>
      <c r="C106" t="s">
        <v>5</v>
      </c>
      <c r="D106">
        <f>AVERAGE(per_seed!$F$52:$F$61)</f>
        <v>642.70000000000005</v>
      </c>
      <c r="E106">
        <v>642.70000000000005</v>
      </c>
    </row>
    <row r="107" spans="1:5">
      <c r="A107" t="s">
        <v>25</v>
      </c>
      <c r="B107" t="s">
        <v>18</v>
      </c>
      <c r="C107" t="s">
        <v>5</v>
      </c>
      <c r="D107">
        <f>_xlfn.STDEV.S(per_seed!$F$52:$F$61)</f>
        <v>12.534840334931362</v>
      </c>
      <c r="E107">
        <v>12.53484033493136</v>
      </c>
    </row>
    <row r="108" spans="1:5">
      <c r="A108" t="s">
        <v>24</v>
      </c>
      <c r="B108" t="s">
        <v>18</v>
      </c>
      <c r="C108" t="s">
        <v>6</v>
      </c>
      <c r="D108">
        <f>AVERAGE(per_seed!$G$52:$G$61)</f>
        <v>3.0175335478330823</v>
      </c>
      <c r="E108">
        <v>3.0175335478330831</v>
      </c>
    </row>
    <row r="109" spans="1:5">
      <c r="A109" t="s">
        <v>25</v>
      </c>
      <c r="B109" t="s">
        <v>18</v>
      </c>
      <c r="C109" t="s">
        <v>6</v>
      </c>
      <c r="D109">
        <f>_xlfn.STDEV.S(per_seed!$G$52:$G$61)</f>
        <v>9.0350646029298376E-2</v>
      </c>
      <c r="E109">
        <v>9.035064602929832E-2</v>
      </c>
    </row>
    <row r="110" spans="1:5">
      <c r="A110" t="s">
        <v>24</v>
      </c>
      <c r="B110" t="s">
        <v>18</v>
      </c>
      <c r="C110" t="s">
        <v>7</v>
      </c>
      <c r="D110">
        <f>AVERAGE(per_seed!$H$52:$H$61)</f>
        <v>213.1</v>
      </c>
      <c r="E110">
        <v>213.1</v>
      </c>
    </row>
    <row r="111" spans="1:5">
      <c r="A111" t="s">
        <v>25</v>
      </c>
      <c r="B111" t="s">
        <v>18</v>
      </c>
      <c r="C111" t="s">
        <v>7</v>
      </c>
      <c r="D111">
        <f>_xlfn.STDEV.S(per_seed!$H$52:$H$61)</f>
        <v>5.3218626647276626</v>
      </c>
      <c r="E111">
        <v>5.3218626647276626</v>
      </c>
    </row>
    <row r="112" spans="1:5">
      <c r="A112" t="s">
        <v>24</v>
      </c>
      <c r="B112" t="s">
        <v>18</v>
      </c>
      <c r="C112" t="s">
        <v>8</v>
      </c>
      <c r="D112">
        <f>AVERAGE(per_seed!$I$52:$I$61)</f>
        <v>0.33167442123651014</v>
      </c>
      <c r="E112">
        <v>0.33167442123651009</v>
      </c>
    </row>
    <row r="113" spans="1:5">
      <c r="A113" t="s">
        <v>25</v>
      </c>
      <c r="B113" t="s">
        <v>18</v>
      </c>
      <c r="C113" t="s">
        <v>8</v>
      </c>
      <c r="D113">
        <f>_xlfn.STDEV.S(per_seed!$I$52:$I$61)</f>
        <v>1.0320134653680771E-2</v>
      </c>
      <c r="E113">
        <v>1.0320134653680769E-2</v>
      </c>
    </row>
    <row r="114" spans="1:5">
      <c r="A114" t="s">
        <v>24</v>
      </c>
      <c r="B114" t="s">
        <v>18</v>
      </c>
      <c r="C114" t="s">
        <v>9</v>
      </c>
      <c r="D114">
        <f>AVERAGE(per_seed!$J$52:$J$61)</f>
        <v>16.77225328857563</v>
      </c>
      <c r="E114">
        <v>16.77225328857563</v>
      </c>
    </row>
    <row r="115" spans="1:5">
      <c r="A115" t="s">
        <v>25</v>
      </c>
      <c r="B115" t="s">
        <v>18</v>
      </c>
      <c r="C115" t="s">
        <v>9</v>
      </c>
      <c r="D115">
        <f>_xlfn.STDEV.S(per_seed!$J$52:$J$61)</f>
        <v>0.59031385006732584</v>
      </c>
      <c r="E115">
        <v>0.59031385006732584</v>
      </c>
    </row>
    <row r="116" spans="1:5">
      <c r="A116" t="s">
        <v>24</v>
      </c>
      <c r="B116" t="s">
        <v>18</v>
      </c>
      <c r="C116" t="s">
        <v>10</v>
      </c>
      <c r="D116">
        <f>AVERAGE(per_seed!$K$52:$K$61)</f>
        <v>1.9804176847243666</v>
      </c>
      <c r="E116">
        <v>1.9804176847243671</v>
      </c>
    </row>
    <row r="117" spans="1:5">
      <c r="A117" t="s">
        <v>25</v>
      </c>
      <c r="B117" t="s">
        <v>18</v>
      </c>
      <c r="C117" t="s">
        <v>10</v>
      </c>
      <c r="D117">
        <f>_xlfn.STDEV.S(per_seed!$K$52:$K$61)</f>
        <v>6.2907580013754474E-2</v>
      </c>
      <c r="E117">
        <v>6.2907580013754488E-2</v>
      </c>
    </row>
    <row r="118" spans="1:5">
      <c r="A118" t="s">
        <v>24</v>
      </c>
      <c r="B118" t="s">
        <v>18</v>
      </c>
      <c r="C118" t="s">
        <v>11</v>
      </c>
      <c r="D118">
        <f>AVERAGE(per_seed!$L$52:$L$61)</f>
        <v>373.60444444524211</v>
      </c>
      <c r="E118">
        <v>373.60444444524211</v>
      </c>
    </row>
    <row r="119" spans="1:5">
      <c r="A119" t="s">
        <v>25</v>
      </c>
      <c r="B119" t="s">
        <v>18</v>
      </c>
      <c r="C119" t="s">
        <v>11</v>
      </c>
      <c r="D119">
        <f>_xlfn.STDEV.S(per_seed!$L$52:$L$61)</f>
        <v>21.590430742139823</v>
      </c>
      <c r="E119">
        <v>21.590430742139819</v>
      </c>
    </row>
    <row r="120" spans="1:5">
      <c r="A120" t="s">
        <v>24</v>
      </c>
      <c r="B120" t="s">
        <v>18</v>
      </c>
      <c r="C120" t="s">
        <v>12</v>
      </c>
      <c r="D120">
        <f>AVERAGE(per_seed!$M$52:$M$61)</f>
        <v>1.7647530865596484</v>
      </c>
      <c r="E120">
        <v>1.7647530865596479</v>
      </c>
    </row>
    <row r="121" spans="1:5">
      <c r="A121" t="s">
        <v>25</v>
      </c>
      <c r="B121" t="s">
        <v>18</v>
      </c>
      <c r="C121" t="s">
        <v>12</v>
      </c>
      <c r="D121">
        <f>_xlfn.STDEV.S(per_seed!$M$52:$M$61)</f>
        <v>1.1062705947788449</v>
      </c>
      <c r="E121">
        <v>1.1062705947788449</v>
      </c>
    </row>
    <row r="122" spans="1:5">
      <c r="A122" t="s">
        <v>26</v>
      </c>
      <c r="B122" t="s">
        <v>27</v>
      </c>
      <c r="C122" t="s">
        <v>3</v>
      </c>
      <c r="D122">
        <f>(AVERAGE(per_seed!$D$12:$D$21)-AVERAGE(per_seed!$D$2:$D$11))/AVERAGE(per_seed!$D$2:$D$11)*100</f>
        <v>8.4512993872795122E-2</v>
      </c>
      <c r="E122">
        <v>8.4512993872795122E-2</v>
      </c>
    </row>
    <row r="123" spans="1:5">
      <c r="A123" t="s">
        <v>28</v>
      </c>
      <c r="B123" t="s">
        <v>27</v>
      </c>
      <c r="C123" t="s">
        <v>3</v>
      </c>
      <c r="D123">
        <f>_xlfn.T.TEST(per_seed!$D$2:$D$11,per_seed!$D$12:$D$21,2,1)</f>
        <v>0.69520286532479436</v>
      </c>
      <c r="E123">
        <v>0.69520286532475162</v>
      </c>
    </row>
    <row r="124" spans="1:5">
      <c r="A124" t="s">
        <v>26</v>
      </c>
      <c r="B124" t="s">
        <v>27</v>
      </c>
      <c r="C124" t="s">
        <v>4</v>
      </c>
      <c r="D124">
        <f>(AVERAGE(per_seed!$E$12:$E$21)-AVERAGE(per_seed!$E$2:$E$11))/AVERAGE(per_seed!$E$2:$E$11)*100</f>
        <v>-1.6065954973047296</v>
      </c>
      <c r="E124">
        <v>-1.6065954973047301</v>
      </c>
    </row>
    <row r="125" spans="1:5">
      <c r="A125" t="s">
        <v>28</v>
      </c>
      <c r="B125" t="s">
        <v>27</v>
      </c>
      <c r="C125" t="s">
        <v>4</v>
      </c>
      <c r="D125">
        <f>_xlfn.T.TEST(per_seed!$E$2:$E$11,per_seed!$E$12:$E$21,2,1)</f>
        <v>6.4447778930153765E-3</v>
      </c>
      <c r="E125">
        <v>6.4447778930154876E-3</v>
      </c>
    </row>
    <row r="126" spans="1:5">
      <c r="A126" t="s">
        <v>26</v>
      </c>
      <c r="B126" t="s">
        <v>27</v>
      </c>
      <c r="C126" t="s">
        <v>5</v>
      </c>
      <c r="D126">
        <f>(AVERAGE(per_seed!$F$12:$F$21)-AVERAGE(per_seed!$F$2:$F$11))/AVERAGE(per_seed!$F$2:$F$11)*100</f>
        <v>-1.018193957603075</v>
      </c>
      <c r="E126">
        <v>-1.018193957603075</v>
      </c>
    </row>
    <row r="127" spans="1:5">
      <c r="A127" t="s">
        <v>28</v>
      </c>
      <c r="B127" t="s">
        <v>27</v>
      </c>
      <c r="C127" t="s">
        <v>5</v>
      </c>
      <c r="D127">
        <f>_xlfn.T.TEST(per_seed!$F$2:$F$11,per_seed!$F$12:$F$21,2,1)</f>
        <v>0.11424206722676394</v>
      </c>
      <c r="E127">
        <v>0.11424206722676521</v>
      </c>
    </row>
    <row r="128" spans="1:5">
      <c r="A128" t="s">
        <v>26</v>
      </c>
      <c r="B128" t="s">
        <v>27</v>
      </c>
      <c r="C128" t="s">
        <v>6</v>
      </c>
      <c r="D128">
        <f>(AVERAGE(per_seed!$G$12:$G$21)-AVERAGE(per_seed!$G$2:$G$11))/AVERAGE(per_seed!$G$2:$G$11)*100</f>
        <v>10.038180905282903</v>
      </c>
      <c r="E128">
        <v>10.038180905282889</v>
      </c>
    </row>
    <row r="129" spans="1:5">
      <c r="A129" t="s">
        <v>28</v>
      </c>
      <c r="B129" t="s">
        <v>27</v>
      </c>
      <c r="C129" t="s">
        <v>6</v>
      </c>
      <c r="D129">
        <f>_xlfn.T.TEST(per_seed!$G$2:$G$11,per_seed!$G$12:$G$21,2,1)</f>
        <v>1.0470667278936865E-5</v>
      </c>
      <c r="E129">
        <v>1.0470667278936939E-5</v>
      </c>
    </row>
    <row r="130" spans="1:5">
      <c r="A130" t="s">
        <v>26</v>
      </c>
      <c r="B130" t="s">
        <v>27</v>
      </c>
      <c r="C130" t="s">
        <v>7</v>
      </c>
      <c r="D130">
        <f>(AVERAGE(per_seed!$H$12:$H$21)-AVERAGE(per_seed!$H$2:$H$11))/AVERAGE(per_seed!$H$2:$H$11)*100</f>
        <v>-10.062333036509347</v>
      </c>
      <c r="E130">
        <v>-10.062333036509351</v>
      </c>
    </row>
    <row r="131" spans="1:5">
      <c r="A131" t="s">
        <v>28</v>
      </c>
      <c r="B131" t="s">
        <v>27</v>
      </c>
      <c r="C131" t="s">
        <v>7</v>
      </c>
      <c r="D131">
        <f>_xlfn.T.TEST(per_seed!$H$2:$H$11,per_seed!$H$12:$H$21,2,1)</f>
        <v>1.5482242846654361E-6</v>
      </c>
      <c r="E131">
        <v>1.5482242846654319E-6</v>
      </c>
    </row>
    <row r="132" spans="1:5">
      <c r="A132" t="s">
        <v>26</v>
      </c>
      <c r="B132" t="s">
        <v>27</v>
      </c>
      <c r="C132" t="s">
        <v>8</v>
      </c>
      <c r="D132">
        <f>(AVERAGE(per_seed!$I$12:$I$21)-AVERAGE(per_seed!$I$2:$I$11))/AVERAGE(per_seed!$I$2:$I$11)*100</f>
        <v>-9.1674094997477624</v>
      </c>
      <c r="E132">
        <v>-9.1674094997477624</v>
      </c>
    </row>
    <row r="133" spans="1:5">
      <c r="A133" t="s">
        <v>28</v>
      </c>
      <c r="B133" t="s">
        <v>27</v>
      </c>
      <c r="C133" t="s">
        <v>8</v>
      </c>
      <c r="D133">
        <f>_xlfn.T.TEST(per_seed!$I$2:$I$11,per_seed!$I$12:$I$21,2,1)</f>
        <v>1.4159660675844249E-5</v>
      </c>
      <c r="E133">
        <v>1.4159660675843801E-5</v>
      </c>
    </row>
    <row r="134" spans="1:5">
      <c r="A134" t="s">
        <v>26</v>
      </c>
      <c r="B134" t="s">
        <v>27</v>
      </c>
      <c r="C134" t="s">
        <v>9</v>
      </c>
      <c r="D134">
        <f>(AVERAGE(per_seed!$J$12:$J$21)-AVERAGE(per_seed!$J$2:$J$11))/AVERAGE(per_seed!$J$2:$J$11)*100</f>
        <v>0.27231922253652241</v>
      </c>
      <c r="E134">
        <v>0.27231922253652241</v>
      </c>
    </row>
    <row r="135" spans="1:5">
      <c r="A135" t="s">
        <v>28</v>
      </c>
      <c r="B135" t="s">
        <v>27</v>
      </c>
      <c r="C135" t="s">
        <v>9</v>
      </c>
      <c r="D135">
        <f>_xlfn.T.TEST(per_seed!$J$2:$J$11,per_seed!$J$12:$J$21,2,1)</f>
        <v>0.76387627828407534</v>
      </c>
      <c r="E135">
        <v>0.76387627828407489</v>
      </c>
    </row>
    <row r="136" spans="1:5">
      <c r="A136" t="s">
        <v>26</v>
      </c>
      <c r="B136" t="s">
        <v>27</v>
      </c>
      <c r="C136" t="s">
        <v>10</v>
      </c>
      <c r="D136">
        <f>(AVERAGE(per_seed!$K$12:$K$21)-AVERAGE(per_seed!$K$2:$K$11))/AVERAGE(per_seed!$K$2:$K$11)*100</f>
        <v>-2.078494111024753</v>
      </c>
      <c r="E136">
        <v>-2.078494111024753</v>
      </c>
    </row>
    <row r="137" spans="1:5">
      <c r="A137" t="s">
        <v>28</v>
      </c>
      <c r="B137" t="s">
        <v>27</v>
      </c>
      <c r="C137" t="s">
        <v>10</v>
      </c>
      <c r="D137">
        <f>_xlfn.T.TEST(per_seed!$K$2:$K$11,per_seed!$K$12:$K$21,2,1)</f>
        <v>4.7152026435504812E-2</v>
      </c>
      <c r="E137">
        <v>4.71520264355033E-2</v>
      </c>
    </row>
    <row r="138" spans="1:5">
      <c r="A138" t="s">
        <v>26</v>
      </c>
      <c r="B138" t="s">
        <v>27</v>
      </c>
      <c r="C138" t="s">
        <v>11</v>
      </c>
      <c r="D138">
        <f>(AVERAGE(per_seed!$L$12:$L$21)-AVERAGE(per_seed!$L$2:$L$11))/AVERAGE(per_seed!$L$2:$L$11)*100</f>
        <v>7.2103013474120665</v>
      </c>
      <c r="E138">
        <v>7.2103013474120674</v>
      </c>
    </row>
    <row r="139" spans="1:5">
      <c r="A139" t="s">
        <v>28</v>
      </c>
      <c r="B139" t="s">
        <v>27</v>
      </c>
      <c r="C139" t="s">
        <v>11</v>
      </c>
      <c r="D139">
        <f>_xlfn.T.TEST(per_seed!$L$2:$L$11,per_seed!$L$12:$L$21,2,1)</f>
        <v>2.4109721202608653E-2</v>
      </c>
      <c r="E139">
        <v>2.4109721202608531E-2</v>
      </c>
    </row>
    <row r="140" spans="1:5">
      <c r="A140" t="s">
        <v>26</v>
      </c>
      <c r="B140" t="s">
        <v>27</v>
      </c>
      <c r="C140" t="s">
        <v>12</v>
      </c>
      <c r="D140">
        <f>(AVERAGE(per_seed!$M$12:$M$21)-AVERAGE(per_seed!$M$2:$M$11))/AVERAGE(per_seed!$M$2:$M$11)*100</f>
        <v>-4.1058646101227749</v>
      </c>
      <c r="E140">
        <v>-4.1058646101227154</v>
      </c>
    </row>
    <row r="141" spans="1:5">
      <c r="A141" t="s">
        <v>28</v>
      </c>
      <c r="B141" t="s">
        <v>27</v>
      </c>
      <c r="C141" t="s">
        <v>12</v>
      </c>
      <c r="D141">
        <f>_xlfn.T.TEST(per_seed!$M$2:$M$11,per_seed!$M$12:$M$21,2,1)</f>
        <v>0.77363784141092418</v>
      </c>
      <c r="E141">
        <v>0.77363784141092917</v>
      </c>
    </row>
    <row r="142" spans="1:5">
      <c r="A142" t="s">
        <v>26</v>
      </c>
      <c r="B142" t="s">
        <v>29</v>
      </c>
      <c r="C142" t="s">
        <v>3</v>
      </c>
      <c r="D142">
        <f>(AVERAGE(per_seed!$D$32:$D$41)-AVERAGE(per_seed!$D$22:$D$31))/AVERAGE(per_seed!$D$22:$D$31)*100</f>
        <v>-6.9993700567044462E-3</v>
      </c>
      <c r="E142">
        <v>-6.9993700567044462E-3</v>
      </c>
    </row>
    <row r="143" spans="1:5">
      <c r="A143" t="s">
        <v>28</v>
      </c>
      <c r="B143" t="s">
        <v>29</v>
      </c>
      <c r="C143" t="s">
        <v>3</v>
      </c>
      <c r="D143">
        <f>_xlfn.T.TEST(per_seed!$D$22:$D$31,per_seed!$D$32:$D$41,2,1)</f>
        <v>0.90433842850835133</v>
      </c>
      <c r="E143">
        <v>0.90433842850847856</v>
      </c>
    </row>
    <row r="144" spans="1:5">
      <c r="A144" t="s">
        <v>26</v>
      </c>
      <c r="B144" t="s">
        <v>29</v>
      </c>
      <c r="C144" t="s">
        <v>4</v>
      </c>
      <c r="D144">
        <f>(AVERAGE(per_seed!$E$32:$E$41)-AVERAGE(per_seed!$E$22:$E$31))/AVERAGE(per_seed!$E$22:$E$31)*100</f>
        <v>-1.5017853392144578</v>
      </c>
      <c r="E144">
        <v>-1.501785339214458</v>
      </c>
    </row>
    <row r="145" spans="1:5">
      <c r="A145" t="s">
        <v>28</v>
      </c>
      <c r="B145" t="s">
        <v>29</v>
      </c>
      <c r="C145" t="s">
        <v>4</v>
      </c>
      <c r="D145">
        <f>_xlfn.T.TEST(per_seed!$E$22:$E$31,per_seed!$E$32:$E$41,2,1)</f>
        <v>1.1787578138252746E-3</v>
      </c>
      <c r="E145">
        <v>1.1787578138253161E-3</v>
      </c>
    </row>
    <row r="146" spans="1:5">
      <c r="A146" t="s">
        <v>26</v>
      </c>
      <c r="B146" t="s">
        <v>29</v>
      </c>
      <c r="C146" t="s">
        <v>5</v>
      </c>
      <c r="D146">
        <f>(AVERAGE(per_seed!$F$32:$F$41)-AVERAGE(per_seed!$F$22:$F$31))/AVERAGE(per_seed!$F$22:$F$31)*100</f>
        <v>-1.5907207953604015</v>
      </c>
      <c r="E146">
        <v>-1.590720795360401</v>
      </c>
    </row>
    <row r="147" spans="1:5">
      <c r="A147" t="s">
        <v>28</v>
      </c>
      <c r="B147" t="s">
        <v>29</v>
      </c>
      <c r="C147" t="s">
        <v>5</v>
      </c>
      <c r="D147">
        <f>_xlfn.T.TEST(per_seed!$F$22:$F$31,per_seed!$F$32:$F$41,2,1)</f>
        <v>1.4129254523320251E-2</v>
      </c>
      <c r="E147">
        <v>1.412925452332041E-2</v>
      </c>
    </row>
    <row r="148" spans="1:5">
      <c r="A148" t="s">
        <v>26</v>
      </c>
      <c r="B148" t="s">
        <v>29</v>
      </c>
      <c r="C148" t="s">
        <v>6</v>
      </c>
      <c r="D148">
        <f>(AVERAGE(per_seed!$G$32:$G$41)-AVERAGE(per_seed!$G$22:$G$31))/AVERAGE(per_seed!$G$22:$G$31)*100</f>
        <v>11.018273935911232</v>
      </c>
      <c r="E148">
        <v>11.018273935911269</v>
      </c>
    </row>
    <row r="149" spans="1:5">
      <c r="A149" t="s">
        <v>28</v>
      </c>
      <c r="B149" t="s">
        <v>29</v>
      </c>
      <c r="C149" t="s">
        <v>6</v>
      </c>
      <c r="D149">
        <f>_xlfn.T.TEST(per_seed!$G$22:$G$31,per_seed!$G$32:$G$41,2,1)</f>
        <v>7.5819886318976554E-6</v>
      </c>
      <c r="E149">
        <v>7.5819886318975521E-6</v>
      </c>
    </row>
    <row r="150" spans="1:5">
      <c r="A150" t="s">
        <v>26</v>
      </c>
      <c r="B150" t="s">
        <v>29</v>
      </c>
      <c r="C150" t="s">
        <v>7</v>
      </c>
      <c r="D150">
        <f>(AVERAGE(per_seed!$H$32:$H$41)-AVERAGE(per_seed!$H$22:$H$31))/AVERAGE(per_seed!$H$22:$H$31)*100</f>
        <v>-11.355932203389834</v>
      </c>
      <c r="E150">
        <v>-11.35593220338983</v>
      </c>
    </row>
    <row r="151" spans="1:5">
      <c r="A151" t="s">
        <v>28</v>
      </c>
      <c r="B151" t="s">
        <v>29</v>
      </c>
      <c r="C151" t="s">
        <v>7</v>
      </c>
      <c r="D151">
        <f>_xlfn.T.TEST(per_seed!$H$22:$H$31,per_seed!$H$32:$H$41,2,1)</f>
        <v>3.6740557415890806E-7</v>
      </c>
      <c r="E151">
        <v>3.674055741589098E-7</v>
      </c>
    </row>
    <row r="152" spans="1:5">
      <c r="A152" t="s">
        <v>26</v>
      </c>
      <c r="B152" t="s">
        <v>29</v>
      </c>
      <c r="C152" t="s">
        <v>8</v>
      </c>
      <c r="D152">
        <f>(AVERAGE(per_seed!$I$32:$I$41)-AVERAGE(per_seed!$I$22:$I$31))/AVERAGE(per_seed!$I$22:$I$31)*100</f>
        <v>-9.9167395917073229</v>
      </c>
      <c r="E152">
        <v>-9.9167395917073229</v>
      </c>
    </row>
    <row r="153" spans="1:5">
      <c r="A153" t="s">
        <v>28</v>
      </c>
      <c r="B153" t="s">
        <v>29</v>
      </c>
      <c r="C153" t="s">
        <v>8</v>
      </c>
      <c r="D153">
        <f>_xlfn.T.TEST(per_seed!$I$22:$I$31,per_seed!$I$32:$I$41,2,1)</f>
        <v>8.2592912313688074E-6</v>
      </c>
      <c r="E153">
        <v>8.2592912313691868E-6</v>
      </c>
    </row>
    <row r="154" spans="1:5">
      <c r="A154" t="s">
        <v>26</v>
      </c>
      <c r="B154" t="s">
        <v>29</v>
      </c>
      <c r="C154" t="s">
        <v>9</v>
      </c>
      <c r="D154">
        <f>(AVERAGE(per_seed!$J$32:$J$41)-AVERAGE(per_seed!$J$22:$J$31))/AVERAGE(per_seed!$J$22:$J$31)*100</f>
        <v>-0.89719675500850304</v>
      </c>
      <c r="E154">
        <v>-0.89719675500852003</v>
      </c>
    </row>
    <row r="155" spans="1:5">
      <c r="A155" t="s">
        <v>28</v>
      </c>
      <c r="B155" t="s">
        <v>29</v>
      </c>
      <c r="C155" t="s">
        <v>9</v>
      </c>
      <c r="D155">
        <f>_xlfn.T.TEST(per_seed!$J$22:$J$31,per_seed!$J$32:$J$41,2,1)</f>
        <v>0.30978955240123385</v>
      </c>
      <c r="E155">
        <v>0.30978955240123529</v>
      </c>
    </row>
    <row r="156" spans="1:5">
      <c r="A156" t="s">
        <v>26</v>
      </c>
      <c r="B156" t="s">
        <v>29</v>
      </c>
      <c r="C156" t="s">
        <v>10</v>
      </c>
      <c r="D156">
        <f>(AVERAGE(per_seed!$K$32:$K$41)-AVERAGE(per_seed!$K$22:$K$31))/AVERAGE(per_seed!$K$22:$K$31)*100</f>
        <v>-2.7566540051129587</v>
      </c>
      <c r="E156">
        <v>-2.7566540051129591</v>
      </c>
    </row>
    <row r="157" spans="1:5">
      <c r="A157" t="s">
        <v>28</v>
      </c>
      <c r="B157" t="s">
        <v>29</v>
      </c>
      <c r="C157" t="s">
        <v>10</v>
      </c>
      <c r="D157">
        <f>_xlfn.T.TEST(per_seed!$K$22:$K$31,per_seed!$K$32:$K$41,2,1)</f>
        <v>3.5171058073491142E-2</v>
      </c>
      <c r="E157">
        <v>3.517105807349144E-2</v>
      </c>
    </row>
    <row r="158" spans="1:5">
      <c r="A158" t="s">
        <v>26</v>
      </c>
      <c r="B158" t="s">
        <v>29</v>
      </c>
      <c r="C158" t="s">
        <v>11</v>
      </c>
      <c r="D158">
        <f>(AVERAGE(per_seed!$L$32:$L$41)-AVERAGE(per_seed!$L$22:$L$31))/AVERAGE(per_seed!$L$22:$L$31)*100</f>
        <v>14.52073342717741</v>
      </c>
      <c r="E158">
        <v>14.52073342717741</v>
      </c>
    </row>
    <row r="159" spans="1:5">
      <c r="A159" t="s">
        <v>28</v>
      </c>
      <c r="B159" t="s">
        <v>29</v>
      </c>
      <c r="C159" t="s">
        <v>11</v>
      </c>
      <c r="D159">
        <f>_xlfn.T.TEST(per_seed!$L$22:$L$31,per_seed!$L$32:$L$41,2,1)</f>
        <v>6.6126517436111941E-3</v>
      </c>
      <c r="E159">
        <v>6.6126517436112132E-3</v>
      </c>
    </row>
    <row r="160" spans="1:5">
      <c r="A160" t="s">
        <v>26</v>
      </c>
      <c r="B160" t="s">
        <v>29</v>
      </c>
      <c r="C160" t="s">
        <v>12</v>
      </c>
      <c r="D160">
        <f>(AVERAGE(per_seed!$M$32:$M$41)-AVERAGE(per_seed!$M$22:$M$31))/AVERAGE(per_seed!$M$22:$M$31)*100</f>
        <v>1.273173194618973</v>
      </c>
      <c r="E160">
        <v>1.273173194618973</v>
      </c>
    </row>
    <row r="161" spans="1:5">
      <c r="A161" t="s">
        <v>28</v>
      </c>
      <c r="B161" t="s">
        <v>29</v>
      </c>
      <c r="C161" t="s">
        <v>12</v>
      </c>
      <c r="D161">
        <f>_xlfn.T.TEST(per_seed!$M$22:$M$31,per_seed!$M$32:$M$41,2,1)</f>
        <v>0.83072781201327817</v>
      </c>
      <c r="E161">
        <v>0.8307278120132795</v>
      </c>
    </row>
    <row r="162" spans="1:5">
      <c r="A162" t="s">
        <v>26</v>
      </c>
      <c r="B162" t="s">
        <v>30</v>
      </c>
      <c r="C162" t="s">
        <v>3</v>
      </c>
      <c r="D162">
        <f>(AVERAGE(per_seed!$D$12:$D$21)-AVERAGE(per_seed!$D$42:$D$51))/AVERAGE(per_seed!$D$42:$D$51)*100</f>
        <v>14.392658778072926</v>
      </c>
      <c r="E162">
        <v>14.39265877807293</v>
      </c>
    </row>
    <row r="163" spans="1:5">
      <c r="A163" t="s">
        <v>28</v>
      </c>
      <c r="B163" t="s">
        <v>30</v>
      </c>
      <c r="C163" t="s">
        <v>3</v>
      </c>
      <c r="D163">
        <f>_xlfn.T.TEST(per_seed!$D$42:$D$51,per_seed!$D$12:$D$21,2,1)</f>
        <v>4.3510398411864798E-9</v>
      </c>
      <c r="E163">
        <v>4.3510398411864839E-9</v>
      </c>
    </row>
    <row r="164" spans="1:5">
      <c r="A164" t="s">
        <v>26</v>
      </c>
      <c r="B164" t="s">
        <v>30</v>
      </c>
      <c r="C164" t="s">
        <v>4</v>
      </c>
      <c r="D164">
        <f>(AVERAGE(per_seed!$E$12:$E$21)-AVERAGE(per_seed!$E$42:$E$51))/AVERAGE(per_seed!$E$42:$E$51)*100</f>
        <v>15.367455694633783</v>
      </c>
      <c r="E164">
        <v>15.367455694633779</v>
      </c>
    </row>
    <row r="165" spans="1:5">
      <c r="A165" t="s">
        <v>28</v>
      </c>
      <c r="B165" t="s">
        <v>30</v>
      </c>
      <c r="C165" t="s">
        <v>4</v>
      </c>
      <c r="D165">
        <f>_xlfn.T.TEST(per_seed!$E$42:$E$51,per_seed!$E$12:$E$21,2,1)</f>
        <v>2.9857425212072959E-9</v>
      </c>
      <c r="E165">
        <v>2.9857425212072992E-9</v>
      </c>
    </row>
    <row r="166" spans="1:5">
      <c r="A166" t="s">
        <v>26</v>
      </c>
      <c r="B166" t="s">
        <v>30</v>
      </c>
      <c r="C166" t="s">
        <v>5</v>
      </c>
      <c r="D166">
        <f>(AVERAGE(per_seed!$F$12:$F$21)-AVERAGE(per_seed!$F$42:$F$51))/AVERAGE(per_seed!$F$42:$F$51)*100</f>
        <v>3.1483736301965597</v>
      </c>
      <c r="E166">
        <v>3.1483736301965601</v>
      </c>
    </row>
    <row r="167" spans="1:5">
      <c r="A167" t="s">
        <v>28</v>
      </c>
      <c r="B167" t="s">
        <v>30</v>
      </c>
      <c r="C167" t="s">
        <v>5</v>
      </c>
      <c r="D167">
        <f>_xlfn.T.TEST(per_seed!$F$42:$F$51,per_seed!$F$12:$F$21,2,1)</f>
        <v>1.337950466645491E-3</v>
      </c>
      <c r="E167">
        <v>1.337950466645499E-3</v>
      </c>
    </row>
    <row r="168" spans="1:5">
      <c r="A168" t="s">
        <v>26</v>
      </c>
      <c r="B168" t="s">
        <v>30</v>
      </c>
      <c r="C168" t="s">
        <v>6</v>
      </c>
      <c r="D168">
        <f>(AVERAGE(per_seed!$G$12:$G$21)-AVERAGE(per_seed!$G$42:$G$51))/AVERAGE(per_seed!$G$42:$G$51)*100</f>
        <v>80.123735908422091</v>
      </c>
      <c r="E168">
        <v>80.123735908422063</v>
      </c>
    </row>
    <row r="169" spans="1:5">
      <c r="A169" t="s">
        <v>28</v>
      </c>
      <c r="B169" t="s">
        <v>30</v>
      </c>
      <c r="C169" t="s">
        <v>6</v>
      </c>
      <c r="D169">
        <f>_xlfn.T.TEST(per_seed!$G$42:$G$51,per_seed!$G$12:$G$21,2,1)</f>
        <v>4.3842660359821036E-13</v>
      </c>
      <c r="E169">
        <v>4.3842660359820758E-13</v>
      </c>
    </row>
    <row r="170" spans="1:5">
      <c r="A170" t="s">
        <v>26</v>
      </c>
      <c r="B170" t="s">
        <v>30</v>
      </c>
      <c r="C170" t="s">
        <v>7</v>
      </c>
      <c r="D170">
        <f>(AVERAGE(per_seed!$H$12:$H$21)-AVERAGE(per_seed!$H$42:$H$51))/AVERAGE(per_seed!$H$42:$H$51)*100</f>
        <v>-42.71128757799206</v>
      </c>
      <c r="E170">
        <v>-42.71128757799206</v>
      </c>
    </row>
    <row r="171" spans="1:5">
      <c r="A171" t="s">
        <v>28</v>
      </c>
      <c r="B171" t="s">
        <v>30</v>
      </c>
      <c r="C171" t="s">
        <v>7</v>
      </c>
      <c r="D171">
        <f>_xlfn.T.TEST(per_seed!$H$42:$H$51,per_seed!$H$12:$H$21,2,1)</f>
        <v>9.1322174288245356E-13</v>
      </c>
      <c r="E171">
        <v>9.132217428824578E-13</v>
      </c>
    </row>
    <row r="172" spans="1:5">
      <c r="A172" t="s">
        <v>26</v>
      </c>
      <c r="B172" t="s">
        <v>30</v>
      </c>
      <c r="C172" t="s">
        <v>8</v>
      </c>
      <c r="D172">
        <f>(AVERAGE(per_seed!$I$12:$I$21)-AVERAGE(per_seed!$I$42:$I$51))/AVERAGE(per_seed!$I$42:$I$51)*100</f>
        <v>-44.481117938819956</v>
      </c>
      <c r="E172">
        <v>-44.481117938819942</v>
      </c>
    </row>
    <row r="173" spans="1:5">
      <c r="A173" t="s">
        <v>28</v>
      </c>
      <c r="B173" t="s">
        <v>30</v>
      </c>
      <c r="C173" t="s">
        <v>8</v>
      </c>
      <c r="D173">
        <f>_xlfn.T.TEST(per_seed!$I$42:$I$51,per_seed!$I$12:$I$21,2,1)</f>
        <v>3.5917485307758292E-13</v>
      </c>
      <c r="E173">
        <v>3.5917485307758322E-13</v>
      </c>
    </row>
    <row r="174" spans="1:5">
      <c r="A174" t="s">
        <v>26</v>
      </c>
      <c r="B174" t="s">
        <v>30</v>
      </c>
      <c r="C174" t="s">
        <v>9</v>
      </c>
      <c r="D174">
        <f>(AVERAGE(per_seed!$J$12:$J$21)-AVERAGE(per_seed!$J$42:$J$51))/AVERAGE(per_seed!$J$42:$J$51)*100</f>
        <v>-36.747576882158995</v>
      </c>
      <c r="E174">
        <v>-36.747576882159009</v>
      </c>
    </row>
    <row r="175" spans="1:5">
      <c r="A175" t="s">
        <v>28</v>
      </c>
      <c r="B175" t="s">
        <v>30</v>
      </c>
      <c r="C175" t="s">
        <v>9</v>
      </c>
      <c r="D175">
        <f>_xlfn.T.TEST(per_seed!$J$42:$J$51,per_seed!$J$12:$J$21,2,1)</f>
        <v>3.0218216751699791E-13</v>
      </c>
      <c r="E175">
        <v>3.021821675169918E-13</v>
      </c>
    </row>
    <row r="176" spans="1:5">
      <c r="A176" t="s">
        <v>26</v>
      </c>
      <c r="B176" t="s">
        <v>30</v>
      </c>
      <c r="C176" t="s">
        <v>10</v>
      </c>
      <c r="D176">
        <f>(AVERAGE(per_seed!$K$12:$K$21)-AVERAGE(per_seed!$K$42:$K$51))/AVERAGE(per_seed!$K$42:$K$51)*100</f>
        <v>-31.313519681853887</v>
      </c>
      <c r="E176">
        <v>-31.313519681853901</v>
      </c>
    </row>
    <row r="177" spans="1:5">
      <c r="A177" t="s">
        <v>28</v>
      </c>
      <c r="B177" t="s">
        <v>30</v>
      </c>
      <c r="C177" t="s">
        <v>10</v>
      </c>
      <c r="D177">
        <f>_xlfn.T.TEST(per_seed!$K$42:$K$51,per_seed!$K$12:$K$21,2,1)</f>
        <v>1.2434315168166614E-12</v>
      </c>
      <c r="E177">
        <v>1.243431516816645E-12</v>
      </c>
    </row>
    <row r="178" spans="1:5">
      <c r="A178" t="s">
        <v>26</v>
      </c>
      <c r="B178" t="s">
        <v>30</v>
      </c>
      <c r="C178" t="s">
        <v>11</v>
      </c>
      <c r="D178">
        <f>(AVERAGE(per_seed!$L$12:$L$21)-AVERAGE(per_seed!$L$42:$L$51))/AVERAGE(per_seed!$L$42:$L$51)*100</f>
        <v>174.48979591839833</v>
      </c>
      <c r="E178">
        <v>174.4897959183983</v>
      </c>
    </row>
    <row r="179" spans="1:5">
      <c r="A179" t="s">
        <v>28</v>
      </c>
      <c r="B179" t="s">
        <v>30</v>
      </c>
      <c r="C179" t="s">
        <v>11</v>
      </c>
      <c r="D179">
        <f>_xlfn.T.TEST(per_seed!$L$42:$L$51,per_seed!$L$12:$L$21,2,1)</f>
        <v>5.5102424279602907E-10</v>
      </c>
      <c r="E179">
        <v>5.5102424279602949E-10</v>
      </c>
    </row>
    <row r="180" spans="1:5">
      <c r="A180" t="s">
        <v>26</v>
      </c>
      <c r="B180" t="s">
        <v>30</v>
      </c>
      <c r="C180" t="s">
        <v>12</v>
      </c>
      <c r="D180">
        <f>(AVERAGE(per_seed!$M$12:$M$21)-AVERAGE(per_seed!$M$42:$M$51))/AVERAGE(per_seed!$M$42:$M$51)*100</f>
        <v>-89.886331559589522</v>
      </c>
      <c r="E180">
        <v>-89.886331559589522</v>
      </c>
    </row>
    <row r="181" spans="1:5">
      <c r="A181" t="s">
        <v>28</v>
      </c>
      <c r="B181" t="s">
        <v>30</v>
      </c>
      <c r="C181" t="s">
        <v>12</v>
      </c>
      <c r="D181">
        <f>_xlfn.T.TEST(per_seed!$M$42:$M$51,per_seed!$M$12:$M$21,2,1)</f>
        <v>4.2842599885340217E-9</v>
      </c>
      <c r="E181">
        <v>4.2842599885339953E-9</v>
      </c>
    </row>
    <row r="182" spans="1:5">
      <c r="A182" t="s">
        <v>26</v>
      </c>
      <c r="B182" t="s">
        <v>31</v>
      </c>
      <c r="C182" t="s">
        <v>3</v>
      </c>
      <c r="D182">
        <f>(AVERAGE(per_seed!$D$2:$D$11)-AVERAGE(per_seed!$D$42:$D$51))/AVERAGE(per_seed!$D$42:$D$51)*100</f>
        <v>14.296063752716748</v>
      </c>
      <c r="E182">
        <v>14.29606375271675</v>
      </c>
    </row>
    <row r="183" spans="1:5">
      <c r="A183" t="s">
        <v>28</v>
      </c>
      <c r="B183" t="s">
        <v>31</v>
      </c>
      <c r="C183" t="s">
        <v>3</v>
      </c>
      <c r="D183">
        <f>_xlfn.T.TEST(per_seed!$D$42:$D$51,per_seed!$D$2:$D$11,2,1)</f>
        <v>1.9374854607807913E-8</v>
      </c>
      <c r="E183">
        <v>1.9374854607808131E-8</v>
      </c>
    </row>
    <row r="184" spans="1:5">
      <c r="A184" t="s">
        <v>26</v>
      </c>
      <c r="B184" t="s">
        <v>31</v>
      </c>
      <c r="C184" t="s">
        <v>4</v>
      </c>
      <c r="D184">
        <f>(AVERAGE(per_seed!$E$2:$E$11)-AVERAGE(per_seed!$E$42:$E$51))/AVERAGE(per_seed!$E$42:$E$51)*100</f>
        <v>17.251208328169543</v>
      </c>
      <c r="E184">
        <v>17.25120832816954</v>
      </c>
    </row>
    <row r="185" spans="1:5">
      <c r="A185" t="s">
        <v>28</v>
      </c>
      <c r="B185" t="s">
        <v>31</v>
      </c>
      <c r="C185" t="s">
        <v>4</v>
      </c>
      <c r="D185">
        <f>_xlfn.T.TEST(per_seed!$E$42:$E$51,per_seed!$E$2:$E$11,2,1)</f>
        <v>8.8597244229708196E-8</v>
      </c>
      <c r="E185">
        <v>8.8597244229708778E-8</v>
      </c>
    </row>
    <row r="186" spans="1:5">
      <c r="A186" t="s">
        <v>26</v>
      </c>
      <c r="B186" t="s">
        <v>31</v>
      </c>
      <c r="C186" t="s">
        <v>5</v>
      </c>
      <c r="D186">
        <f>(AVERAGE(per_seed!$F$2:$F$11)-AVERAGE(per_seed!$F$42:$F$51))/AVERAGE(per_seed!$F$42:$F$51)*100</f>
        <v>4.2094277265611488</v>
      </c>
      <c r="E186">
        <v>4.2094277265611488</v>
      </c>
    </row>
    <row r="187" spans="1:5">
      <c r="A187" t="s">
        <v>28</v>
      </c>
      <c r="B187" t="s">
        <v>31</v>
      </c>
      <c r="C187" t="s">
        <v>5</v>
      </c>
      <c r="D187">
        <f>_xlfn.T.TEST(per_seed!$F$42:$F$51,per_seed!$F$2:$F$11,2,1)</f>
        <v>2.9293822096316227E-3</v>
      </c>
      <c r="E187">
        <v>2.9293822096316592E-3</v>
      </c>
    </row>
    <row r="188" spans="1:5">
      <c r="A188" t="s">
        <v>26</v>
      </c>
      <c r="B188" t="s">
        <v>31</v>
      </c>
      <c r="C188" t="s">
        <v>6</v>
      </c>
      <c r="D188">
        <f>(AVERAGE(per_seed!$G$2:$G$11)-AVERAGE(per_seed!$G$42:$G$51))/AVERAGE(per_seed!$G$42:$G$51)*100</f>
        <v>63.692033461973018</v>
      </c>
      <c r="E188">
        <v>63.692033461973018</v>
      </c>
    </row>
    <row r="189" spans="1:5">
      <c r="A189" t="s">
        <v>28</v>
      </c>
      <c r="B189" t="s">
        <v>31</v>
      </c>
      <c r="C189" t="s">
        <v>6</v>
      </c>
      <c r="D189">
        <f>_xlfn.T.TEST(per_seed!$G$42:$G$51,per_seed!$G$2:$G$11,2,1)</f>
        <v>2.076530720374744E-10</v>
      </c>
      <c r="E189">
        <v>2.0765307203747461E-10</v>
      </c>
    </row>
    <row r="190" spans="1:5">
      <c r="A190" t="s">
        <v>26</v>
      </c>
      <c r="B190" t="s">
        <v>31</v>
      </c>
      <c r="C190" t="s">
        <v>7</v>
      </c>
      <c r="D190">
        <f>(AVERAGE(per_seed!$H$2:$H$11)-AVERAGE(per_seed!$H$42:$H$51))/AVERAGE(per_seed!$H$42:$H$51)*100</f>
        <v>-36.301758366420877</v>
      </c>
      <c r="E190">
        <v>-36.301758366420877</v>
      </c>
    </row>
    <row r="191" spans="1:5">
      <c r="A191" t="s">
        <v>28</v>
      </c>
      <c r="B191" t="s">
        <v>31</v>
      </c>
      <c r="C191" t="s">
        <v>7</v>
      </c>
      <c r="D191">
        <f>_xlfn.T.TEST(per_seed!$H$42:$H$51,per_seed!$H$2:$H$11,2,1)</f>
        <v>5.3617231825814243E-13</v>
      </c>
      <c r="E191">
        <v>5.3617231825814505E-13</v>
      </c>
    </row>
    <row r="192" spans="1:5">
      <c r="A192" t="s">
        <v>26</v>
      </c>
      <c r="B192" t="s">
        <v>31</v>
      </c>
      <c r="C192" t="s">
        <v>8</v>
      </c>
      <c r="D192">
        <f>(AVERAGE(per_seed!$I$2:$I$11)-AVERAGE(per_seed!$I$42:$I$51))/AVERAGE(per_seed!$I$42:$I$51)*100</f>
        <v>-38.877795122417133</v>
      </c>
      <c r="E192">
        <v>-38.877795122417119</v>
      </c>
    </row>
    <row r="193" spans="1:5">
      <c r="A193" t="s">
        <v>28</v>
      </c>
      <c r="B193" t="s">
        <v>31</v>
      </c>
      <c r="C193" t="s">
        <v>8</v>
      </c>
      <c r="D193">
        <f>_xlfn.T.TEST(per_seed!$I$42:$I$51,per_seed!$I$2:$I$11,2,1)</f>
        <v>7.4653220137034378E-11</v>
      </c>
      <c r="E193">
        <v>7.465322013703337E-11</v>
      </c>
    </row>
    <row r="194" spans="1:5">
      <c r="A194" t="s">
        <v>26</v>
      </c>
      <c r="B194" t="s">
        <v>31</v>
      </c>
      <c r="C194" t="s">
        <v>9</v>
      </c>
      <c r="D194">
        <f>(AVERAGE(per_seed!$J$2:$J$11)-AVERAGE(per_seed!$J$42:$J$51))/AVERAGE(per_seed!$J$42:$J$51)*100</f>
        <v>-36.919357597121561</v>
      </c>
      <c r="E194">
        <v>-36.919357597121582</v>
      </c>
    </row>
    <row r="195" spans="1:5">
      <c r="A195" t="s">
        <v>28</v>
      </c>
      <c r="B195" t="s">
        <v>31</v>
      </c>
      <c r="C195" t="s">
        <v>9</v>
      </c>
      <c r="D195">
        <f>_xlfn.T.TEST(per_seed!$J$42:$J$51,per_seed!$J$2:$J$11,2,1)</f>
        <v>5.0919515144561058E-11</v>
      </c>
      <c r="E195">
        <v>5.0919515144559843E-11</v>
      </c>
    </row>
    <row r="196" spans="1:5">
      <c r="A196" t="s">
        <v>26</v>
      </c>
      <c r="B196" t="s">
        <v>31</v>
      </c>
      <c r="C196" t="s">
        <v>10</v>
      </c>
      <c r="D196">
        <f>(AVERAGE(per_seed!$K$2:$K$11)-AVERAGE(per_seed!$K$42:$K$51))/AVERAGE(per_seed!$K$42:$K$51)*100</f>
        <v>-29.855571874043896</v>
      </c>
      <c r="E196">
        <v>-29.85557187404391</v>
      </c>
    </row>
    <row r="197" spans="1:5">
      <c r="A197" t="s">
        <v>28</v>
      </c>
      <c r="B197" t="s">
        <v>31</v>
      </c>
      <c r="C197" t="s">
        <v>10</v>
      </c>
      <c r="D197">
        <f>_xlfn.T.TEST(per_seed!$K$42:$K$51,per_seed!$K$2:$K$11,2,1)</f>
        <v>4.5777560319706205E-10</v>
      </c>
      <c r="E197">
        <v>4.5777560319706252E-10</v>
      </c>
    </row>
    <row r="198" spans="1:5">
      <c r="A198" t="s">
        <v>26</v>
      </c>
      <c r="B198" t="s">
        <v>31</v>
      </c>
      <c r="C198" t="s">
        <v>11</v>
      </c>
      <c r="D198">
        <f>(AVERAGE(per_seed!$L$2:$L$11)-AVERAGE(per_seed!$L$42:$L$51))/AVERAGE(per_seed!$L$42:$L$51)*100</f>
        <v>156.02931105372198</v>
      </c>
      <c r="E198">
        <v>156.02931105372201</v>
      </c>
    </row>
    <row r="199" spans="1:5">
      <c r="A199" t="s">
        <v>28</v>
      </c>
      <c r="B199" t="s">
        <v>31</v>
      </c>
      <c r="C199" t="s">
        <v>11</v>
      </c>
      <c r="D199">
        <f>_xlfn.T.TEST(per_seed!$L$42:$L$51,per_seed!$L$2:$L$11,2,1)</f>
        <v>4.1223999675947397E-11</v>
      </c>
      <c r="E199">
        <v>4.1223999675947442E-11</v>
      </c>
    </row>
    <row r="200" spans="1:5">
      <c r="A200" t="s">
        <v>26</v>
      </c>
      <c r="B200" t="s">
        <v>31</v>
      </c>
      <c r="C200" t="s">
        <v>12</v>
      </c>
      <c r="D200">
        <f>(AVERAGE(per_seed!$M$2:$M$11)-AVERAGE(per_seed!$M$42:$M$51))/AVERAGE(per_seed!$M$42:$M$51)*100</f>
        <v>-89.453298265539075</v>
      </c>
      <c r="E200">
        <v>-89.45329826553909</v>
      </c>
    </row>
    <row r="201" spans="1:5">
      <c r="A201" t="s">
        <v>28</v>
      </c>
      <c r="B201" t="s">
        <v>31</v>
      </c>
      <c r="C201" t="s">
        <v>12</v>
      </c>
      <c r="D201">
        <f>_xlfn.T.TEST(per_seed!$M$42:$M$51,per_seed!$M$2:$M$11,2,1)</f>
        <v>1.8200523283100836E-8</v>
      </c>
      <c r="E201">
        <v>1.820052328310079E-8</v>
      </c>
    </row>
    <row r="202" spans="1:5">
      <c r="A202" t="s">
        <v>26</v>
      </c>
      <c r="B202" t="s">
        <v>32</v>
      </c>
      <c r="C202" t="s">
        <v>3</v>
      </c>
      <c r="D202">
        <f>(AVERAGE(per_seed!$D$32:$D$41)-AVERAGE(per_seed!$D$52:$D$61))/AVERAGE(per_seed!$D$52:$D$61)*100</f>
        <v>0.91833851370443642</v>
      </c>
      <c r="E202">
        <v>0.91833851370443642</v>
      </c>
    </row>
    <row r="203" spans="1:5">
      <c r="A203" t="s">
        <v>28</v>
      </c>
      <c r="B203" t="s">
        <v>32</v>
      </c>
      <c r="C203" t="s">
        <v>3</v>
      </c>
      <c r="D203">
        <f>_xlfn.T.TEST(per_seed!$D$52:$D$61,per_seed!$D$32:$D$41,2,1)</f>
        <v>2.6958231382711452E-2</v>
      </c>
      <c r="E203">
        <v>2.695823138271149E-2</v>
      </c>
    </row>
    <row r="204" spans="1:5">
      <c r="A204" t="s">
        <v>26</v>
      </c>
      <c r="B204" t="s">
        <v>32</v>
      </c>
      <c r="C204" t="s">
        <v>4</v>
      </c>
      <c r="D204">
        <f>(AVERAGE(per_seed!$E$32:$E$41)-AVERAGE(per_seed!$E$52:$E$61))/AVERAGE(per_seed!$E$52:$E$61)*100</f>
        <v>2.1788865889530449</v>
      </c>
      <c r="E204">
        <v>2.1788865889530449</v>
      </c>
    </row>
    <row r="205" spans="1:5">
      <c r="A205" t="s">
        <v>28</v>
      </c>
      <c r="B205" t="s">
        <v>32</v>
      </c>
      <c r="C205" t="s">
        <v>4</v>
      </c>
      <c r="D205">
        <f>_xlfn.T.TEST(per_seed!$E$52:$E$61,per_seed!$E$32:$E$41,2,1)</f>
        <v>2.3108546547265579E-3</v>
      </c>
      <c r="E205">
        <v>2.310854654726557E-3</v>
      </c>
    </row>
    <row r="206" spans="1:5">
      <c r="A206" t="s">
        <v>26</v>
      </c>
      <c r="B206" t="s">
        <v>32</v>
      </c>
      <c r="C206" t="s">
        <v>5</v>
      </c>
      <c r="D206">
        <f>(AVERAGE(per_seed!$F$32:$F$41)-AVERAGE(per_seed!$F$52:$F$61))/AVERAGE(per_seed!$F$52:$F$61)*100</f>
        <v>-7.5929671697526162</v>
      </c>
      <c r="E206">
        <v>-7.5929671697526162</v>
      </c>
    </row>
    <row r="207" spans="1:5">
      <c r="A207" t="s">
        <v>28</v>
      </c>
      <c r="B207" t="s">
        <v>32</v>
      </c>
      <c r="C207" t="s">
        <v>5</v>
      </c>
      <c r="D207">
        <f>_xlfn.T.TEST(per_seed!$F$52:$F$61,per_seed!$F$32:$F$41,2,1)</f>
        <v>1.7130302603660224E-6</v>
      </c>
      <c r="E207">
        <v>1.7130302603660419E-6</v>
      </c>
    </row>
    <row r="208" spans="1:5">
      <c r="A208" t="s">
        <v>26</v>
      </c>
      <c r="B208" t="s">
        <v>32</v>
      </c>
      <c r="C208" t="s">
        <v>6</v>
      </c>
      <c r="D208">
        <f>(AVERAGE(per_seed!$G$32:$G$41)-AVERAGE(per_seed!$G$52:$G$61))/AVERAGE(per_seed!$G$52:$G$61)*100</f>
        <v>88.281053869538653</v>
      </c>
      <c r="E208">
        <v>88.281053869538624</v>
      </c>
    </row>
    <row r="209" spans="1:5">
      <c r="A209" t="s">
        <v>28</v>
      </c>
      <c r="B209" t="s">
        <v>32</v>
      </c>
      <c r="C209" t="s">
        <v>6</v>
      </c>
      <c r="D209">
        <f>_xlfn.T.TEST(per_seed!$G$52:$G$61,per_seed!$G$32:$G$41,2,1)</f>
        <v>3.7925206080755071E-13</v>
      </c>
      <c r="E209">
        <v>3.7925206080755772E-13</v>
      </c>
    </row>
    <row r="210" spans="1:5">
      <c r="A210" t="s">
        <v>26</v>
      </c>
      <c r="B210" t="s">
        <v>32</v>
      </c>
      <c r="C210" t="s">
        <v>7</v>
      </c>
      <c r="D210">
        <f>(AVERAGE(per_seed!$H$32:$H$41)-AVERAGE(per_seed!$H$52:$H$61))/AVERAGE(per_seed!$H$52:$H$61)*100</f>
        <v>-50.915063350539654</v>
      </c>
      <c r="E210">
        <v>-50.915063350539647</v>
      </c>
    </row>
    <row r="211" spans="1:5">
      <c r="A211" t="s">
        <v>28</v>
      </c>
      <c r="B211" t="s">
        <v>32</v>
      </c>
      <c r="C211" t="s">
        <v>7</v>
      </c>
      <c r="D211">
        <f>_xlfn.T.TEST(per_seed!$H$52:$H$61,per_seed!$H$32:$H$41,2,1)</f>
        <v>2.497268273307958E-15</v>
      </c>
      <c r="E211">
        <v>2.4972682733079781E-15</v>
      </c>
    </row>
    <row r="212" spans="1:5">
      <c r="A212" t="s">
        <v>26</v>
      </c>
      <c r="B212" t="s">
        <v>32</v>
      </c>
      <c r="C212" t="s">
        <v>8</v>
      </c>
      <c r="D212">
        <f>(AVERAGE(per_seed!$I$32:$I$41)-AVERAGE(per_seed!$I$52:$I$61))/AVERAGE(per_seed!$I$52:$I$61)*100</f>
        <v>-46.885411078298759</v>
      </c>
      <c r="E212">
        <v>-46.885411078298759</v>
      </c>
    </row>
    <row r="213" spans="1:5">
      <c r="A213" t="s">
        <v>28</v>
      </c>
      <c r="B213" t="s">
        <v>32</v>
      </c>
      <c r="C213" t="s">
        <v>8</v>
      </c>
      <c r="D213">
        <f>_xlfn.T.TEST(per_seed!$I$52:$I$61,per_seed!$I$32:$I$41,2,1)</f>
        <v>4.0599010784248447E-13</v>
      </c>
      <c r="E213">
        <v>4.059901078424877E-13</v>
      </c>
    </row>
    <row r="214" spans="1:5">
      <c r="A214" t="s">
        <v>26</v>
      </c>
      <c r="B214" t="s">
        <v>32</v>
      </c>
      <c r="C214" t="s">
        <v>9</v>
      </c>
      <c r="D214">
        <f>(AVERAGE(per_seed!$J$32:$J$41)-AVERAGE(per_seed!$J$52:$J$61))/AVERAGE(per_seed!$J$52:$J$61)*100</f>
        <v>-38.84221311802461</v>
      </c>
      <c r="E214">
        <v>-38.84221311802461</v>
      </c>
    </row>
    <row r="215" spans="1:5">
      <c r="A215" t="s">
        <v>28</v>
      </c>
      <c r="B215" t="s">
        <v>32</v>
      </c>
      <c r="C215" t="s">
        <v>9</v>
      </c>
      <c r="D215">
        <f>_xlfn.T.TEST(per_seed!$J$52:$J$61,per_seed!$J$32:$J$41,2,1)</f>
        <v>7.6819907641598895E-12</v>
      </c>
      <c r="E215">
        <v>7.6819907641598426E-12</v>
      </c>
    </row>
    <row r="216" spans="1:5">
      <c r="A216" t="s">
        <v>26</v>
      </c>
      <c r="B216" t="s">
        <v>32</v>
      </c>
      <c r="C216" t="s">
        <v>10</v>
      </c>
      <c r="D216">
        <f>(AVERAGE(per_seed!$K$32:$K$41)-AVERAGE(per_seed!$K$52:$K$61))/AVERAGE(per_seed!$K$52:$K$61)*100</f>
        <v>-35.322992054224493</v>
      </c>
      <c r="E216">
        <v>-35.322992054224507</v>
      </c>
    </row>
    <row r="217" spans="1:5">
      <c r="A217" t="s">
        <v>28</v>
      </c>
      <c r="B217" t="s">
        <v>32</v>
      </c>
      <c r="C217" t="s">
        <v>10</v>
      </c>
      <c r="D217">
        <f>_xlfn.T.TEST(per_seed!$K$52:$K$61,per_seed!$K$32:$K$41,2,1)</f>
        <v>1.18450424831698E-10</v>
      </c>
      <c r="E217">
        <v>1.1845042483169811E-10</v>
      </c>
    </row>
    <row r="218" spans="1:5">
      <c r="A218" t="s">
        <v>26</v>
      </c>
      <c r="B218" t="s">
        <v>32</v>
      </c>
      <c r="C218" t="s">
        <v>11</v>
      </c>
      <c r="D218">
        <f>(AVERAGE(per_seed!$L$32:$L$41)-AVERAGE(per_seed!$L$52:$L$61))/AVERAGE(per_seed!$L$52:$L$61)*100</f>
        <v>141.47702263811834</v>
      </c>
      <c r="E218">
        <v>141.47702263811831</v>
      </c>
    </row>
    <row r="219" spans="1:5">
      <c r="A219" t="s">
        <v>28</v>
      </c>
      <c r="B219" t="s">
        <v>32</v>
      </c>
      <c r="C219" t="s">
        <v>11</v>
      </c>
      <c r="D219">
        <f>_xlfn.T.TEST(per_seed!$L$52:$L$61,per_seed!$L$32:$L$41,2,1)</f>
        <v>1.8394308861611499E-9</v>
      </c>
      <c r="E219">
        <v>1.8394308861611519E-9</v>
      </c>
    </row>
    <row r="220" spans="1:5">
      <c r="A220" t="s">
        <v>26</v>
      </c>
      <c r="B220" t="s">
        <v>32</v>
      </c>
      <c r="C220" t="s">
        <v>12</v>
      </c>
      <c r="D220">
        <f>(AVERAGE(per_seed!$M$32:$M$41)-AVERAGE(per_seed!$M$52:$M$61))/AVERAGE(per_seed!$M$52:$M$61)*100</f>
        <v>-50.891951445406406</v>
      </c>
      <c r="E220">
        <v>-50.891951445406413</v>
      </c>
    </row>
    <row r="221" spans="1:5">
      <c r="A221" t="s">
        <v>28</v>
      </c>
      <c r="B221" t="s">
        <v>32</v>
      </c>
      <c r="C221" t="s">
        <v>12</v>
      </c>
      <c r="D221">
        <f>_xlfn.T.TEST(per_seed!$M$52:$M$61,per_seed!$M$32:$M$41,2,1)</f>
        <v>2.9048295233576119E-2</v>
      </c>
      <c r="E221">
        <v>2.9048295233576091E-2</v>
      </c>
    </row>
    <row r="222" spans="1:5">
      <c r="A222" t="s">
        <v>26</v>
      </c>
      <c r="B222" t="s">
        <v>33</v>
      </c>
      <c r="C222" t="s">
        <v>3</v>
      </c>
      <c r="D222">
        <f>(AVERAGE(per_seed!$D$22:$D$31)-AVERAGE(per_seed!$D$52:$D$61))/AVERAGE(per_seed!$D$52:$D$61)*100</f>
        <v>0.92540265611755701</v>
      </c>
      <c r="E222">
        <v>0.92540265611755701</v>
      </c>
    </row>
    <row r="223" spans="1:5">
      <c r="A223" t="s">
        <v>28</v>
      </c>
      <c r="B223" t="s">
        <v>33</v>
      </c>
      <c r="C223" t="s">
        <v>3</v>
      </c>
      <c r="D223">
        <f>_xlfn.T.TEST(per_seed!$D$52:$D$61,per_seed!$D$22:$D$31,2,1)</f>
        <v>3.2345609401250051E-2</v>
      </c>
      <c r="E223">
        <v>3.2345609401251529E-2</v>
      </c>
    </row>
    <row r="224" spans="1:5">
      <c r="A224" t="s">
        <v>26</v>
      </c>
      <c r="B224" t="s">
        <v>33</v>
      </c>
      <c r="C224" t="s">
        <v>4</v>
      </c>
      <c r="D224">
        <f>(AVERAGE(per_seed!$E$22:$E$31)-AVERAGE(per_seed!$E$52:$E$61))/AVERAGE(per_seed!$E$52:$E$61)*100</f>
        <v>3.7367905000544801</v>
      </c>
      <c r="E224">
        <v>3.7367905000544801</v>
      </c>
    </row>
    <row r="225" spans="1:5">
      <c r="A225" t="s">
        <v>28</v>
      </c>
      <c r="B225" t="s">
        <v>33</v>
      </c>
      <c r="C225" t="s">
        <v>4</v>
      </c>
      <c r="D225">
        <f>_xlfn.T.TEST(per_seed!$E$52:$E$61,per_seed!$E$22:$E$31,2,1)</f>
        <v>8.2576026450878899E-5</v>
      </c>
      <c r="E225">
        <v>8.2576026450880362E-5</v>
      </c>
    </row>
    <row r="226" spans="1:5">
      <c r="A226" t="s">
        <v>26</v>
      </c>
      <c r="B226" t="s">
        <v>33</v>
      </c>
      <c r="C226" t="s">
        <v>5</v>
      </c>
      <c r="D226">
        <f>(AVERAGE(per_seed!$F$22:$F$31)-AVERAGE(per_seed!$F$52:$F$61))/AVERAGE(per_seed!$F$52:$F$61)*100</f>
        <v>-6.0992687101291496</v>
      </c>
      <c r="E226">
        <v>-6.0992687101291496</v>
      </c>
    </row>
    <row r="227" spans="1:5">
      <c r="A227" t="s">
        <v>28</v>
      </c>
      <c r="B227" t="s">
        <v>33</v>
      </c>
      <c r="C227" t="s">
        <v>5</v>
      </c>
      <c r="D227">
        <f>_xlfn.T.TEST(per_seed!$F$52:$F$61,per_seed!$F$22:$F$31,2,1)</f>
        <v>8.3768207622309634E-7</v>
      </c>
      <c r="E227">
        <v>8.3768207622310438E-7</v>
      </c>
    </row>
    <row r="228" spans="1:5">
      <c r="A228" t="s">
        <v>26</v>
      </c>
      <c r="B228" t="s">
        <v>33</v>
      </c>
      <c r="C228" t="s">
        <v>6</v>
      </c>
      <c r="D228">
        <f>(AVERAGE(per_seed!$G$22:$G$31)-AVERAGE(per_seed!$G$52:$G$61))/AVERAGE(per_seed!$G$52:$G$61)*100</f>
        <v>69.594650677265776</v>
      </c>
      <c r="E228">
        <v>69.594650677265705</v>
      </c>
    </row>
    <row r="229" spans="1:5">
      <c r="A229" t="s">
        <v>28</v>
      </c>
      <c r="B229" t="s">
        <v>33</v>
      </c>
      <c r="C229" t="s">
        <v>6</v>
      </c>
      <c r="D229">
        <f>_xlfn.T.TEST(per_seed!$G$52:$G$61,per_seed!$G$22:$G$31,2,1)</f>
        <v>1.614630361594627E-12</v>
      </c>
      <c r="E229">
        <v>1.614630361594657E-12</v>
      </c>
    </row>
    <row r="230" spans="1:5">
      <c r="A230" t="s">
        <v>26</v>
      </c>
      <c r="B230" t="s">
        <v>33</v>
      </c>
      <c r="C230" t="s">
        <v>7</v>
      </c>
      <c r="D230">
        <f>(AVERAGE(per_seed!$H$22:$H$31)-AVERAGE(per_seed!$H$52:$H$61))/AVERAGE(per_seed!$H$52:$H$61)*100</f>
        <v>-44.626935710933836</v>
      </c>
      <c r="E230">
        <v>-44.626935710933843</v>
      </c>
    </row>
    <row r="231" spans="1:5">
      <c r="A231" t="s">
        <v>28</v>
      </c>
      <c r="B231" t="s">
        <v>33</v>
      </c>
      <c r="C231" t="s">
        <v>7</v>
      </c>
      <c r="D231">
        <f>_xlfn.T.TEST(per_seed!$H$52:$H$61,per_seed!$H$22:$H$31,2,1)</f>
        <v>8.6295353613349987E-14</v>
      </c>
      <c r="E231">
        <v>8.6295353613350063E-14</v>
      </c>
    </row>
    <row r="232" spans="1:5">
      <c r="A232" t="s">
        <v>26</v>
      </c>
      <c r="B232" t="s">
        <v>33</v>
      </c>
      <c r="C232" t="s">
        <v>8</v>
      </c>
      <c r="D232">
        <f>(AVERAGE(per_seed!$I$22:$I$31)-AVERAGE(per_seed!$I$52:$I$61))/AVERAGE(per_seed!$I$52:$I$61)*100</f>
        <v>-41.038336444567967</v>
      </c>
      <c r="E232">
        <v>-41.038336444567967</v>
      </c>
    </row>
    <row r="233" spans="1:5">
      <c r="A233" t="s">
        <v>28</v>
      </c>
      <c r="B233" t="s">
        <v>33</v>
      </c>
      <c r="C233" t="s">
        <v>8</v>
      </c>
      <c r="D233">
        <f>_xlfn.T.TEST(per_seed!$I$52:$I$61,per_seed!$I$22:$I$31,2,1)</f>
        <v>2.3497862173610441E-12</v>
      </c>
      <c r="E233">
        <v>2.349786217361038E-12</v>
      </c>
    </row>
    <row r="234" spans="1:5">
      <c r="A234" t="s">
        <v>26</v>
      </c>
      <c r="B234" t="s">
        <v>33</v>
      </c>
      <c r="C234" t="s">
        <v>9</v>
      </c>
      <c r="D234">
        <f>(AVERAGE(per_seed!$J$22:$J$31)-AVERAGE(per_seed!$J$52:$J$61))/AVERAGE(per_seed!$J$52:$J$61)*100</f>
        <v>-38.288539900543924</v>
      </c>
      <c r="E234">
        <v>-38.28853990054391</v>
      </c>
    </row>
    <row r="235" spans="1:5">
      <c r="A235" t="s">
        <v>28</v>
      </c>
      <c r="B235" t="s">
        <v>33</v>
      </c>
      <c r="C235" t="s">
        <v>9</v>
      </c>
      <c r="D235">
        <f>_xlfn.T.TEST(per_seed!$J$52:$J$61,per_seed!$J$22:$J$31,2,1)</f>
        <v>1.7816136196262357E-11</v>
      </c>
      <c r="E235">
        <v>1.7816136196261869E-11</v>
      </c>
    </row>
    <row r="236" spans="1:5">
      <c r="A236" t="s">
        <v>26</v>
      </c>
      <c r="B236" t="s">
        <v>33</v>
      </c>
      <c r="C236" t="s">
        <v>10</v>
      </c>
      <c r="D236">
        <f>(AVERAGE(per_seed!$K$22:$K$31)-AVERAGE(per_seed!$K$52:$K$61))/AVERAGE(per_seed!$K$52:$K$61)*100</f>
        <v>-33.489528477170914</v>
      </c>
      <c r="E236">
        <v>-33.489528477170929</v>
      </c>
    </row>
    <row r="237" spans="1:5">
      <c r="A237" t="s">
        <v>28</v>
      </c>
      <c r="B237" t="s">
        <v>33</v>
      </c>
      <c r="C237" t="s">
        <v>10</v>
      </c>
      <c r="D237">
        <f>_xlfn.T.TEST(per_seed!$K$52:$K$61,per_seed!$K$22:$K$31,2,1)</f>
        <v>2.467142095424823E-11</v>
      </c>
      <c r="E237">
        <v>2.4671420954248159E-11</v>
      </c>
    </row>
    <row r="238" spans="1:5">
      <c r="A238" t="s">
        <v>26</v>
      </c>
      <c r="B238" t="s">
        <v>33</v>
      </c>
      <c r="C238" t="s">
        <v>11</v>
      </c>
      <c r="D238">
        <f>(AVERAGE(per_seed!$L$22:$L$31)-AVERAGE(per_seed!$L$52:$L$61))/AVERAGE(per_seed!$L$52:$L$61)*100</f>
        <v>110.85878112339471</v>
      </c>
      <c r="E238">
        <v>110.85878112339471</v>
      </c>
    </row>
    <row r="239" spans="1:5">
      <c r="A239" t="s">
        <v>28</v>
      </c>
      <c r="B239" t="s">
        <v>33</v>
      </c>
      <c r="C239" t="s">
        <v>11</v>
      </c>
      <c r="D239">
        <f>_xlfn.T.TEST(per_seed!$L$52:$L$61,per_seed!$L$22:$L$31,2,1)</f>
        <v>6.9878338784509984E-10</v>
      </c>
      <c r="E239">
        <v>6.9878338784510046E-10</v>
      </c>
    </row>
    <row r="240" spans="1:5">
      <c r="A240" t="s">
        <v>26</v>
      </c>
      <c r="B240" t="s">
        <v>33</v>
      </c>
      <c r="C240" t="s">
        <v>12</v>
      </c>
      <c r="D240">
        <f>(AVERAGE(per_seed!$M$22:$M$31)-AVERAGE(per_seed!$M$52:$M$61))/AVERAGE(per_seed!$M$52:$M$61)*100</f>
        <v>-51.509321762613737</v>
      </c>
      <c r="E240">
        <v>-51.509321762613737</v>
      </c>
    </row>
    <row r="241" spans="1:5">
      <c r="A241" t="s">
        <v>28</v>
      </c>
      <c r="B241" t="s">
        <v>33</v>
      </c>
      <c r="C241" t="s">
        <v>12</v>
      </c>
      <c r="D241">
        <f>_xlfn.T.TEST(per_seed!$M$52:$M$61,per_seed!$M$22:$M$31,2,1)</f>
        <v>3.1764973164460412E-2</v>
      </c>
      <c r="E241">
        <v>3.1764973164460378E-2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2026-09-18T09:59:39Z</dcterms:created>
  <dcterms:modified xsi:type="dcterms:W3CDTF">2026-09-18T09:59:42Z</dcterms:modified>
</cp:coreProperties>
</file>