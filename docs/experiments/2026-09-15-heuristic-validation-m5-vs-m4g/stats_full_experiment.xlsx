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5_canon_v1_small_split_limit_fidelity\"/>
    </mc:Choice>
  </mc:AlternateContent>
  <xr:revisionPtr revIDLastSave="0" documentId="13_ncr:1_{8E1CE4F3-2625-4C5B-A23A-6CE89301A98F}" xr6:coauthVersionLast="47" xr6:coauthVersionMax="47" xr10:uidLastSave="{00000000-0000-0000-0000-000000000000}"/>
  <bookViews>
    <workbookView xWindow="30690" yWindow="1605" windowWidth="12150" windowHeight="10605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61" i="2" l="1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<sst xmlns="http://schemas.openxmlformats.org/spreadsheetml/2006/main" count="1198" uniqueCount="40">
  <si>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</si>
  <si>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</si>
  <si>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</si>
  <si>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</si>
  <si>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</si>
  <si>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</si>
  <si>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</si>
  <si>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</si>
  <si>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</si>
  <si>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</si>
  <si>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</si>
  <si>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</si>
  <si>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</si>
  <si>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m4g_6b</t>
  </si>
  <si>
    <t>m5_6b</t>
  </si>
  <si>
    <t>m4g_n2_6b</t>
  </si>
  <si>
    <t>m4g_n3_6b</t>
  </si>
  <si>
    <t>m4g_n4_6b</t>
  </si>
  <si>
    <t>m4g_10b</t>
  </si>
  <si>
    <t>m5_10b</t>
  </si>
  <si>
    <t>m4g_n2_10b</t>
  </si>
  <si>
    <t>m4g_n3_10b</t>
  </si>
  <si>
    <t>m4g_n4_10b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</si>
  <si>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</si>
  <si>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</si>
  <si>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</si>
  <si>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</si>
  <si>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</si>
  <si>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</si>
  <si>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</si>
  <si>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</si>
  <si>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m5_6b vs m4g_6b</t>
  </si>
  <si>
    <t>p</t>
  </si>
  <si>
    <t>m4g_n2_6b vs m4g_6b</t>
  </si>
  <si>
    <t>m4g_n3_6b vs m4g_6b</t>
  </si>
  <si>
    <t>m4g_n4_6b vs m4g_6b</t>
  </si>
  <si>
    <t>m5_10b vs m4g_10b</t>
  </si>
  <si>
    <t>m4g_n2_10b vs m4g_10b</t>
  </si>
  <si>
    <t>m4g_n3_10b vs m4g_10b</t>
  </si>
  <si>
    <t>m4g_n4_10b vs m4g_10b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</si>
</sst>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1426</v>
      </c>
      <c r="E2">
        <v>945</v>
      </c>
      <c r="F2">
        <v>616</v>
      </c>
      <c r="G2">
        <v>5.5</v>
      </c>
      <c r="H2">
        <v>112</v>
      </c>
      <c r="I2">
        <v>0.1818181818181818</v>
      </c>
      <c r="J2">
        <v>9.8725978182668577</v>
      </c>
      <c r="K2">
        <v>1.1974569373233299</v>
      </c>
      <c r="L2">
        <v>803.95555555617</v>
      </c>
      <c r="M2">
        <v>1.0283950618755491</v>
      </c>
    </row>
    <row r="3" spans="1:13">
      <c r="A3" t="s">
        <v>13</v>
      </c>
      <c r="B3">
        <v>6</v>
      </c>
      <c r="C3">
        <v>1</v>
      </c>
      <c r="D3">
        <v>1412</v>
      </c>
      <c r="E3">
        <v>925</v>
      </c>
      <c r="F3">
        <v>580</v>
      </c>
      <c r="G3">
        <v>5.1785714285714288</v>
      </c>
      <c r="H3">
        <v>112</v>
      </c>
      <c r="I3">
        <v>0.19310344827586209</v>
      </c>
      <c r="J3">
        <v>9.5592068693461716</v>
      </c>
      <c r="K3">
        <v>1.21062116644577</v>
      </c>
      <c r="L3">
        <v>908.75555555162998</v>
      </c>
      <c r="M3">
        <v>1.996296296443431</v>
      </c>
    </row>
    <row r="4" spans="1:13">
      <c r="A4" t="s">
        <v>13</v>
      </c>
      <c r="B4">
        <v>6</v>
      </c>
      <c r="C4">
        <v>2</v>
      </c>
      <c r="D4">
        <v>1425</v>
      </c>
      <c r="E4">
        <v>976</v>
      </c>
      <c r="F4">
        <v>613</v>
      </c>
      <c r="G4">
        <v>5.4247787610619467</v>
      </c>
      <c r="H4">
        <v>113</v>
      </c>
      <c r="I4">
        <v>0.1843393148450245</v>
      </c>
      <c r="J4">
        <v>9.0215083888306253</v>
      </c>
      <c r="K4">
        <v>1.16862993264843</v>
      </c>
      <c r="L4">
        <v>809.86666667145403</v>
      </c>
      <c r="M4">
        <v>1.106790123603995</v>
      </c>
    </row>
    <row r="5" spans="1:13">
      <c r="A5" t="s">
        <v>13</v>
      </c>
      <c r="B5">
        <v>6</v>
      </c>
      <c r="C5">
        <v>3</v>
      </c>
      <c r="D5">
        <v>1410</v>
      </c>
      <c r="E5">
        <v>940</v>
      </c>
      <c r="F5">
        <v>599</v>
      </c>
      <c r="G5">
        <v>5.5462962962962967</v>
      </c>
      <c r="H5">
        <v>108</v>
      </c>
      <c r="I5">
        <v>0.18030050083472449</v>
      </c>
      <c r="J5">
        <v>8.9386356341706179</v>
      </c>
      <c r="K5">
        <v>1.1279478797790099</v>
      </c>
      <c r="L5">
        <v>901.33333333510495</v>
      </c>
      <c r="M5">
        <v>2.1598765433571532</v>
      </c>
    </row>
    <row r="6" spans="1:13">
      <c r="A6" t="s">
        <v>13</v>
      </c>
      <c r="B6">
        <v>6</v>
      </c>
      <c r="C6">
        <v>4</v>
      </c>
      <c r="D6">
        <v>1417</v>
      </c>
      <c r="E6">
        <v>940</v>
      </c>
      <c r="F6">
        <v>583</v>
      </c>
      <c r="G6">
        <v>5.1592920353982299</v>
      </c>
      <c r="H6">
        <v>113</v>
      </c>
      <c r="I6">
        <v>0.19382504288164659</v>
      </c>
      <c r="J6">
        <v>9.2539613704728616</v>
      </c>
      <c r="K6">
        <v>1.20812989813963</v>
      </c>
      <c r="L6">
        <v>783.20000000463006</v>
      </c>
      <c r="M6">
        <v>1.6629629631101741</v>
      </c>
    </row>
    <row r="7" spans="1:13">
      <c r="A7" t="s">
        <v>13</v>
      </c>
      <c r="B7">
        <v>6</v>
      </c>
      <c r="C7">
        <v>5</v>
      </c>
      <c r="D7">
        <v>1418</v>
      </c>
      <c r="E7">
        <v>929</v>
      </c>
      <c r="F7">
        <v>587</v>
      </c>
      <c r="G7">
        <v>5.017094017094017</v>
      </c>
      <c r="H7">
        <v>117</v>
      </c>
      <c r="I7">
        <v>0.19931856899488931</v>
      </c>
      <c r="J7">
        <v>9.9289558665231752</v>
      </c>
      <c r="K7">
        <v>1.2554113688972199</v>
      </c>
      <c r="L7">
        <v>763.42222222405405</v>
      </c>
      <c r="M7">
        <v>1.6024691359497361</v>
      </c>
    </row>
    <row r="8" spans="1:13">
      <c r="A8" t="s">
        <v>13</v>
      </c>
      <c r="B8">
        <v>6</v>
      </c>
      <c r="C8">
        <v>6</v>
      </c>
      <c r="D8">
        <v>1429</v>
      </c>
      <c r="E8">
        <v>964</v>
      </c>
      <c r="F8">
        <v>603</v>
      </c>
      <c r="G8">
        <v>5.5321100917431192</v>
      </c>
      <c r="H8">
        <v>109</v>
      </c>
      <c r="I8">
        <v>0.18076285240464349</v>
      </c>
      <c r="J8">
        <v>9.089077627922677</v>
      </c>
      <c r="K8">
        <v>1.1630018002040301</v>
      </c>
      <c r="L8">
        <v>844.75555555523499</v>
      </c>
      <c r="M8">
        <v>0.82870370385090908</v>
      </c>
    </row>
    <row r="9" spans="1:13">
      <c r="A9" t="s">
        <v>13</v>
      </c>
      <c r="B9">
        <v>6</v>
      </c>
      <c r="C9">
        <v>7</v>
      </c>
      <c r="D9">
        <v>1414</v>
      </c>
      <c r="E9">
        <v>937</v>
      </c>
      <c r="F9">
        <v>603</v>
      </c>
      <c r="G9">
        <v>5.3839285714285712</v>
      </c>
      <c r="H9">
        <v>112</v>
      </c>
      <c r="I9">
        <v>0.18573797678275289</v>
      </c>
      <c r="J9">
        <v>9.3416919023414184</v>
      </c>
      <c r="K9">
        <v>1.1725442354937201</v>
      </c>
      <c r="L9">
        <v>822.48888889375098</v>
      </c>
      <c r="M9">
        <v>1.822222222369138</v>
      </c>
    </row>
    <row r="10" spans="1:13">
      <c r="A10" t="s">
        <v>13</v>
      </c>
      <c r="B10">
        <v>6</v>
      </c>
      <c r="C10">
        <v>8</v>
      </c>
      <c r="D10">
        <v>1420</v>
      </c>
      <c r="E10">
        <v>954</v>
      </c>
      <c r="F10">
        <v>603</v>
      </c>
      <c r="G10">
        <v>5.2894736842105274</v>
      </c>
      <c r="H10">
        <v>114</v>
      </c>
      <c r="I10">
        <v>0.1890547263681592</v>
      </c>
      <c r="J10">
        <v>9.4916142557652297</v>
      </c>
      <c r="K10">
        <v>1.212232267933</v>
      </c>
      <c r="L10">
        <v>797.60000000439095</v>
      </c>
      <c r="M10">
        <v>1.4277777779248251</v>
      </c>
    </row>
    <row r="11" spans="1:13">
      <c r="A11" t="s">
        <v>13</v>
      </c>
      <c r="B11">
        <v>6</v>
      </c>
      <c r="C11">
        <v>9</v>
      </c>
      <c r="D11">
        <v>1428</v>
      </c>
      <c r="E11">
        <v>951</v>
      </c>
      <c r="F11">
        <v>604</v>
      </c>
      <c r="G11">
        <v>5.3451327433628322</v>
      </c>
      <c r="H11">
        <v>113</v>
      </c>
      <c r="I11">
        <v>0.1870860927152318</v>
      </c>
      <c r="J11">
        <v>9.23849018575266</v>
      </c>
      <c r="K11">
        <v>1.1792699654206</v>
      </c>
      <c r="L11">
        <v>872.48888889371096</v>
      </c>
      <c r="M11">
        <v>0.89506172854224864</v>
      </c>
    </row>
    <row r="12" spans="1:13">
      <c r="A12" t="s">
        <v>14</v>
      </c>
      <c r="B12">
        <v>6</v>
      </c>
      <c r="C12">
        <v>0</v>
      </c>
      <c r="D12">
        <v>1425</v>
      </c>
      <c r="E12">
        <v>928</v>
      </c>
      <c r="F12">
        <v>601</v>
      </c>
      <c r="G12">
        <v>5.2719298245614032</v>
      </c>
      <c r="H12">
        <v>114</v>
      </c>
      <c r="I12">
        <v>0.18968386023294509</v>
      </c>
      <c r="J12">
        <v>9.5613350054166055</v>
      </c>
      <c r="K12">
        <v>1.1796569366337499</v>
      </c>
      <c r="L12">
        <v>903.688888888252</v>
      </c>
      <c r="M12">
        <v>1.14629629644373</v>
      </c>
    </row>
    <row r="13" spans="1:13">
      <c r="A13" t="s">
        <v>14</v>
      </c>
      <c r="B13">
        <v>6</v>
      </c>
      <c r="C13">
        <v>1</v>
      </c>
      <c r="D13">
        <v>1422</v>
      </c>
      <c r="E13">
        <v>922</v>
      </c>
      <c r="F13">
        <v>567</v>
      </c>
      <c r="G13">
        <v>5.2990654205607477</v>
      </c>
      <c r="H13">
        <v>107</v>
      </c>
      <c r="I13">
        <v>0.1887125220458554</v>
      </c>
      <c r="J13">
        <v>9.4767218004166267</v>
      </c>
      <c r="K13">
        <v>1.2274096782942501</v>
      </c>
      <c r="L13">
        <v>917.51111111653495</v>
      </c>
      <c r="M13">
        <v>1.315740740887948</v>
      </c>
    </row>
    <row r="14" spans="1:13">
      <c r="A14" t="s">
        <v>14</v>
      </c>
      <c r="B14">
        <v>6</v>
      </c>
      <c r="C14">
        <v>2</v>
      </c>
      <c r="D14">
        <v>1416</v>
      </c>
      <c r="E14">
        <v>959</v>
      </c>
      <c r="F14">
        <v>598</v>
      </c>
      <c r="G14">
        <v>5.3873873873873874</v>
      </c>
      <c r="H14">
        <v>111</v>
      </c>
      <c r="I14">
        <v>0.18561872909699001</v>
      </c>
      <c r="J14">
        <v>8.912310502189678</v>
      </c>
      <c r="K14">
        <v>1.1553422787108301</v>
      </c>
      <c r="L14">
        <v>965.86666666328597</v>
      </c>
      <c r="M14">
        <v>1.681481481554979</v>
      </c>
    </row>
    <row r="15" spans="1:13">
      <c r="A15" t="s">
        <v>14</v>
      </c>
      <c r="B15">
        <v>6</v>
      </c>
      <c r="C15">
        <v>3</v>
      </c>
      <c r="D15">
        <v>1429</v>
      </c>
      <c r="E15">
        <v>928</v>
      </c>
      <c r="F15">
        <v>574</v>
      </c>
      <c r="G15">
        <v>5.2660550458715596</v>
      </c>
      <c r="H15">
        <v>109</v>
      </c>
      <c r="I15">
        <v>0.18989547038327531</v>
      </c>
      <c r="J15">
        <v>9.2504665590637174</v>
      </c>
      <c r="K15">
        <v>1.2045593314747001</v>
      </c>
      <c r="L15">
        <v>900.44444444976796</v>
      </c>
      <c r="M15">
        <v>0.85462962977699042</v>
      </c>
    </row>
    <row r="16" spans="1:13">
      <c r="A16" t="s">
        <v>14</v>
      </c>
      <c r="B16">
        <v>6</v>
      </c>
      <c r="C16">
        <v>4</v>
      </c>
      <c r="D16">
        <v>1417</v>
      </c>
      <c r="E16">
        <v>924</v>
      </c>
      <c r="F16">
        <v>582</v>
      </c>
      <c r="G16">
        <v>5.1052631578947372</v>
      </c>
      <c r="H16">
        <v>114</v>
      </c>
      <c r="I16">
        <v>0.19587628865979381</v>
      </c>
      <c r="J16">
        <v>9.5223462760679976</v>
      </c>
      <c r="K16">
        <v>1.2211763919940899</v>
      </c>
      <c r="L16">
        <v>870.08888888659999</v>
      </c>
      <c r="M16">
        <v>1.652777777924924</v>
      </c>
    </row>
    <row r="17" spans="1:13">
      <c r="A17" t="s">
        <v>14</v>
      </c>
      <c r="B17">
        <v>6</v>
      </c>
      <c r="C17">
        <v>5</v>
      </c>
      <c r="D17">
        <v>1426</v>
      </c>
      <c r="E17">
        <v>928</v>
      </c>
      <c r="F17">
        <v>585</v>
      </c>
      <c r="G17">
        <v>5.0431034482758621</v>
      </c>
      <c r="H17">
        <v>116</v>
      </c>
      <c r="I17">
        <v>0.19829059829059831</v>
      </c>
      <c r="J17">
        <v>9.630152665945884</v>
      </c>
      <c r="K17">
        <v>1.2201433098545</v>
      </c>
      <c r="L17">
        <v>907.11111111138598</v>
      </c>
      <c r="M17">
        <v>1.0219135803940209</v>
      </c>
    </row>
    <row r="18" spans="1:13">
      <c r="A18" t="s">
        <v>14</v>
      </c>
      <c r="B18">
        <v>6</v>
      </c>
      <c r="C18">
        <v>6</v>
      </c>
      <c r="D18">
        <v>1416</v>
      </c>
      <c r="E18">
        <v>922</v>
      </c>
      <c r="F18">
        <v>577</v>
      </c>
      <c r="G18">
        <v>5.3425925925925926</v>
      </c>
      <c r="H18">
        <v>108</v>
      </c>
      <c r="I18">
        <v>0.1871750433275563</v>
      </c>
      <c r="J18">
        <v>9.2087125453482965</v>
      </c>
      <c r="K18">
        <v>1.1816188295449701</v>
      </c>
      <c r="L18">
        <v>1052.9777777786201</v>
      </c>
      <c r="M18">
        <v>1.6895061729864549</v>
      </c>
    </row>
    <row r="19" spans="1:13">
      <c r="A19" t="s">
        <v>14</v>
      </c>
      <c r="B19">
        <v>6</v>
      </c>
      <c r="C19">
        <v>7</v>
      </c>
      <c r="D19">
        <v>1426</v>
      </c>
      <c r="E19">
        <v>935</v>
      </c>
      <c r="F19">
        <v>596</v>
      </c>
      <c r="G19">
        <v>5.0940170940170937</v>
      </c>
      <c r="H19">
        <v>117</v>
      </c>
      <c r="I19">
        <v>0.19630872483221479</v>
      </c>
      <c r="J19">
        <v>9.6213903743315825</v>
      </c>
      <c r="K19">
        <v>1.2124745850401599</v>
      </c>
      <c r="L19">
        <v>842.44444444511498</v>
      </c>
      <c r="M19">
        <v>1.0984567902710221</v>
      </c>
    </row>
    <row r="20" spans="1:13">
      <c r="A20" t="s">
        <v>14</v>
      </c>
      <c r="B20">
        <v>6</v>
      </c>
      <c r="C20">
        <v>8</v>
      </c>
      <c r="D20">
        <v>1422</v>
      </c>
      <c r="E20">
        <v>944</v>
      </c>
      <c r="F20">
        <v>582</v>
      </c>
      <c r="G20">
        <v>5.243243243243243</v>
      </c>
      <c r="H20">
        <v>111</v>
      </c>
      <c r="I20">
        <v>0.1907216494845361</v>
      </c>
      <c r="J20">
        <v>9.2822078036555187</v>
      </c>
      <c r="K20">
        <v>1.2155965540757601</v>
      </c>
      <c r="L20">
        <v>842.66666666493597</v>
      </c>
      <c r="M20">
        <v>1.305864197678017</v>
      </c>
    </row>
    <row r="21" spans="1:13">
      <c r="A21" t="s">
        <v>14</v>
      </c>
      <c r="B21">
        <v>6</v>
      </c>
      <c r="C21">
        <v>9</v>
      </c>
      <c r="D21">
        <v>1423</v>
      </c>
      <c r="E21">
        <v>922</v>
      </c>
      <c r="F21">
        <v>578</v>
      </c>
      <c r="G21">
        <v>5.2545454545454549</v>
      </c>
      <c r="H21">
        <v>110</v>
      </c>
      <c r="I21">
        <v>0.19031141868512111</v>
      </c>
      <c r="J21">
        <v>9.5552728685528638</v>
      </c>
      <c r="K21">
        <v>1.2136366999475601</v>
      </c>
      <c r="L21">
        <v>965.86666666693395</v>
      </c>
      <c r="M21">
        <v>1.217901234714946</v>
      </c>
    </row>
    <row r="22" spans="1:13">
      <c r="A22" t="s">
        <v>15</v>
      </c>
      <c r="B22">
        <v>6</v>
      </c>
      <c r="C22">
        <v>0</v>
      </c>
      <c r="D22">
        <v>1276</v>
      </c>
      <c r="E22">
        <v>843</v>
      </c>
      <c r="F22">
        <v>562</v>
      </c>
      <c r="G22">
        <v>4.6833333333333336</v>
      </c>
      <c r="H22">
        <v>120</v>
      </c>
      <c r="I22">
        <v>0.2135231316725979</v>
      </c>
      <c r="J22">
        <v>10.12313267023886</v>
      </c>
      <c r="K22">
        <v>1.2294852421161</v>
      </c>
      <c r="L22">
        <v>734.75555555989899</v>
      </c>
      <c r="M22">
        <v>11.45648148155529</v>
      </c>
    </row>
    <row r="23" spans="1:13">
      <c r="A23" t="s">
        <v>15</v>
      </c>
      <c r="B23">
        <v>6</v>
      </c>
      <c r="C23">
        <v>1</v>
      </c>
      <c r="D23">
        <v>1325</v>
      </c>
      <c r="E23">
        <v>868</v>
      </c>
      <c r="F23">
        <v>563</v>
      </c>
      <c r="G23">
        <v>5.2129629629629628</v>
      </c>
      <c r="H23">
        <v>108</v>
      </c>
      <c r="I23">
        <v>0.19182948490230911</v>
      </c>
      <c r="J23">
        <v>9.3083083316787665</v>
      </c>
      <c r="K23">
        <v>1.15197451548871</v>
      </c>
      <c r="L23">
        <v>809.06666666317096</v>
      </c>
      <c r="M23">
        <v>7.9969135803937981</v>
      </c>
    </row>
    <row r="24" spans="1:13">
      <c r="A24" t="s">
        <v>15</v>
      </c>
      <c r="B24">
        <v>6</v>
      </c>
      <c r="C24">
        <v>2</v>
      </c>
      <c r="D24">
        <v>1268</v>
      </c>
      <c r="E24">
        <v>871</v>
      </c>
      <c r="F24">
        <v>569</v>
      </c>
      <c r="G24">
        <v>5.1727272727272728</v>
      </c>
      <c r="H24">
        <v>110</v>
      </c>
      <c r="I24">
        <v>0.19332161687170471</v>
      </c>
      <c r="J24">
        <v>9.4862542655083235</v>
      </c>
      <c r="K24">
        <v>1.1672708071916</v>
      </c>
      <c r="L24">
        <v>796.44444444447299</v>
      </c>
      <c r="M24">
        <v>12.015123456937371</v>
      </c>
    </row>
    <row r="25" spans="1:13">
      <c r="A25" t="s">
        <v>15</v>
      </c>
      <c r="B25">
        <v>6</v>
      </c>
      <c r="C25">
        <v>3</v>
      </c>
      <c r="D25">
        <v>1259</v>
      </c>
      <c r="E25">
        <v>834</v>
      </c>
      <c r="F25">
        <v>536</v>
      </c>
      <c r="G25">
        <v>4.872727272727273</v>
      </c>
      <c r="H25">
        <v>110</v>
      </c>
      <c r="I25">
        <v>0.20522388059701491</v>
      </c>
      <c r="J25">
        <v>9.6961222179528406</v>
      </c>
      <c r="K25">
        <v>1.21439163086001</v>
      </c>
      <c r="L25">
        <v>862.13333333843002</v>
      </c>
      <c r="M25">
        <v>12.62037037051749</v>
      </c>
    </row>
    <row r="26" spans="1:13">
      <c r="A26" t="s">
        <v>15</v>
      </c>
      <c r="B26">
        <v>6</v>
      </c>
      <c r="C26">
        <v>4</v>
      </c>
      <c r="D26">
        <v>1299</v>
      </c>
      <c r="E26">
        <v>865</v>
      </c>
      <c r="F26">
        <v>549</v>
      </c>
      <c r="G26">
        <v>4.9459459459459456</v>
      </c>
      <c r="H26">
        <v>111</v>
      </c>
      <c r="I26">
        <v>0.20218579234972681</v>
      </c>
      <c r="J26">
        <v>9.5491329479769025</v>
      </c>
      <c r="K26">
        <v>1.20791902652239</v>
      </c>
      <c r="L26">
        <v>717.24444444134599</v>
      </c>
      <c r="M26">
        <v>9.8527777779249597</v>
      </c>
    </row>
    <row r="27" spans="1:13">
      <c r="A27" t="s">
        <v>15</v>
      </c>
      <c r="B27">
        <v>6</v>
      </c>
      <c r="C27">
        <v>5</v>
      </c>
      <c r="D27">
        <v>1323</v>
      </c>
      <c r="E27">
        <v>881</v>
      </c>
      <c r="F27">
        <v>569</v>
      </c>
      <c r="G27">
        <v>4.8632478632478628</v>
      </c>
      <c r="H27">
        <v>117</v>
      </c>
      <c r="I27">
        <v>0.20562390158172231</v>
      </c>
      <c r="J27">
        <v>10.09451853952042</v>
      </c>
      <c r="K27">
        <v>1.25795551980535</v>
      </c>
      <c r="L27">
        <v>790.93333333243299</v>
      </c>
      <c r="M27">
        <v>8.1996913581719504</v>
      </c>
    </row>
    <row r="28" spans="1:13">
      <c r="A28" t="s">
        <v>15</v>
      </c>
      <c r="B28">
        <v>6</v>
      </c>
      <c r="C28">
        <v>6</v>
      </c>
      <c r="D28">
        <v>1286</v>
      </c>
      <c r="E28">
        <v>857</v>
      </c>
      <c r="F28">
        <v>546</v>
      </c>
      <c r="G28">
        <v>4.9189189189189193</v>
      </c>
      <c r="H28">
        <v>111</v>
      </c>
      <c r="I28">
        <v>0.2032967032967033</v>
      </c>
      <c r="J28">
        <v>9.5670945157526486</v>
      </c>
      <c r="K28">
        <v>1.2108348176365</v>
      </c>
      <c r="L28">
        <v>869.77777778292</v>
      </c>
      <c r="M28">
        <v>10.71388888903582</v>
      </c>
    </row>
    <row r="29" spans="1:13">
      <c r="A29" t="s">
        <v>15</v>
      </c>
      <c r="B29">
        <v>6</v>
      </c>
      <c r="C29">
        <v>7</v>
      </c>
      <c r="D29">
        <v>1289</v>
      </c>
      <c r="E29">
        <v>869</v>
      </c>
      <c r="F29">
        <v>570</v>
      </c>
      <c r="G29">
        <v>5.2777777777777777</v>
      </c>
      <c r="H29">
        <v>108</v>
      </c>
      <c r="I29">
        <v>0.18947368421052629</v>
      </c>
      <c r="J29">
        <v>9.4380716580104256</v>
      </c>
      <c r="K29">
        <v>1.1521913699875099</v>
      </c>
      <c r="L29">
        <v>758.044444444546</v>
      </c>
      <c r="M29">
        <v>10.516049382789641</v>
      </c>
    </row>
    <row r="30" spans="1:13">
      <c r="A30" t="s">
        <v>15</v>
      </c>
      <c r="B30">
        <v>6</v>
      </c>
      <c r="C30">
        <v>8</v>
      </c>
      <c r="D30">
        <v>1308</v>
      </c>
      <c r="E30">
        <v>877</v>
      </c>
      <c r="F30">
        <v>563</v>
      </c>
      <c r="G30">
        <v>5.2616822429906538</v>
      </c>
      <c r="H30">
        <v>107</v>
      </c>
      <c r="I30">
        <v>0.1900532859680284</v>
      </c>
      <c r="J30">
        <v>9.0651290216659408</v>
      </c>
      <c r="K30">
        <v>1.12913210614846</v>
      </c>
      <c r="L30">
        <v>751.77777777930498</v>
      </c>
      <c r="M30">
        <v>9.2037037038507492</v>
      </c>
    </row>
    <row r="31" spans="1:13">
      <c r="A31" t="s">
        <v>15</v>
      </c>
      <c r="B31">
        <v>6</v>
      </c>
      <c r="C31">
        <v>9</v>
      </c>
      <c r="D31">
        <v>1316</v>
      </c>
      <c r="E31">
        <v>865</v>
      </c>
      <c r="F31">
        <v>562</v>
      </c>
      <c r="G31">
        <v>5.0178571428571432</v>
      </c>
      <c r="H31">
        <v>112</v>
      </c>
      <c r="I31">
        <v>0.199288256227758</v>
      </c>
      <c r="J31">
        <v>9.4463246627947743</v>
      </c>
      <c r="K31">
        <v>1.1685919052114</v>
      </c>
      <c r="L31">
        <v>746.48888888584997</v>
      </c>
      <c r="M31">
        <v>8.6996913581720356</v>
      </c>
    </row>
    <row r="32" spans="1:13">
      <c r="A32" t="s">
        <v>16</v>
      </c>
      <c r="B32">
        <v>6</v>
      </c>
      <c r="C32">
        <v>0</v>
      </c>
      <c r="D32">
        <v>1402</v>
      </c>
      <c r="E32">
        <v>932</v>
      </c>
      <c r="F32">
        <v>614</v>
      </c>
      <c r="G32">
        <v>5.3859649122807021</v>
      </c>
      <c r="H32">
        <v>114</v>
      </c>
      <c r="I32">
        <v>0.18566775244299669</v>
      </c>
      <c r="J32">
        <v>9.9184549356223481</v>
      </c>
      <c r="K32">
        <v>1.18662288520704</v>
      </c>
      <c r="L32">
        <v>781.82222222234304</v>
      </c>
      <c r="M32">
        <v>2.7413580248387852</v>
      </c>
    </row>
    <row r="33" spans="1:13">
      <c r="A33" t="s">
        <v>16</v>
      </c>
      <c r="B33">
        <v>6</v>
      </c>
      <c r="C33">
        <v>1</v>
      </c>
      <c r="D33">
        <v>1410</v>
      </c>
      <c r="E33">
        <v>928</v>
      </c>
      <c r="F33">
        <v>581</v>
      </c>
      <c r="G33">
        <v>5.330275229357798</v>
      </c>
      <c r="H33">
        <v>109</v>
      </c>
      <c r="I33">
        <v>0.1876075731497418</v>
      </c>
      <c r="J33">
        <v>9.4040568792364319</v>
      </c>
      <c r="K33">
        <v>1.1962887945446701</v>
      </c>
      <c r="L33">
        <v>832.40000000492103</v>
      </c>
      <c r="M33">
        <v>2.154320987801563</v>
      </c>
    </row>
    <row r="34" spans="1:13">
      <c r="A34" t="s">
        <v>16</v>
      </c>
      <c r="B34">
        <v>6</v>
      </c>
      <c r="C34">
        <v>2</v>
      </c>
      <c r="D34">
        <v>1393</v>
      </c>
      <c r="E34">
        <v>958</v>
      </c>
      <c r="F34">
        <v>610</v>
      </c>
      <c r="G34">
        <v>5.1260504201680677</v>
      </c>
      <c r="H34">
        <v>119</v>
      </c>
      <c r="I34">
        <v>0.19508196721311469</v>
      </c>
      <c r="J34">
        <v>9.3559498956158968</v>
      </c>
      <c r="K34">
        <v>1.1957724284206499</v>
      </c>
      <c r="L34">
        <v>836.79999999894505</v>
      </c>
      <c r="M34">
        <v>3.3395061729867779</v>
      </c>
    </row>
    <row r="35" spans="1:13">
      <c r="A35" t="s">
        <v>16</v>
      </c>
      <c r="B35">
        <v>6</v>
      </c>
      <c r="C35">
        <v>3</v>
      </c>
      <c r="D35">
        <v>1413</v>
      </c>
      <c r="E35">
        <v>932</v>
      </c>
      <c r="F35">
        <v>604</v>
      </c>
      <c r="G35">
        <v>5.4414414414414418</v>
      </c>
      <c r="H35">
        <v>111</v>
      </c>
      <c r="I35">
        <v>0.18377483443708609</v>
      </c>
      <c r="J35">
        <v>9.3244679899686904</v>
      </c>
      <c r="K35">
        <v>1.15291940536083</v>
      </c>
      <c r="L35">
        <v>919.24444444517599</v>
      </c>
      <c r="M35">
        <v>1.970987654468382</v>
      </c>
    </row>
    <row r="36" spans="1:13">
      <c r="A36" t="s">
        <v>16</v>
      </c>
      <c r="B36">
        <v>6</v>
      </c>
      <c r="C36">
        <v>4</v>
      </c>
      <c r="D36">
        <v>1401</v>
      </c>
      <c r="E36">
        <v>936</v>
      </c>
      <c r="F36">
        <v>581</v>
      </c>
      <c r="G36">
        <v>5.4299065420560746</v>
      </c>
      <c r="H36">
        <v>107</v>
      </c>
      <c r="I36">
        <v>0.18416523235800339</v>
      </c>
      <c r="J36">
        <v>9.1302795583705869</v>
      </c>
      <c r="K36">
        <v>1.1901139533113001</v>
      </c>
      <c r="L36">
        <v>830.40000000033103</v>
      </c>
      <c r="M36">
        <v>2.7916666668139718</v>
      </c>
    </row>
    <row r="37" spans="1:13">
      <c r="A37" t="s">
        <v>16</v>
      </c>
      <c r="B37">
        <v>6</v>
      </c>
      <c r="C37">
        <v>5</v>
      </c>
      <c r="D37">
        <v>1382</v>
      </c>
      <c r="E37">
        <v>910</v>
      </c>
      <c r="F37">
        <v>580</v>
      </c>
      <c r="G37">
        <v>4.9152542372881358</v>
      </c>
      <c r="H37">
        <v>118</v>
      </c>
      <c r="I37">
        <v>0.20344827586206901</v>
      </c>
      <c r="J37">
        <v>9.6322173424476478</v>
      </c>
      <c r="K37">
        <v>1.2053974257685101</v>
      </c>
      <c r="L37">
        <v>797.68888888684</v>
      </c>
      <c r="M37">
        <v>4.0888888890360624</v>
      </c>
    </row>
    <row r="38" spans="1:13">
      <c r="A38" t="s">
        <v>16</v>
      </c>
      <c r="B38">
        <v>6</v>
      </c>
      <c r="C38">
        <v>6</v>
      </c>
      <c r="D38">
        <v>1408</v>
      </c>
      <c r="E38">
        <v>936</v>
      </c>
      <c r="F38">
        <v>590</v>
      </c>
      <c r="G38">
        <v>5.3636363636363633</v>
      </c>
      <c r="H38">
        <v>110</v>
      </c>
      <c r="I38">
        <v>0.1864406779661017</v>
      </c>
      <c r="J38">
        <v>9.2459619382706837</v>
      </c>
      <c r="K38">
        <v>1.17507385425425</v>
      </c>
      <c r="L38">
        <v>831.42222222713701</v>
      </c>
      <c r="M38">
        <v>2.243827160640778</v>
      </c>
    </row>
    <row r="39" spans="1:13">
      <c r="A39" t="s">
        <v>16</v>
      </c>
      <c r="B39">
        <v>6</v>
      </c>
      <c r="C39">
        <v>7</v>
      </c>
      <c r="D39">
        <v>1417</v>
      </c>
      <c r="E39">
        <v>954</v>
      </c>
      <c r="F39">
        <v>611</v>
      </c>
      <c r="G39">
        <v>5.5045045045045047</v>
      </c>
      <c r="H39">
        <v>111</v>
      </c>
      <c r="I39">
        <v>0.18166939443535191</v>
      </c>
      <c r="J39">
        <v>9.0257019218834902</v>
      </c>
      <c r="K39">
        <v>1.12621766825225</v>
      </c>
      <c r="L39">
        <v>735.55555555614103</v>
      </c>
      <c r="M39">
        <v>1.7033950618758471</v>
      </c>
    </row>
    <row r="40" spans="1:13">
      <c r="A40" t="s">
        <v>16</v>
      </c>
      <c r="B40">
        <v>6</v>
      </c>
      <c r="C40">
        <v>8</v>
      </c>
      <c r="D40">
        <v>1398</v>
      </c>
      <c r="E40">
        <v>932</v>
      </c>
      <c r="F40">
        <v>596</v>
      </c>
      <c r="G40">
        <v>5.3693693693693696</v>
      </c>
      <c r="H40">
        <v>111</v>
      </c>
      <c r="I40">
        <v>0.18624161073825499</v>
      </c>
      <c r="J40">
        <v>9.1341201716738514</v>
      </c>
      <c r="K40">
        <v>1.14896057461025</v>
      </c>
      <c r="L40">
        <v>761.99999999670797</v>
      </c>
      <c r="M40">
        <v>3.0290123458265001</v>
      </c>
    </row>
    <row r="41" spans="1:13">
      <c r="A41" t="s">
        <v>16</v>
      </c>
      <c r="B41">
        <v>6</v>
      </c>
      <c r="C41">
        <v>9</v>
      </c>
      <c r="D41">
        <v>1399</v>
      </c>
      <c r="E41">
        <v>929</v>
      </c>
      <c r="F41">
        <v>587</v>
      </c>
      <c r="G41">
        <v>5.1946902654867264</v>
      </c>
      <c r="H41">
        <v>113</v>
      </c>
      <c r="I41">
        <v>0.19250425894378201</v>
      </c>
      <c r="J41">
        <v>9.3068801537024122</v>
      </c>
      <c r="K41">
        <v>1.19043590432853</v>
      </c>
      <c r="L41">
        <v>764.355555555058</v>
      </c>
      <c r="M41">
        <v>2.963888889036395</v>
      </c>
    </row>
    <row r="42" spans="1:13">
      <c r="A42" t="s">
        <v>17</v>
      </c>
      <c r="B42">
        <v>6</v>
      </c>
      <c r="C42">
        <v>0</v>
      </c>
      <c r="D42">
        <v>1413</v>
      </c>
      <c r="E42">
        <v>940</v>
      </c>
      <c r="F42">
        <v>612</v>
      </c>
      <c r="G42">
        <v>5.1864406779661021</v>
      </c>
      <c r="H42">
        <v>118</v>
      </c>
      <c r="I42">
        <v>0.19281045751633991</v>
      </c>
      <c r="J42">
        <v>9.9204638453696052</v>
      </c>
      <c r="K42">
        <v>1.21880162874095</v>
      </c>
      <c r="L42">
        <v>831.46666666542899</v>
      </c>
      <c r="M42">
        <v>1.9379629631101529</v>
      </c>
    </row>
    <row r="43" spans="1:13">
      <c r="A43" t="s">
        <v>17</v>
      </c>
      <c r="B43">
        <v>6</v>
      </c>
      <c r="C43">
        <v>1</v>
      </c>
      <c r="D43">
        <v>1414</v>
      </c>
      <c r="E43">
        <v>933</v>
      </c>
      <c r="F43">
        <v>580</v>
      </c>
      <c r="G43">
        <v>5.2252252252252251</v>
      </c>
      <c r="H43">
        <v>111</v>
      </c>
      <c r="I43">
        <v>0.19137931034482761</v>
      </c>
      <c r="J43">
        <v>9.363134155038404</v>
      </c>
      <c r="K43">
        <v>1.21368424854215</v>
      </c>
      <c r="L43">
        <v>803.02222222696901</v>
      </c>
      <c r="M43">
        <v>1.8845679013818539</v>
      </c>
    </row>
    <row r="44" spans="1:13">
      <c r="A44" t="s">
        <v>17</v>
      </c>
      <c r="B44">
        <v>6</v>
      </c>
      <c r="C44">
        <v>2</v>
      </c>
      <c r="D44">
        <v>1424</v>
      </c>
      <c r="E44">
        <v>977</v>
      </c>
      <c r="F44">
        <v>616</v>
      </c>
      <c r="G44">
        <v>5.8113207547169807</v>
      </c>
      <c r="H44">
        <v>106</v>
      </c>
      <c r="I44">
        <v>0.17207792207792211</v>
      </c>
      <c r="J44">
        <v>8.6382058605425396</v>
      </c>
      <c r="K44">
        <v>1.1010054272569201</v>
      </c>
      <c r="L44">
        <v>751.82222222231906</v>
      </c>
      <c r="M44">
        <v>1.2339506174314909</v>
      </c>
    </row>
    <row r="45" spans="1:13">
      <c r="A45" t="s">
        <v>17</v>
      </c>
      <c r="B45">
        <v>6</v>
      </c>
      <c r="C45">
        <v>3</v>
      </c>
      <c r="D45">
        <v>1414</v>
      </c>
      <c r="E45">
        <v>940</v>
      </c>
      <c r="F45">
        <v>596</v>
      </c>
      <c r="G45">
        <v>5.3214285714285712</v>
      </c>
      <c r="H45">
        <v>112</v>
      </c>
      <c r="I45">
        <v>0.1879194630872483</v>
      </c>
      <c r="J45">
        <v>9.4922526759612129</v>
      </c>
      <c r="K45">
        <v>1.19483907373795</v>
      </c>
      <c r="L45">
        <v>892.977777780255</v>
      </c>
      <c r="M45">
        <v>1.912654321135111</v>
      </c>
    </row>
    <row r="46" spans="1:13">
      <c r="A46" t="s">
        <v>17</v>
      </c>
      <c r="B46">
        <v>6</v>
      </c>
      <c r="C46">
        <v>4</v>
      </c>
      <c r="D46">
        <v>1421</v>
      </c>
      <c r="E46">
        <v>947</v>
      </c>
      <c r="F46">
        <v>595</v>
      </c>
      <c r="G46">
        <v>5.2192982456140351</v>
      </c>
      <c r="H46">
        <v>114</v>
      </c>
      <c r="I46">
        <v>0.1915966386554622</v>
      </c>
      <c r="J46">
        <v>9.3674762407603058</v>
      </c>
      <c r="K46">
        <v>1.1984009851714601</v>
      </c>
      <c r="L46">
        <v>747.86666667108796</v>
      </c>
      <c r="M46">
        <v>1.3793209878014969</v>
      </c>
    </row>
    <row r="47" spans="1:13">
      <c r="A47" t="s">
        <v>17</v>
      </c>
      <c r="B47">
        <v>6</v>
      </c>
      <c r="C47">
        <v>5</v>
      </c>
      <c r="D47">
        <v>1410</v>
      </c>
      <c r="E47">
        <v>940</v>
      </c>
      <c r="F47">
        <v>598</v>
      </c>
      <c r="G47">
        <v>5.4862385321100922</v>
      </c>
      <c r="H47">
        <v>109</v>
      </c>
      <c r="I47">
        <v>0.18227424749163881</v>
      </c>
      <c r="J47">
        <v>9.22220301416748</v>
      </c>
      <c r="K47">
        <v>1.1707178038199499</v>
      </c>
      <c r="L47">
        <v>794.84444444507699</v>
      </c>
      <c r="M47">
        <v>2.1009259260728528</v>
      </c>
    </row>
    <row r="48" spans="1:13">
      <c r="A48" t="s">
        <v>17</v>
      </c>
      <c r="B48">
        <v>6</v>
      </c>
      <c r="C48">
        <v>6</v>
      </c>
      <c r="D48">
        <v>1419</v>
      </c>
      <c r="E48">
        <v>953</v>
      </c>
      <c r="F48">
        <v>595</v>
      </c>
      <c r="G48">
        <v>5.4090909090909092</v>
      </c>
      <c r="H48">
        <v>110</v>
      </c>
      <c r="I48">
        <v>0.18487394957983189</v>
      </c>
      <c r="J48">
        <v>9.0339131462495903</v>
      </c>
      <c r="K48">
        <v>1.1574241753582</v>
      </c>
      <c r="L48">
        <v>845.64444444461606</v>
      </c>
      <c r="M48">
        <v>1.488271605085266</v>
      </c>
    </row>
    <row r="49" spans="1:13">
      <c r="A49" t="s">
        <v>17</v>
      </c>
      <c r="B49">
        <v>6</v>
      </c>
      <c r="C49">
        <v>7</v>
      </c>
      <c r="D49">
        <v>1416</v>
      </c>
      <c r="E49">
        <v>952</v>
      </c>
      <c r="F49">
        <v>607</v>
      </c>
      <c r="G49">
        <v>5.3716814159292037</v>
      </c>
      <c r="H49">
        <v>113</v>
      </c>
      <c r="I49">
        <v>0.18616144975288301</v>
      </c>
      <c r="J49">
        <v>9.2821577745558201</v>
      </c>
      <c r="K49">
        <v>1.1722600686743601</v>
      </c>
      <c r="L49">
        <v>719.95555555579904</v>
      </c>
      <c r="M49">
        <v>1.77222222236966</v>
      </c>
    </row>
    <row r="50" spans="1:13">
      <c r="A50" t="s">
        <v>17</v>
      </c>
      <c r="B50">
        <v>6</v>
      </c>
      <c r="C50">
        <v>8</v>
      </c>
      <c r="D50">
        <v>1427</v>
      </c>
      <c r="E50">
        <v>949</v>
      </c>
      <c r="F50">
        <v>593</v>
      </c>
      <c r="G50">
        <v>5.5420560747663554</v>
      </c>
      <c r="H50">
        <v>107</v>
      </c>
      <c r="I50">
        <v>0.18043844856661051</v>
      </c>
      <c r="J50">
        <v>8.8582140628401174</v>
      </c>
      <c r="K50">
        <v>1.13191664952886</v>
      </c>
      <c r="L50">
        <v>765.11111111121897</v>
      </c>
      <c r="M50">
        <v>0.99753086434491101</v>
      </c>
    </row>
    <row r="51" spans="1:13">
      <c r="A51" t="s">
        <v>17</v>
      </c>
      <c r="B51">
        <v>6</v>
      </c>
      <c r="C51">
        <v>9</v>
      </c>
      <c r="D51">
        <v>1423</v>
      </c>
      <c r="E51">
        <v>949</v>
      </c>
      <c r="F51">
        <v>599</v>
      </c>
      <c r="G51">
        <v>5.4454545454545453</v>
      </c>
      <c r="H51">
        <v>110</v>
      </c>
      <c r="I51">
        <v>0.18363939899833051</v>
      </c>
      <c r="J51">
        <v>9.1441022673236354</v>
      </c>
      <c r="K51">
        <v>1.16545866331933</v>
      </c>
      <c r="L51">
        <v>811.644444449243</v>
      </c>
      <c r="M51">
        <v>1.265123456937447</v>
      </c>
    </row>
    <row r="52" spans="1:13">
      <c r="A52" t="s">
        <v>18</v>
      </c>
      <c r="B52">
        <v>10</v>
      </c>
      <c r="C52">
        <v>0</v>
      </c>
      <c r="D52">
        <v>1424</v>
      </c>
      <c r="E52">
        <v>944</v>
      </c>
      <c r="F52">
        <v>620</v>
      </c>
      <c r="G52">
        <v>5.081967213114754</v>
      </c>
      <c r="H52">
        <v>122</v>
      </c>
      <c r="I52">
        <v>0.1967741935483871</v>
      </c>
      <c r="J52">
        <v>10.591101694915301</v>
      </c>
      <c r="K52">
        <v>1.29946112931366</v>
      </c>
      <c r="L52">
        <v>795.73333332989603</v>
      </c>
      <c r="M52">
        <v>1.188888889036176</v>
      </c>
    </row>
    <row r="53" spans="1:13">
      <c r="A53" t="s">
        <v>18</v>
      </c>
      <c r="B53">
        <v>10</v>
      </c>
      <c r="C53">
        <v>1</v>
      </c>
      <c r="D53">
        <v>1430</v>
      </c>
      <c r="E53">
        <v>935</v>
      </c>
      <c r="F53">
        <v>584</v>
      </c>
      <c r="G53">
        <v>4.9075630252100844</v>
      </c>
      <c r="H53">
        <v>119</v>
      </c>
      <c r="I53">
        <v>0.20376712328767119</v>
      </c>
      <c r="J53">
        <v>10.34438502673801</v>
      </c>
      <c r="K53">
        <v>1.3347944831168801</v>
      </c>
      <c r="L53">
        <v>833.77777777938104</v>
      </c>
      <c r="M53">
        <v>0.71820987669017078</v>
      </c>
    </row>
    <row r="54" spans="1:13">
      <c r="A54" t="s">
        <v>18</v>
      </c>
      <c r="B54">
        <v>10</v>
      </c>
      <c r="C54">
        <v>2</v>
      </c>
      <c r="D54">
        <v>1430</v>
      </c>
      <c r="E54">
        <v>987</v>
      </c>
      <c r="F54">
        <v>617</v>
      </c>
      <c r="G54">
        <v>5.0991735537190079</v>
      </c>
      <c r="H54">
        <v>121</v>
      </c>
      <c r="I54">
        <v>0.19611021069692061</v>
      </c>
      <c r="J54">
        <v>10.13779128672746</v>
      </c>
      <c r="K54">
        <v>1.3103632125460101</v>
      </c>
      <c r="L54">
        <v>762.40000000450698</v>
      </c>
      <c r="M54">
        <v>0.73271604952975911</v>
      </c>
    </row>
    <row r="55" spans="1:13">
      <c r="A55" t="s">
        <v>18</v>
      </c>
      <c r="B55">
        <v>10</v>
      </c>
      <c r="C55">
        <v>3</v>
      </c>
      <c r="D55">
        <v>1428</v>
      </c>
      <c r="E55">
        <v>940</v>
      </c>
      <c r="F55">
        <v>607</v>
      </c>
      <c r="G55">
        <v>5.1880341880341883</v>
      </c>
      <c r="H55">
        <v>117</v>
      </c>
      <c r="I55">
        <v>0.1927512355848435</v>
      </c>
      <c r="J55">
        <v>10.42021276595751</v>
      </c>
      <c r="K55">
        <v>1.31301350242091</v>
      </c>
      <c r="L55">
        <v>766.48888889342004</v>
      </c>
      <c r="M55">
        <v>0.88580246928293405</v>
      </c>
    </row>
    <row r="56" spans="1:13">
      <c r="A56" t="s">
        <v>18</v>
      </c>
      <c r="B56">
        <v>10</v>
      </c>
      <c r="C56">
        <v>4</v>
      </c>
      <c r="D56">
        <v>1431</v>
      </c>
      <c r="E56">
        <v>950</v>
      </c>
      <c r="F56">
        <v>597</v>
      </c>
      <c r="G56">
        <v>5.0168067226890756</v>
      </c>
      <c r="H56">
        <v>119</v>
      </c>
      <c r="I56">
        <v>0.19932998324958121</v>
      </c>
      <c r="J56">
        <v>10.676155323210949</v>
      </c>
      <c r="K56">
        <v>1.3667976693759201</v>
      </c>
      <c r="L56">
        <v>772.00000000456396</v>
      </c>
      <c r="M56">
        <v>0.70154321002381459</v>
      </c>
    </row>
    <row r="57" spans="1:13">
      <c r="A57" t="s">
        <v>18</v>
      </c>
      <c r="B57">
        <v>10</v>
      </c>
      <c r="C57">
        <v>5</v>
      </c>
      <c r="D57">
        <v>1430</v>
      </c>
      <c r="E57">
        <v>953</v>
      </c>
      <c r="F57">
        <v>600</v>
      </c>
      <c r="G57">
        <v>4.8780487804878048</v>
      </c>
      <c r="H57">
        <v>123</v>
      </c>
      <c r="I57">
        <v>0.20499999999999999</v>
      </c>
      <c r="J57">
        <v>10.73377750814816</v>
      </c>
      <c r="K57">
        <v>1.3544387784605201</v>
      </c>
      <c r="L57">
        <v>781.99999999687202</v>
      </c>
      <c r="M57">
        <v>0.81388888903642154</v>
      </c>
    </row>
    <row r="58" spans="1:13">
      <c r="A58" t="s">
        <v>18</v>
      </c>
      <c r="B58">
        <v>10</v>
      </c>
      <c r="C58">
        <v>6</v>
      </c>
      <c r="D58">
        <v>1428</v>
      </c>
      <c r="E58">
        <v>966</v>
      </c>
      <c r="F58">
        <v>606</v>
      </c>
      <c r="G58">
        <v>5.1794871794871797</v>
      </c>
      <c r="H58">
        <v>117</v>
      </c>
      <c r="I58">
        <v>0.1930693069306931</v>
      </c>
      <c r="J58">
        <v>10.004140786749529</v>
      </c>
      <c r="K58">
        <v>1.2918463715397599</v>
      </c>
      <c r="L58">
        <v>772.04444444455703</v>
      </c>
      <c r="M58">
        <v>0.9370370371844674</v>
      </c>
    </row>
    <row r="59" spans="1:13">
      <c r="A59" t="s">
        <v>18</v>
      </c>
      <c r="B59">
        <v>10</v>
      </c>
      <c r="C59">
        <v>7</v>
      </c>
      <c r="D59">
        <v>1431</v>
      </c>
      <c r="E59">
        <v>958</v>
      </c>
      <c r="F59">
        <v>611</v>
      </c>
      <c r="G59">
        <v>5.3596491228070171</v>
      </c>
      <c r="H59">
        <v>114</v>
      </c>
      <c r="I59">
        <v>0.18657937806873981</v>
      </c>
      <c r="J59">
        <v>9.9624204070976212</v>
      </c>
      <c r="K59">
        <v>1.2660103568502099</v>
      </c>
      <c r="L59">
        <v>879.73333333853395</v>
      </c>
      <c r="M59">
        <v>0.70493827175223189</v>
      </c>
    </row>
    <row r="60" spans="1:13">
      <c r="A60" t="s">
        <v>18</v>
      </c>
      <c r="B60">
        <v>10</v>
      </c>
      <c r="C60">
        <v>8</v>
      </c>
      <c r="D60">
        <v>1429</v>
      </c>
      <c r="E60">
        <v>958</v>
      </c>
      <c r="F60">
        <v>601</v>
      </c>
      <c r="G60">
        <v>5.2260869565217387</v>
      </c>
      <c r="H60">
        <v>115</v>
      </c>
      <c r="I60">
        <v>0.1913477537437604</v>
      </c>
      <c r="J60">
        <v>10.174321503131569</v>
      </c>
      <c r="K60">
        <v>1.3178763564051901</v>
      </c>
      <c r="L60">
        <v>741.77777778216296</v>
      </c>
      <c r="M60">
        <v>0.87839506187589045</v>
      </c>
    </row>
    <row r="61" spans="1:13">
      <c r="A61" t="s">
        <v>18</v>
      </c>
      <c r="B61">
        <v>10</v>
      </c>
      <c r="C61">
        <v>9</v>
      </c>
      <c r="D61">
        <v>1426</v>
      </c>
      <c r="E61">
        <v>931</v>
      </c>
      <c r="F61">
        <v>592</v>
      </c>
      <c r="G61">
        <v>5.2389380530973453</v>
      </c>
      <c r="H61">
        <v>113</v>
      </c>
      <c r="I61">
        <v>0.1908783783783784</v>
      </c>
      <c r="J61">
        <v>10.459717656914499</v>
      </c>
      <c r="K61">
        <v>1.31724954228765</v>
      </c>
      <c r="L61">
        <v>771.82222222678502</v>
      </c>
      <c r="M61">
        <v>0.99598765446795334</v>
      </c>
    </row>
    <row r="62" spans="1:13">
      <c r="A62" t="s">
        <v>19</v>
      </c>
      <c r="B62">
        <v>10</v>
      </c>
      <c r="C62">
        <v>0</v>
      </c>
      <c r="D62">
        <v>1430</v>
      </c>
      <c r="E62">
        <v>923</v>
      </c>
      <c r="F62">
        <v>591</v>
      </c>
      <c r="G62">
        <v>4.884297520661157</v>
      </c>
      <c r="H62">
        <v>121</v>
      </c>
      <c r="I62">
        <v>0.2047377326565144</v>
      </c>
      <c r="J62">
        <v>10.642602586658761</v>
      </c>
      <c r="K62">
        <v>1.33933479936832</v>
      </c>
      <c r="L62">
        <v>867.06666667179297</v>
      </c>
      <c r="M62">
        <v>0.76543209891267161</v>
      </c>
    </row>
    <row r="63" spans="1:13">
      <c r="A63" t="s">
        <v>19</v>
      </c>
      <c r="B63">
        <v>10</v>
      </c>
      <c r="C63">
        <v>1</v>
      </c>
      <c r="D63">
        <v>1430</v>
      </c>
      <c r="E63">
        <v>916</v>
      </c>
      <c r="F63">
        <v>565</v>
      </c>
      <c r="G63">
        <v>4.9561403508771926</v>
      </c>
      <c r="H63">
        <v>114</v>
      </c>
      <c r="I63">
        <v>0.2017699115044248</v>
      </c>
      <c r="J63">
        <v>10.526059861700279</v>
      </c>
      <c r="K63">
        <v>1.37122426458901</v>
      </c>
      <c r="L63">
        <v>896.39999999612701</v>
      </c>
      <c r="M63">
        <v>0.72654321002355071</v>
      </c>
    </row>
    <row r="64" spans="1:13">
      <c r="A64" t="s">
        <v>19</v>
      </c>
      <c r="B64">
        <v>10</v>
      </c>
      <c r="C64">
        <v>2</v>
      </c>
      <c r="D64">
        <v>1430</v>
      </c>
      <c r="E64">
        <v>969</v>
      </c>
      <c r="F64">
        <v>614</v>
      </c>
      <c r="G64">
        <v>5.2478632478632479</v>
      </c>
      <c r="H64">
        <v>117</v>
      </c>
      <c r="I64">
        <v>0.19055374592833879</v>
      </c>
      <c r="J64">
        <v>9.9669762641899364</v>
      </c>
      <c r="K64">
        <v>1.26847444822761</v>
      </c>
      <c r="L64">
        <v>946.97777777368697</v>
      </c>
      <c r="M64">
        <v>0.7209876544679632</v>
      </c>
    </row>
    <row r="65" spans="1:13">
      <c r="A65" t="s">
        <v>19</v>
      </c>
      <c r="B65">
        <v>10</v>
      </c>
      <c r="C65">
        <v>3</v>
      </c>
      <c r="D65">
        <v>1431</v>
      </c>
      <c r="E65">
        <v>932</v>
      </c>
      <c r="F65">
        <v>583</v>
      </c>
      <c r="G65">
        <v>5.1140350877192979</v>
      </c>
      <c r="H65">
        <v>114</v>
      </c>
      <c r="I65">
        <v>0.19554030874785591</v>
      </c>
      <c r="J65">
        <v>10.307665555582039</v>
      </c>
      <c r="K65">
        <v>1.32575186063983</v>
      </c>
      <c r="L65">
        <v>954.31111111006305</v>
      </c>
      <c r="M65">
        <v>0.70956790138188541</v>
      </c>
    </row>
    <row r="66" spans="1:13">
      <c r="A66" t="s">
        <v>19</v>
      </c>
      <c r="B66">
        <v>10</v>
      </c>
      <c r="C66">
        <v>4</v>
      </c>
      <c r="D66">
        <v>1429</v>
      </c>
      <c r="E66">
        <v>928</v>
      </c>
      <c r="F66">
        <v>579</v>
      </c>
      <c r="G66">
        <v>5.1238938053097343</v>
      </c>
      <c r="H66">
        <v>113</v>
      </c>
      <c r="I66">
        <v>0.19516407599309149</v>
      </c>
      <c r="J66">
        <v>10.067887931034541</v>
      </c>
      <c r="K66">
        <v>1.3213054921479299</v>
      </c>
      <c r="L66">
        <v>990.177777778566</v>
      </c>
      <c r="M66">
        <v>0.77777777792467839</v>
      </c>
    </row>
    <row r="67" spans="1:13">
      <c r="A67" t="s">
        <v>19</v>
      </c>
      <c r="B67">
        <v>10</v>
      </c>
      <c r="C67">
        <v>5</v>
      </c>
      <c r="D67">
        <v>1430</v>
      </c>
      <c r="E67">
        <v>931</v>
      </c>
      <c r="F67">
        <v>589</v>
      </c>
      <c r="G67">
        <v>4.9083333333333332</v>
      </c>
      <c r="H67">
        <v>120</v>
      </c>
      <c r="I67">
        <v>0.2037351443123939</v>
      </c>
      <c r="J67">
        <v>10.482277121374921</v>
      </c>
      <c r="K67">
        <v>1.3406917500965301</v>
      </c>
      <c r="L67">
        <v>1066.40000000035</v>
      </c>
      <c r="M67">
        <v>0.75833333348053134</v>
      </c>
    </row>
    <row r="68" spans="1:13">
      <c r="A68" t="s">
        <v>19</v>
      </c>
      <c r="B68">
        <v>10</v>
      </c>
      <c r="C68">
        <v>6</v>
      </c>
      <c r="D68">
        <v>1431</v>
      </c>
      <c r="E68">
        <v>935</v>
      </c>
      <c r="F68">
        <v>581</v>
      </c>
      <c r="G68">
        <v>5.1875</v>
      </c>
      <c r="H68">
        <v>112</v>
      </c>
      <c r="I68">
        <v>0.19277108433734941</v>
      </c>
      <c r="J68">
        <v>9.9336898395722351</v>
      </c>
      <c r="K68">
        <v>1.2947327109779601</v>
      </c>
      <c r="L68">
        <v>1022.4888888892</v>
      </c>
      <c r="M68">
        <v>0.70833333348064864</v>
      </c>
    </row>
    <row r="69" spans="1:13">
      <c r="A69" t="s">
        <v>19</v>
      </c>
      <c r="B69">
        <v>10</v>
      </c>
      <c r="C69">
        <v>7</v>
      </c>
      <c r="D69">
        <v>1431</v>
      </c>
      <c r="E69">
        <v>940</v>
      </c>
      <c r="F69">
        <v>606</v>
      </c>
      <c r="G69">
        <v>5.2241379310344831</v>
      </c>
      <c r="H69">
        <v>116</v>
      </c>
      <c r="I69">
        <v>0.1914191419141914</v>
      </c>
      <c r="J69">
        <v>10.06655145535186</v>
      </c>
      <c r="K69">
        <v>1.2843737933656301</v>
      </c>
      <c r="L69">
        <v>966.62222222793696</v>
      </c>
      <c r="M69">
        <v>0.71790123471526801</v>
      </c>
    </row>
    <row r="70" spans="1:13">
      <c r="A70" t="s">
        <v>19</v>
      </c>
      <c r="B70">
        <v>10</v>
      </c>
      <c r="C70">
        <v>8</v>
      </c>
      <c r="D70">
        <v>1430</v>
      </c>
      <c r="E70">
        <v>943</v>
      </c>
      <c r="F70">
        <v>587</v>
      </c>
      <c r="G70">
        <v>4.9745762711864403</v>
      </c>
      <c r="H70">
        <v>118</v>
      </c>
      <c r="I70">
        <v>0.20102214650766609</v>
      </c>
      <c r="J70">
        <v>10.01378579003187</v>
      </c>
      <c r="K70">
        <v>1.31575677655896</v>
      </c>
      <c r="L70">
        <v>930.93333333883697</v>
      </c>
      <c r="M70">
        <v>0.74290123471501035</v>
      </c>
    </row>
    <row r="71" spans="1:13">
      <c r="A71" t="s">
        <v>19</v>
      </c>
      <c r="B71">
        <v>10</v>
      </c>
      <c r="C71">
        <v>9</v>
      </c>
      <c r="D71">
        <v>1431</v>
      </c>
      <c r="E71">
        <v>925</v>
      </c>
      <c r="F71">
        <v>586</v>
      </c>
      <c r="G71">
        <v>5.1858407079646014</v>
      </c>
      <c r="H71">
        <v>113</v>
      </c>
      <c r="I71">
        <v>0.19283276450511949</v>
      </c>
      <c r="J71">
        <v>9.8378378378378812</v>
      </c>
      <c r="K71">
        <v>1.2588925220441101</v>
      </c>
      <c r="L71">
        <v>910.31111111149903</v>
      </c>
      <c r="M71">
        <v>0.72530864212272506</v>
      </c>
    </row>
    <row r="72" spans="1:13">
      <c r="A72" t="s">
        <v>20</v>
      </c>
      <c r="B72">
        <v>10</v>
      </c>
      <c r="C72">
        <v>0</v>
      </c>
      <c r="D72">
        <v>1312</v>
      </c>
      <c r="E72">
        <v>871</v>
      </c>
      <c r="F72">
        <v>580</v>
      </c>
      <c r="G72">
        <v>4.7154471544715451</v>
      </c>
      <c r="H72">
        <v>123</v>
      </c>
      <c r="I72">
        <v>0.21206896551724139</v>
      </c>
      <c r="J72">
        <v>11.27953023343</v>
      </c>
      <c r="K72">
        <v>1.37647163701038</v>
      </c>
      <c r="L72">
        <v>780.31111111135704</v>
      </c>
      <c r="M72">
        <v>8.9756172840979502</v>
      </c>
    </row>
    <row r="73" spans="1:13">
      <c r="A73" t="s">
        <v>20</v>
      </c>
      <c r="B73">
        <v>10</v>
      </c>
      <c r="C73">
        <v>1</v>
      </c>
      <c r="D73">
        <v>1318</v>
      </c>
      <c r="E73">
        <v>872</v>
      </c>
      <c r="F73">
        <v>561</v>
      </c>
      <c r="G73">
        <v>4.8362068965517242</v>
      </c>
      <c r="H73">
        <v>116</v>
      </c>
      <c r="I73">
        <v>0.20677361853832441</v>
      </c>
      <c r="J73">
        <v>10.473623853211061</v>
      </c>
      <c r="K73">
        <v>1.3163516471907</v>
      </c>
      <c r="L73">
        <v>758.31111111559403</v>
      </c>
      <c r="M73">
        <v>8.501234568048222</v>
      </c>
    </row>
    <row r="74" spans="1:13">
      <c r="A74" t="s">
        <v>20</v>
      </c>
      <c r="B74">
        <v>10</v>
      </c>
      <c r="C74">
        <v>2</v>
      </c>
      <c r="D74">
        <v>1271</v>
      </c>
      <c r="E74">
        <v>870</v>
      </c>
      <c r="F74">
        <v>566</v>
      </c>
      <c r="G74">
        <v>4.7166666666666668</v>
      </c>
      <c r="H74">
        <v>120</v>
      </c>
      <c r="I74">
        <v>0.21201413427561841</v>
      </c>
      <c r="J74">
        <v>10.23218390804603</v>
      </c>
      <c r="K74">
        <v>1.2773896164072001</v>
      </c>
      <c r="L74">
        <v>819.15555555438402</v>
      </c>
      <c r="M74">
        <v>11.78456790138166</v>
      </c>
    </row>
    <row r="75" spans="1:13">
      <c r="A75" t="s">
        <v>20</v>
      </c>
      <c r="B75">
        <v>10</v>
      </c>
      <c r="C75">
        <v>3</v>
      </c>
      <c r="D75">
        <v>1337</v>
      </c>
      <c r="E75">
        <v>885</v>
      </c>
      <c r="F75">
        <v>571</v>
      </c>
      <c r="G75">
        <v>4.9224137931034484</v>
      </c>
      <c r="H75">
        <v>116</v>
      </c>
      <c r="I75">
        <v>0.20315236427320491</v>
      </c>
      <c r="J75">
        <v>10.189331306190599</v>
      </c>
      <c r="K75">
        <v>1.28703261439164</v>
      </c>
      <c r="L75">
        <v>795.86666666322799</v>
      </c>
      <c r="M75">
        <v>7.2629629631104384</v>
      </c>
    </row>
    <row r="76" spans="1:13">
      <c r="A76" t="s">
        <v>20</v>
      </c>
      <c r="B76">
        <v>10</v>
      </c>
      <c r="C76">
        <v>4</v>
      </c>
      <c r="D76">
        <v>1315</v>
      </c>
      <c r="E76">
        <v>876</v>
      </c>
      <c r="F76">
        <v>565</v>
      </c>
      <c r="G76">
        <v>4.8290598290598288</v>
      </c>
      <c r="H76">
        <v>117</v>
      </c>
      <c r="I76">
        <v>0.2070796460176991</v>
      </c>
      <c r="J76">
        <v>10.12397735919046</v>
      </c>
      <c r="K76">
        <v>1.2742191703535</v>
      </c>
      <c r="L76">
        <v>813.82222222046198</v>
      </c>
      <c r="M76">
        <v>8.7950617285425565</v>
      </c>
    </row>
    <row r="77" spans="1:13">
      <c r="A77" t="s">
        <v>20</v>
      </c>
      <c r="B77">
        <v>10</v>
      </c>
      <c r="C77">
        <v>5</v>
      </c>
      <c r="D77">
        <v>1316</v>
      </c>
      <c r="E77">
        <v>878</v>
      </c>
      <c r="F77">
        <v>571</v>
      </c>
      <c r="G77">
        <v>4.8389830508474576</v>
      </c>
      <c r="H77">
        <v>118</v>
      </c>
      <c r="I77">
        <v>0.20665499124343259</v>
      </c>
      <c r="J77">
        <v>10.717539863325801</v>
      </c>
      <c r="K77">
        <v>1.3209717747818299</v>
      </c>
      <c r="L77">
        <v>848.62222221936202</v>
      </c>
      <c r="M77">
        <v>8.6808641976780976</v>
      </c>
    </row>
    <row r="78" spans="1:13">
      <c r="A78" t="s">
        <v>20</v>
      </c>
      <c r="B78">
        <v>10</v>
      </c>
      <c r="C78">
        <v>6</v>
      </c>
      <c r="D78">
        <v>1303</v>
      </c>
      <c r="E78">
        <v>863</v>
      </c>
      <c r="F78">
        <v>554</v>
      </c>
      <c r="G78">
        <v>4.9464285714285712</v>
      </c>
      <c r="H78">
        <v>112</v>
      </c>
      <c r="I78">
        <v>0.20216606498194939</v>
      </c>
      <c r="J78">
        <v>10.13465188809097</v>
      </c>
      <c r="K78">
        <v>1.2740471495024099</v>
      </c>
      <c r="L78">
        <v>745.95555555614897</v>
      </c>
      <c r="M78">
        <v>9.5138888888888893</v>
      </c>
    </row>
    <row r="79" spans="1:13">
      <c r="A79" t="s">
        <v>20</v>
      </c>
      <c r="B79">
        <v>10</v>
      </c>
      <c r="C79">
        <v>7</v>
      </c>
      <c r="D79">
        <v>1276</v>
      </c>
      <c r="E79">
        <v>863</v>
      </c>
      <c r="F79">
        <v>564</v>
      </c>
      <c r="G79">
        <v>4.9911504424778759</v>
      </c>
      <c r="H79">
        <v>113</v>
      </c>
      <c r="I79">
        <v>0.200354609929078</v>
      </c>
      <c r="J79">
        <v>9.9141793628270101</v>
      </c>
      <c r="K79">
        <v>1.2303719142895899</v>
      </c>
      <c r="L79">
        <v>778.311111108452</v>
      </c>
      <c r="M79">
        <v>11.440740740887881</v>
      </c>
    </row>
    <row r="80" spans="1:13">
      <c r="A80" t="s">
        <v>20</v>
      </c>
      <c r="B80">
        <v>10</v>
      </c>
      <c r="C80">
        <v>8</v>
      </c>
      <c r="D80">
        <v>1297</v>
      </c>
      <c r="E80">
        <v>875</v>
      </c>
      <c r="F80">
        <v>558</v>
      </c>
      <c r="G80">
        <v>4.5365853658536581</v>
      </c>
      <c r="H80">
        <v>123</v>
      </c>
      <c r="I80">
        <v>0.22043010752688169</v>
      </c>
      <c r="J80">
        <v>10.54911464284536</v>
      </c>
      <c r="K80">
        <v>1.3372602997227101</v>
      </c>
      <c r="L80">
        <v>809.42222222272301</v>
      </c>
      <c r="M80">
        <v>9.9762345680483264</v>
      </c>
    </row>
    <row r="81" spans="1:13">
      <c r="A81" t="s">
        <v>20</v>
      </c>
      <c r="B81">
        <v>10</v>
      </c>
      <c r="C81">
        <v>9</v>
      </c>
      <c r="D81">
        <v>1310</v>
      </c>
      <c r="E81">
        <v>870</v>
      </c>
      <c r="F81">
        <v>567</v>
      </c>
      <c r="G81">
        <v>4.6097560975609753</v>
      </c>
      <c r="H81">
        <v>123</v>
      </c>
      <c r="I81">
        <v>0.21693121693121689</v>
      </c>
      <c r="J81">
        <v>11.071124698436069</v>
      </c>
      <c r="K81">
        <v>1.36809258211233</v>
      </c>
      <c r="L81">
        <v>817.55555556038905</v>
      </c>
      <c r="M81">
        <v>9.0694444445915074</v>
      </c>
    </row>
    <row r="82" spans="1:13">
      <c r="A82" t="s">
        <v>21</v>
      </c>
      <c r="B82">
        <v>10</v>
      </c>
      <c r="C82">
        <v>0</v>
      </c>
      <c r="D82">
        <v>1423</v>
      </c>
      <c r="E82">
        <v>935</v>
      </c>
      <c r="F82">
        <v>605</v>
      </c>
      <c r="G82">
        <v>5.2155172413793096</v>
      </c>
      <c r="H82">
        <v>116</v>
      </c>
      <c r="I82">
        <v>0.19173553719008271</v>
      </c>
      <c r="J82">
        <v>10.51336898395726</v>
      </c>
      <c r="K82">
        <v>1.3176523578378201</v>
      </c>
      <c r="L82">
        <v>826.08888888531999</v>
      </c>
      <c r="M82">
        <v>1.307407407554976</v>
      </c>
    </row>
    <row r="83" spans="1:13">
      <c r="A83" t="s">
        <v>21</v>
      </c>
      <c r="B83">
        <v>10</v>
      </c>
      <c r="C83">
        <v>1</v>
      </c>
      <c r="D83">
        <v>1425</v>
      </c>
      <c r="E83">
        <v>924</v>
      </c>
      <c r="F83">
        <v>585</v>
      </c>
      <c r="G83">
        <v>4.7950819672131146</v>
      </c>
      <c r="H83">
        <v>122</v>
      </c>
      <c r="I83">
        <v>0.20854700854700861</v>
      </c>
      <c r="J83">
        <v>10.469981006307041</v>
      </c>
      <c r="K83">
        <v>1.35610468878371</v>
      </c>
      <c r="L83">
        <v>895.46666666687804</v>
      </c>
      <c r="M83">
        <v>1.0833333334803981</v>
      </c>
    </row>
    <row r="84" spans="1:13">
      <c r="A84" t="s">
        <v>21</v>
      </c>
      <c r="B84">
        <v>10</v>
      </c>
      <c r="C84">
        <v>2</v>
      </c>
      <c r="D84">
        <v>1421</v>
      </c>
      <c r="E84">
        <v>972</v>
      </c>
      <c r="F84">
        <v>615</v>
      </c>
      <c r="G84">
        <v>5.2118644067796609</v>
      </c>
      <c r="H84">
        <v>118</v>
      </c>
      <c r="I84">
        <v>0.19186991869918699</v>
      </c>
      <c r="J84">
        <v>9.9158979830233225</v>
      </c>
      <c r="K84">
        <v>1.2721396524079001</v>
      </c>
      <c r="L84">
        <v>710.31111110937502</v>
      </c>
      <c r="M84">
        <v>1.3611111112581711</v>
      </c>
    </row>
    <row r="85" spans="1:13">
      <c r="A85" t="s">
        <v>21</v>
      </c>
      <c r="B85">
        <v>10</v>
      </c>
      <c r="C85">
        <v>3</v>
      </c>
      <c r="D85">
        <v>1425</v>
      </c>
      <c r="E85">
        <v>963</v>
      </c>
      <c r="F85">
        <v>609</v>
      </c>
      <c r="G85">
        <v>4.911290322580645</v>
      </c>
      <c r="H85">
        <v>124</v>
      </c>
      <c r="I85">
        <v>0.20361247947454841</v>
      </c>
      <c r="J85">
        <v>10.421257355469891</v>
      </c>
      <c r="K85">
        <v>1.3423221011900801</v>
      </c>
      <c r="L85">
        <v>753.11111111131004</v>
      </c>
      <c r="M85">
        <v>1.1092592594064841</v>
      </c>
    </row>
    <row r="86" spans="1:13">
      <c r="A86" t="s">
        <v>21</v>
      </c>
      <c r="B86">
        <v>10</v>
      </c>
      <c r="C86">
        <v>4</v>
      </c>
      <c r="D86">
        <v>1427</v>
      </c>
      <c r="E86">
        <v>951</v>
      </c>
      <c r="F86">
        <v>599</v>
      </c>
      <c r="G86">
        <v>5.3008849557522124</v>
      </c>
      <c r="H86">
        <v>113</v>
      </c>
      <c r="I86">
        <v>0.18864774624373959</v>
      </c>
      <c r="J86">
        <v>10.076077557208571</v>
      </c>
      <c r="K86">
        <v>1.2884296618711799</v>
      </c>
      <c r="L86">
        <v>794.00000000247098</v>
      </c>
      <c r="M86">
        <v>1.0157407408882251</v>
      </c>
    </row>
    <row r="87" spans="1:13">
      <c r="A87" t="s">
        <v>21</v>
      </c>
      <c r="B87">
        <v>10</v>
      </c>
      <c r="C87">
        <v>5</v>
      </c>
      <c r="D87">
        <v>1424</v>
      </c>
      <c r="E87">
        <v>946</v>
      </c>
      <c r="F87">
        <v>596</v>
      </c>
      <c r="G87">
        <v>4.7301587301587302</v>
      </c>
      <c r="H87">
        <v>126</v>
      </c>
      <c r="I87">
        <v>0.21140939597315439</v>
      </c>
      <c r="J87">
        <v>10.32297832979294</v>
      </c>
      <c r="K87">
        <v>1.3258356120862</v>
      </c>
      <c r="L87">
        <v>761.555555560058</v>
      </c>
      <c r="M87">
        <v>1.1163580247647971</v>
      </c>
    </row>
    <row r="88" spans="1:13">
      <c r="A88" t="s">
        <v>21</v>
      </c>
      <c r="B88">
        <v>10</v>
      </c>
      <c r="C88">
        <v>6</v>
      </c>
      <c r="D88">
        <v>1418</v>
      </c>
      <c r="E88">
        <v>946</v>
      </c>
      <c r="F88">
        <v>593</v>
      </c>
      <c r="G88">
        <v>5.1565217391304348</v>
      </c>
      <c r="H88">
        <v>115</v>
      </c>
      <c r="I88">
        <v>0.19392917369308599</v>
      </c>
      <c r="J88">
        <v>10.03594080338272</v>
      </c>
      <c r="K88">
        <v>1.29362630429195</v>
      </c>
      <c r="L88">
        <v>835.20000000016296</v>
      </c>
      <c r="M88">
        <v>1.585185185332342</v>
      </c>
    </row>
    <row r="89" spans="1:13">
      <c r="A89" t="s">
        <v>21</v>
      </c>
      <c r="B89">
        <v>10</v>
      </c>
      <c r="C89">
        <v>7</v>
      </c>
      <c r="D89">
        <v>1430</v>
      </c>
      <c r="E89">
        <v>963</v>
      </c>
      <c r="F89">
        <v>615</v>
      </c>
      <c r="G89">
        <v>5.3017241379310347</v>
      </c>
      <c r="H89">
        <v>116</v>
      </c>
      <c r="I89">
        <v>0.1886178861788618</v>
      </c>
      <c r="J89">
        <v>10.09290844581253</v>
      </c>
      <c r="K89">
        <v>1.2812120903614299</v>
      </c>
      <c r="L89">
        <v>744.80000000059295</v>
      </c>
      <c r="M89">
        <v>0.73950617298659305</v>
      </c>
    </row>
    <row r="90" spans="1:13">
      <c r="A90" t="s">
        <v>21</v>
      </c>
      <c r="B90">
        <v>10</v>
      </c>
      <c r="C90">
        <v>8</v>
      </c>
      <c r="D90">
        <v>1414</v>
      </c>
      <c r="E90">
        <v>952</v>
      </c>
      <c r="F90">
        <v>603</v>
      </c>
      <c r="G90">
        <v>4.9834710743801649</v>
      </c>
      <c r="H90">
        <v>121</v>
      </c>
      <c r="I90">
        <v>0.20066334991708129</v>
      </c>
      <c r="J90">
        <v>10.16193835346002</v>
      </c>
      <c r="K90">
        <v>1.28580070567055</v>
      </c>
      <c r="L90">
        <v>783.20000000463006</v>
      </c>
      <c r="M90">
        <v>1.8469135803939789</v>
      </c>
    </row>
    <row r="91" spans="1:13">
      <c r="A91" t="s">
        <v>21</v>
      </c>
      <c r="B91">
        <v>10</v>
      </c>
      <c r="C91">
        <v>9</v>
      </c>
      <c r="D91">
        <v>1423</v>
      </c>
      <c r="E91">
        <v>932</v>
      </c>
      <c r="F91">
        <v>595</v>
      </c>
      <c r="G91">
        <v>5.0423728813559334</v>
      </c>
      <c r="H91">
        <v>118</v>
      </c>
      <c r="I91">
        <v>0.1983193277310924</v>
      </c>
      <c r="J91">
        <v>10.38174717600017</v>
      </c>
      <c r="K91">
        <v>1.32532450721414</v>
      </c>
      <c r="L91">
        <v>815.20000000014704</v>
      </c>
      <c r="M91">
        <v>1.2179012347149429</v>
      </c>
    </row>
    <row r="92" spans="1:13">
      <c r="A92" t="s">
        <v>22</v>
      </c>
      <c r="B92">
        <v>10</v>
      </c>
      <c r="C92">
        <v>0</v>
      </c>
      <c r="D92">
        <v>1431</v>
      </c>
      <c r="E92">
        <v>947</v>
      </c>
      <c r="F92">
        <v>615</v>
      </c>
      <c r="G92">
        <v>5.1680672268907566</v>
      </c>
      <c r="H92">
        <v>119</v>
      </c>
      <c r="I92">
        <v>0.19349593495934961</v>
      </c>
      <c r="J92">
        <v>10.44282386629355</v>
      </c>
      <c r="K92">
        <v>1.29213754744989</v>
      </c>
      <c r="L92">
        <v>721.95555555982401</v>
      </c>
      <c r="M92">
        <v>0.72530864212272705</v>
      </c>
    </row>
    <row r="93" spans="1:13">
      <c r="A93" t="s">
        <v>22</v>
      </c>
      <c r="B93">
        <v>10</v>
      </c>
      <c r="C93">
        <v>1</v>
      </c>
      <c r="D93">
        <v>1425</v>
      </c>
      <c r="E93">
        <v>937</v>
      </c>
      <c r="F93">
        <v>586</v>
      </c>
      <c r="G93">
        <v>5.1858407079646014</v>
      </c>
      <c r="H93">
        <v>113</v>
      </c>
      <c r="I93">
        <v>0.19283276450511949</v>
      </c>
      <c r="J93">
        <v>10.268943436499519</v>
      </c>
      <c r="K93">
        <v>1.3154899045917601</v>
      </c>
      <c r="L93">
        <v>862.44444444513101</v>
      </c>
      <c r="M93">
        <v>1.108950617431169</v>
      </c>
    </row>
    <row r="94" spans="1:13">
      <c r="A94" t="s">
        <v>22</v>
      </c>
      <c r="B94">
        <v>10</v>
      </c>
      <c r="C94">
        <v>2</v>
      </c>
      <c r="D94">
        <v>1429</v>
      </c>
      <c r="E94">
        <v>981</v>
      </c>
      <c r="F94">
        <v>613</v>
      </c>
      <c r="G94">
        <v>5.1083333333333334</v>
      </c>
      <c r="H94">
        <v>120</v>
      </c>
      <c r="I94">
        <v>0.19575856443719411</v>
      </c>
      <c r="J94">
        <v>9.9021406727829255</v>
      </c>
      <c r="K94">
        <v>1.2685799238597</v>
      </c>
      <c r="L94">
        <v>752.80000000274504</v>
      </c>
      <c r="M94">
        <v>0.79351851866552214</v>
      </c>
    </row>
    <row r="95" spans="1:13">
      <c r="A95" t="s">
        <v>22</v>
      </c>
      <c r="B95">
        <v>10</v>
      </c>
      <c r="C95">
        <v>3</v>
      </c>
      <c r="D95">
        <v>1430</v>
      </c>
      <c r="E95">
        <v>954</v>
      </c>
      <c r="F95">
        <v>610</v>
      </c>
      <c r="G95">
        <v>5.1260504201680677</v>
      </c>
      <c r="H95">
        <v>119</v>
      </c>
      <c r="I95">
        <v>0.19508196721311469</v>
      </c>
      <c r="J95">
        <v>10.673940579920339</v>
      </c>
      <c r="K95">
        <v>1.33373066183501</v>
      </c>
      <c r="L95">
        <v>776.62222222681305</v>
      </c>
      <c r="M95">
        <v>0.75401234582618404</v>
      </c>
    </row>
    <row r="96" spans="1:13">
      <c r="A96" t="s">
        <v>22</v>
      </c>
      <c r="B96">
        <v>10</v>
      </c>
      <c r="C96">
        <v>4</v>
      </c>
      <c r="D96">
        <v>1429</v>
      </c>
      <c r="E96">
        <v>954</v>
      </c>
      <c r="F96">
        <v>604</v>
      </c>
      <c r="G96">
        <v>5.2521739130434781</v>
      </c>
      <c r="H96">
        <v>115</v>
      </c>
      <c r="I96">
        <v>0.19039735099337751</v>
      </c>
      <c r="J96">
        <v>10.022348008376881</v>
      </c>
      <c r="K96">
        <v>1.2876756137527601</v>
      </c>
      <c r="L96">
        <v>775.82222221887105</v>
      </c>
      <c r="M96">
        <v>0.83487654335711037</v>
      </c>
    </row>
    <row r="97" spans="1:13">
      <c r="A97" t="s">
        <v>22</v>
      </c>
      <c r="B97">
        <v>10</v>
      </c>
      <c r="C97">
        <v>5</v>
      </c>
      <c r="D97">
        <v>1430</v>
      </c>
      <c r="E97">
        <v>936</v>
      </c>
      <c r="F97">
        <v>593</v>
      </c>
      <c r="G97">
        <v>4.9416666666666664</v>
      </c>
      <c r="H97">
        <v>120</v>
      </c>
      <c r="I97">
        <v>0.2023608768971332</v>
      </c>
      <c r="J97">
        <v>10.288461538461579</v>
      </c>
      <c r="K97">
        <v>1.30113062402141</v>
      </c>
      <c r="L97">
        <v>761.37777777617703</v>
      </c>
      <c r="M97">
        <v>0.72098765446796387</v>
      </c>
    </row>
    <row r="98" spans="1:13">
      <c r="A98" t="s">
        <v>22</v>
      </c>
      <c r="B98">
        <v>10</v>
      </c>
      <c r="C98">
        <v>6</v>
      </c>
      <c r="D98">
        <v>1429</v>
      </c>
      <c r="E98">
        <v>955</v>
      </c>
      <c r="F98">
        <v>602</v>
      </c>
      <c r="G98">
        <v>5.2807017543859649</v>
      </c>
      <c r="H98">
        <v>114</v>
      </c>
      <c r="I98">
        <v>0.18936877076411959</v>
      </c>
      <c r="J98">
        <v>9.741361256544554</v>
      </c>
      <c r="K98">
        <v>1.25172070411109</v>
      </c>
      <c r="L98">
        <v>875.86666666386498</v>
      </c>
      <c r="M98">
        <v>0.78611111125806588</v>
      </c>
    </row>
    <row r="99" spans="1:13">
      <c r="A99" t="s">
        <v>22</v>
      </c>
      <c r="B99">
        <v>10</v>
      </c>
      <c r="C99">
        <v>7</v>
      </c>
      <c r="D99">
        <v>1430</v>
      </c>
      <c r="E99">
        <v>964</v>
      </c>
      <c r="F99">
        <v>617</v>
      </c>
      <c r="G99">
        <v>5.0991735537190079</v>
      </c>
      <c r="H99">
        <v>121</v>
      </c>
      <c r="I99">
        <v>0.19611021069692061</v>
      </c>
      <c r="J99">
        <v>10.20061337386222</v>
      </c>
      <c r="K99">
        <v>1.3003399167747101</v>
      </c>
      <c r="L99">
        <v>664.62222221935099</v>
      </c>
      <c r="M99">
        <v>0.72716049397417426</v>
      </c>
    </row>
    <row r="100" spans="1:13">
      <c r="A100" t="s">
        <v>22</v>
      </c>
      <c r="B100">
        <v>10</v>
      </c>
      <c r="C100">
        <v>8</v>
      </c>
      <c r="D100">
        <v>1431</v>
      </c>
      <c r="E100">
        <v>961</v>
      </c>
      <c r="F100">
        <v>604</v>
      </c>
      <c r="G100">
        <v>4.9508196721311473</v>
      </c>
      <c r="H100">
        <v>122</v>
      </c>
      <c r="I100">
        <v>0.20198675496688739</v>
      </c>
      <c r="J100">
        <v>10.247834528049641</v>
      </c>
      <c r="K100">
        <v>1.3145759189074799</v>
      </c>
      <c r="L100">
        <v>734.13333333767298</v>
      </c>
      <c r="M100">
        <v>0.70648148162878821</v>
      </c>
    </row>
    <row r="101" spans="1:13">
      <c r="A101" t="s">
        <v>22</v>
      </c>
      <c r="B101">
        <v>10</v>
      </c>
      <c r="C101">
        <v>9</v>
      </c>
      <c r="D101">
        <v>1427</v>
      </c>
      <c r="E101">
        <v>935</v>
      </c>
      <c r="F101">
        <v>596</v>
      </c>
      <c r="G101">
        <v>4.9256198347107434</v>
      </c>
      <c r="H101">
        <v>121</v>
      </c>
      <c r="I101">
        <v>0.2030201342281879</v>
      </c>
      <c r="J101">
        <v>10.59037525995204</v>
      </c>
      <c r="K101">
        <v>1.34116906496628</v>
      </c>
      <c r="L101">
        <v>815.19999999854099</v>
      </c>
      <c r="M101">
        <v>0.97253086434476388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1"/>
  <sheetViews>
    <sheetView workbookViewId="0"/>
  </sheetViews>
  <sheetFormatPr defaultRowHeight="15.75"/>
  <cols>
    <col min="1" max="5" width="18" customWidth="1"/>
  </cols>
  <sheetData>
    <row r="1" spans="1: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>
      <c r="A2" t="s">
        <v>28</v>
      </c>
      <c r="B2" t="s">
        <v>13</v>
      </c>
      <c r="C2" t="s">
        <v>3</v>
      </c>
      <c r="D2">
        <f>AVERAGE(per_seed!$D$2:$D$11)</f>
        <v>1419.9</v>
      </c>
      <c r="E2">
        <v>1419.9</v>
      </c>
    </row>
    <row r="3" spans="1:5">
      <c r="A3" t="s">
        <v>29</v>
      </c>
      <c r="B3" t="s">
        <v>13</v>
      </c>
      <c r="C3" t="s">
        <v>3</v>
      </c>
      <c r="D3">
        <f>_xlfn.STDEV.S(per_seed!$D$2:$D$11)</f>
        <v>6.8223488949513902</v>
      </c>
      <c r="E3">
        <v>6.8223488949513893</v>
      </c>
    </row>
    <row r="4" spans="1:5">
      <c r="A4" t="s">
        <v>28</v>
      </c>
      <c r="B4" t="s">
        <v>13</v>
      </c>
      <c r="C4" t="s">
        <v>4</v>
      </c>
      <c r="D4">
        <f>AVERAGE(per_seed!$E$2:$E$11)</f>
        <v>946.1</v>
      </c>
      <c r="E4">
        <v>946.1</v>
      </c>
    </row>
    <row r="5" spans="1:5">
      <c r="A5" t="s">
        <v>29</v>
      </c>
      <c r="B5" t="s">
        <v>13</v>
      </c>
      <c r="C5" t="s">
        <v>4</v>
      </c>
      <c r="D5">
        <f>_xlfn.STDEV.S(per_seed!$E$2:$E$11)</f>
        <v>15.623699945915501</v>
      </c>
      <c r="E5">
        <v>15.623699945915501</v>
      </c>
    </row>
    <row r="6" spans="1:5">
      <c r="A6" t="s">
        <v>28</v>
      </c>
      <c r="B6" t="s">
        <v>13</v>
      </c>
      <c r="C6" t="s">
        <v>5</v>
      </c>
      <c r="D6">
        <f>AVERAGE(per_seed!$F$2:$F$11)</f>
        <v>599.1</v>
      </c>
      <c r="E6">
        <v>599.1</v>
      </c>
    </row>
    <row r="7" spans="1:5">
      <c r="A7" t="s">
        <v>29</v>
      </c>
      <c r="B7" t="s">
        <v>13</v>
      </c>
      <c r="C7" t="s">
        <v>5</v>
      </c>
      <c r="D7">
        <f>_xlfn.STDEV.S(per_seed!$F$2:$F$11)</f>
        <v>12.10555428076073</v>
      </c>
      <c r="E7">
        <v>12.10555428076073</v>
      </c>
    </row>
    <row r="8" spans="1:5">
      <c r="A8" t="s">
        <v>28</v>
      </c>
      <c r="B8" t="s">
        <v>13</v>
      </c>
      <c r="C8" t="s">
        <v>6</v>
      </c>
      <c r="D8">
        <f>AVERAGE(per_seed!$G$2:$G$11)</f>
        <v>5.3376677629166966</v>
      </c>
      <c r="E8">
        <v>5.3376677629166966</v>
      </c>
    </row>
    <row r="9" spans="1:5">
      <c r="A9" t="s">
        <v>29</v>
      </c>
      <c r="B9" t="s">
        <v>13</v>
      </c>
      <c r="C9" t="s">
        <v>6</v>
      </c>
      <c r="D9">
        <f>_xlfn.STDEV.S(per_seed!$G$2:$G$11)</f>
        <v>0.17628553013477707</v>
      </c>
      <c r="E9">
        <v>0.1762855301347771</v>
      </c>
    </row>
    <row r="10" spans="1:5">
      <c r="A10" t="s">
        <v>28</v>
      </c>
      <c r="B10" t="s">
        <v>13</v>
      </c>
      <c r="C10" t="s">
        <v>7</v>
      </c>
      <c r="D10">
        <f>AVERAGE(per_seed!$H$2:$H$11)</f>
        <v>112.3</v>
      </c>
      <c r="E10">
        <v>112.3</v>
      </c>
    </row>
    <row r="11" spans="1:5">
      <c r="A11" t="s">
        <v>29</v>
      </c>
      <c r="B11" t="s">
        <v>13</v>
      </c>
      <c r="C11" t="s">
        <v>7</v>
      </c>
      <c r="D11">
        <f>_xlfn.STDEV.S(per_seed!$H$2:$H$11)</f>
        <v>2.496664441476534</v>
      </c>
      <c r="E11">
        <v>2.496664441476534</v>
      </c>
    </row>
    <row r="12" spans="1:5">
      <c r="A12" t="s">
        <v>28</v>
      </c>
      <c r="B12" t="s">
        <v>13</v>
      </c>
      <c r="C12" t="s">
        <v>8</v>
      </c>
      <c r="D12">
        <f>AVERAGE(per_seed!$I$2:$I$11)</f>
        <v>0.18753467059211162</v>
      </c>
      <c r="E12">
        <v>0.1875346705921116</v>
      </c>
    </row>
    <row r="13" spans="1:5">
      <c r="A13" t="s">
        <v>29</v>
      </c>
      <c r="B13" t="s">
        <v>13</v>
      </c>
      <c r="C13" t="s">
        <v>8</v>
      </c>
      <c r="D13">
        <f>_xlfn.STDEV.S(per_seed!$I$2:$I$11)</f>
        <v>6.2916126374122543E-3</v>
      </c>
      <c r="E13">
        <v>6.2916126374122404E-3</v>
      </c>
    </row>
    <row r="14" spans="1:5">
      <c r="A14" t="s">
        <v>28</v>
      </c>
      <c r="B14" t="s">
        <v>13</v>
      </c>
      <c r="C14" t="s">
        <v>9</v>
      </c>
      <c r="D14">
        <f>AVERAGE(per_seed!$J$2:$J$11)</f>
        <v>9.3735739919392298</v>
      </c>
      <c r="E14">
        <v>9.3735739919392298</v>
      </c>
    </row>
    <row r="15" spans="1:5">
      <c r="A15" t="s">
        <v>29</v>
      </c>
      <c r="B15" t="s">
        <v>13</v>
      </c>
      <c r="C15" t="s">
        <v>9</v>
      </c>
      <c r="D15">
        <f>_xlfn.STDEV.S(per_seed!$J$2:$J$11)</f>
        <v>0.33887032943654422</v>
      </c>
      <c r="E15">
        <v>0.33887032943654422</v>
      </c>
    </row>
    <row r="16" spans="1:5">
      <c r="A16" t="s">
        <v>28</v>
      </c>
      <c r="B16" t="s">
        <v>13</v>
      </c>
      <c r="C16" t="s">
        <v>10</v>
      </c>
      <c r="D16">
        <f>AVERAGE(per_seed!$K$2:$K$11)</f>
        <v>1.189524545228474</v>
      </c>
      <c r="E16">
        <v>1.189524545228474</v>
      </c>
    </row>
    <row r="17" spans="1:5">
      <c r="A17" t="s">
        <v>29</v>
      </c>
      <c r="B17" t="s">
        <v>13</v>
      </c>
      <c r="C17" t="s">
        <v>10</v>
      </c>
      <c r="D17">
        <f>_xlfn.STDEV.S(per_seed!$K$2:$K$11)</f>
        <v>3.5017578956487584E-2</v>
      </c>
      <c r="E17">
        <v>3.5017578956487591E-2</v>
      </c>
    </row>
    <row r="18" spans="1:5">
      <c r="A18" t="s">
        <v>28</v>
      </c>
      <c r="B18" t="s">
        <v>13</v>
      </c>
      <c r="C18" t="s">
        <v>11</v>
      </c>
      <c r="D18">
        <f>AVERAGE(per_seed!$L$2:$L$11)</f>
        <v>830.78666666901313</v>
      </c>
      <c r="E18">
        <v>830.78666666901313</v>
      </c>
    </row>
    <row r="19" spans="1:5">
      <c r="A19" t="s">
        <v>29</v>
      </c>
      <c r="B19" t="s">
        <v>13</v>
      </c>
      <c r="C19" t="s">
        <v>11</v>
      </c>
      <c r="D19">
        <f>_xlfn.STDEV.S(per_seed!$L$2:$L$11)</f>
        <v>49.576436057924504</v>
      </c>
      <c r="E19">
        <v>49.576436057924496</v>
      </c>
    </row>
    <row r="20" spans="1:5">
      <c r="A20" t="s">
        <v>28</v>
      </c>
      <c r="B20" t="s">
        <v>13</v>
      </c>
      <c r="C20" t="s">
        <v>12</v>
      </c>
      <c r="D20">
        <f>AVERAGE(per_seed!$M$2:$M$11)</f>
        <v>1.4530555557027163</v>
      </c>
      <c r="E20">
        <v>1.4530555557027161</v>
      </c>
    </row>
    <row r="21" spans="1:5">
      <c r="A21" t="s">
        <v>29</v>
      </c>
      <c r="B21" t="s">
        <v>13</v>
      </c>
      <c r="C21" t="s">
        <v>12</v>
      </c>
      <c r="D21">
        <f>_xlfn.STDEV.S(per_seed!$M$2:$M$11)</f>
        <v>0.4713365833229603</v>
      </c>
      <c r="E21">
        <v>0.47133658332296141</v>
      </c>
    </row>
    <row r="22" spans="1:5">
      <c r="A22" t="s">
        <v>28</v>
      </c>
      <c r="B22" t="s">
        <v>14</v>
      </c>
      <c r="C22" t="s">
        <v>3</v>
      </c>
      <c r="D22">
        <f>AVERAGE(per_seed!$D$12:$D$21)</f>
        <v>1422.2</v>
      </c>
      <c r="E22">
        <v>1422.2</v>
      </c>
    </row>
    <row r="23" spans="1:5">
      <c r="A23" t="s">
        <v>29</v>
      </c>
      <c r="B23" t="s">
        <v>14</v>
      </c>
      <c r="C23" t="s">
        <v>3</v>
      </c>
      <c r="D23">
        <f>_xlfn.STDEV.S(per_seed!$D$12:$D$21)</f>
        <v>4.5655716448703823</v>
      </c>
      <c r="E23">
        <v>4.5655716448703823</v>
      </c>
    </row>
    <row r="24" spans="1:5">
      <c r="A24" t="s">
        <v>28</v>
      </c>
      <c r="B24" t="s">
        <v>14</v>
      </c>
      <c r="C24" t="s">
        <v>4</v>
      </c>
      <c r="D24">
        <f>AVERAGE(per_seed!$E$12:$E$21)</f>
        <v>931.2</v>
      </c>
      <c r="E24">
        <v>931.2</v>
      </c>
    </row>
    <row r="25" spans="1:5">
      <c r="A25" t="s">
        <v>29</v>
      </c>
      <c r="B25" t="s">
        <v>14</v>
      </c>
      <c r="C25" t="s">
        <v>4</v>
      </c>
      <c r="D25">
        <f>_xlfn.STDEV.S(per_seed!$E$12:$E$21)</f>
        <v>11.96104789166345</v>
      </c>
      <c r="E25">
        <v>11.96104789166345</v>
      </c>
    </row>
    <row r="26" spans="1:5">
      <c r="A26" t="s">
        <v>28</v>
      </c>
      <c r="B26" t="s">
        <v>14</v>
      </c>
      <c r="C26" t="s">
        <v>5</v>
      </c>
      <c r="D26">
        <f>AVERAGE(per_seed!$F$12:$F$21)</f>
        <v>584</v>
      </c>
      <c r="E26">
        <v>584</v>
      </c>
    </row>
    <row r="27" spans="1:5">
      <c r="A27" t="s">
        <v>29</v>
      </c>
      <c r="B27" t="s">
        <v>14</v>
      </c>
      <c r="C27" t="s">
        <v>5</v>
      </c>
      <c r="D27">
        <f>_xlfn.STDEV.S(per_seed!$F$12:$F$21)</f>
        <v>11.115554667022044</v>
      </c>
      <c r="E27">
        <v>11.115554667022041</v>
      </c>
    </row>
    <row r="28" spans="1:5">
      <c r="A28" t="s">
        <v>28</v>
      </c>
      <c r="B28" t="s">
        <v>14</v>
      </c>
      <c r="C28" t="s">
        <v>6</v>
      </c>
      <c r="D28">
        <f>AVERAGE(per_seed!$G$12:$G$21)</f>
        <v>5.230720266895009</v>
      </c>
      <c r="E28">
        <v>5.2307202668950081</v>
      </c>
    </row>
    <row r="29" spans="1:5">
      <c r="A29" t="s">
        <v>29</v>
      </c>
      <c r="B29" t="s">
        <v>14</v>
      </c>
      <c r="C29" t="s">
        <v>6</v>
      </c>
      <c r="D29">
        <f>_xlfn.STDEV.S(per_seed!$G$12:$G$21)</f>
        <v>0.11305338806849775</v>
      </c>
      <c r="E29">
        <v>0.1130533880684978</v>
      </c>
    </row>
    <row r="30" spans="1:5">
      <c r="A30" t="s">
        <v>28</v>
      </c>
      <c r="B30" t="s">
        <v>14</v>
      </c>
      <c r="C30" t="s">
        <v>7</v>
      </c>
      <c r="D30">
        <f>AVERAGE(per_seed!$H$12:$H$21)</f>
        <v>111.7</v>
      </c>
      <c r="E30">
        <v>111.7</v>
      </c>
    </row>
    <row r="31" spans="1:5">
      <c r="A31" t="s">
        <v>29</v>
      </c>
      <c r="B31" t="s">
        <v>14</v>
      </c>
      <c r="C31" t="s">
        <v>7</v>
      </c>
      <c r="D31">
        <f>_xlfn.STDEV.S(per_seed!$H$12:$H$21)</f>
        <v>3.4009802508492561</v>
      </c>
      <c r="E31">
        <v>3.4009802508492561</v>
      </c>
    </row>
    <row r="32" spans="1:5">
      <c r="A32" t="s">
        <v>28</v>
      </c>
      <c r="B32" t="s">
        <v>14</v>
      </c>
      <c r="C32" t="s">
        <v>8</v>
      </c>
      <c r="D32">
        <f>AVERAGE(per_seed!$I$12:$I$21)</f>
        <v>0.19125943050388863</v>
      </c>
      <c r="E32">
        <v>0.19125943050388861</v>
      </c>
    </row>
    <row r="33" spans="1:5">
      <c r="A33" t="s">
        <v>29</v>
      </c>
      <c r="B33" t="s">
        <v>14</v>
      </c>
      <c r="C33" t="s">
        <v>8</v>
      </c>
      <c r="D33">
        <f>_xlfn.STDEV.S(per_seed!$I$12:$I$21)</f>
        <v>4.1735315484725272E-3</v>
      </c>
      <c r="E33">
        <v>4.1735315484725281E-3</v>
      </c>
    </row>
    <row r="34" spans="1:5">
      <c r="A34" t="s">
        <v>28</v>
      </c>
      <c r="B34" t="s">
        <v>14</v>
      </c>
      <c r="C34" t="s">
        <v>9</v>
      </c>
      <c r="D34">
        <f>AVERAGE(per_seed!$J$12:$J$21)</f>
        <v>9.4020916400988774</v>
      </c>
      <c r="E34">
        <v>9.4020916400988774</v>
      </c>
    </row>
    <row r="35" spans="1:5">
      <c r="A35" t="s">
        <v>29</v>
      </c>
      <c r="B35" t="s">
        <v>14</v>
      </c>
      <c r="C35" t="s">
        <v>9</v>
      </c>
      <c r="D35">
        <f>_xlfn.STDEV.S(per_seed!$J$12:$J$21)</f>
        <v>0.23180472614620243</v>
      </c>
      <c r="E35">
        <v>0.2318047261462024</v>
      </c>
    </row>
    <row r="36" spans="1:5">
      <c r="A36" t="s">
        <v>28</v>
      </c>
      <c r="B36" t="s">
        <v>14</v>
      </c>
      <c r="C36" t="s">
        <v>10</v>
      </c>
      <c r="D36">
        <f>AVERAGE(per_seed!$K$12:$K$21)</f>
        <v>1.203161459557057</v>
      </c>
      <c r="E36">
        <v>1.203161459557057</v>
      </c>
    </row>
    <row r="37" spans="1:5">
      <c r="A37" t="s">
        <v>29</v>
      </c>
      <c r="B37" t="s">
        <v>14</v>
      </c>
      <c r="C37" t="s">
        <v>10</v>
      </c>
      <c r="D37">
        <f>_xlfn.STDEV.S(per_seed!$K$12:$K$21)</f>
        <v>2.323113163586632E-2</v>
      </c>
      <c r="E37">
        <v>2.323113163586632E-2</v>
      </c>
    </row>
    <row r="38" spans="1:5">
      <c r="A38" t="s">
        <v>28</v>
      </c>
      <c r="B38" t="s">
        <v>14</v>
      </c>
      <c r="C38" t="s">
        <v>11</v>
      </c>
      <c r="D38">
        <f>AVERAGE(per_seed!$L$12:$L$21)</f>
        <v>916.86666666714314</v>
      </c>
      <c r="E38">
        <v>916.86666666714314</v>
      </c>
    </row>
    <row r="39" spans="1:5">
      <c r="A39" t="s">
        <v>29</v>
      </c>
      <c r="B39" t="s">
        <v>14</v>
      </c>
      <c r="C39" t="s">
        <v>11</v>
      </c>
      <c r="D39">
        <f>_xlfn.STDEV.S(per_seed!$L$12:$L$21)</f>
        <v>64.204215511545812</v>
      </c>
      <c r="E39">
        <v>64.204215511545812</v>
      </c>
    </row>
    <row r="40" spans="1:5">
      <c r="A40" t="s">
        <v>28</v>
      </c>
      <c r="B40" t="s">
        <v>14</v>
      </c>
      <c r="C40" t="s">
        <v>12</v>
      </c>
      <c r="D40">
        <f>AVERAGE(per_seed!$M$12:$M$21)</f>
        <v>1.2984567902633033</v>
      </c>
      <c r="E40">
        <v>1.2984567902633031</v>
      </c>
    </row>
    <row r="41" spans="1:5">
      <c r="A41" t="s">
        <v>29</v>
      </c>
      <c r="B41" t="s">
        <v>14</v>
      </c>
      <c r="C41" t="s">
        <v>12</v>
      </c>
      <c r="D41">
        <f>_xlfn.STDEV.S(per_seed!$M$12:$M$21)</f>
        <v>0.29223757639494674</v>
      </c>
      <c r="E41">
        <v>0.29223757639494707</v>
      </c>
    </row>
    <row r="42" spans="1:5">
      <c r="A42" t="s">
        <v>28</v>
      </c>
      <c r="B42" t="s">
        <v>15</v>
      </c>
      <c r="C42" t="s">
        <v>3</v>
      </c>
      <c r="D42">
        <f>AVERAGE(per_seed!$D$22:$D$31)</f>
        <v>1294.9000000000001</v>
      </c>
      <c r="E42">
        <v>1294.9000000000001</v>
      </c>
    </row>
    <row r="43" spans="1:5">
      <c r="A43" t="s">
        <v>29</v>
      </c>
      <c r="B43" t="s">
        <v>15</v>
      </c>
      <c r="C43" t="s">
        <v>3</v>
      </c>
      <c r="D43">
        <f>_xlfn.STDEV.S(per_seed!$D$22:$D$31)</f>
        <v>23.125022522511557</v>
      </c>
      <c r="E43">
        <v>23.125022522511561</v>
      </c>
    </row>
    <row r="44" spans="1:5">
      <c r="A44" t="s">
        <v>28</v>
      </c>
      <c r="B44" t="s">
        <v>15</v>
      </c>
      <c r="C44" t="s">
        <v>4</v>
      </c>
      <c r="D44">
        <f>AVERAGE(per_seed!$E$22:$E$31)</f>
        <v>863</v>
      </c>
      <c r="E44">
        <v>863</v>
      </c>
    </row>
    <row r="45" spans="1:5">
      <c r="A45" t="s">
        <v>29</v>
      </c>
      <c r="B45" t="s">
        <v>15</v>
      </c>
      <c r="C45" t="s">
        <v>4</v>
      </c>
      <c r="D45">
        <f>_xlfn.STDEV.S(per_seed!$E$22:$E$31)</f>
        <v>14.643921757659198</v>
      </c>
      <c r="E45">
        <v>14.6439217576592</v>
      </c>
    </row>
    <row r="46" spans="1:5">
      <c r="A46" t="s">
        <v>28</v>
      </c>
      <c r="B46" t="s">
        <v>15</v>
      </c>
      <c r="C46" t="s">
        <v>5</v>
      </c>
      <c r="D46">
        <f>AVERAGE(per_seed!$F$22:$F$31)</f>
        <v>558.9</v>
      </c>
      <c r="E46">
        <v>558.9</v>
      </c>
    </row>
    <row r="47" spans="1:5">
      <c r="A47" t="s">
        <v>29</v>
      </c>
      <c r="B47" t="s">
        <v>15</v>
      </c>
      <c r="C47" t="s">
        <v>5</v>
      </c>
      <c r="D47">
        <f>_xlfn.STDEV.S(per_seed!$F$22:$F$31)</f>
        <v>11.396393191610132</v>
      </c>
      <c r="E47">
        <v>11.39639319161013</v>
      </c>
    </row>
    <row r="48" spans="1:5">
      <c r="A48" t="s">
        <v>28</v>
      </c>
      <c r="B48" t="s">
        <v>15</v>
      </c>
      <c r="C48" t="s">
        <v>6</v>
      </c>
      <c r="D48">
        <f>AVERAGE(per_seed!$G$22:$G$31)</f>
        <v>5.0227180733489138</v>
      </c>
      <c r="E48">
        <v>5.0227180733489147</v>
      </c>
    </row>
    <row r="49" spans="1:5">
      <c r="A49" t="s">
        <v>29</v>
      </c>
      <c r="B49" t="s">
        <v>15</v>
      </c>
      <c r="C49" t="s">
        <v>6</v>
      </c>
      <c r="D49">
        <f>_xlfn.STDEV.S(per_seed!$G$22:$G$31)</f>
        <v>0.20018243004989947</v>
      </c>
      <c r="E49">
        <v>0.2001824300498995</v>
      </c>
    </row>
    <row r="50" spans="1:5">
      <c r="A50" t="s">
        <v>28</v>
      </c>
      <c r="B50" t="s">
        <v>15</v>
      </c>
      <c r="C50" t="s">
        <v>7</v>
      </c>
      <c r="D50">
        <f>AVERAGE(per_seed!$H$22:$H$31)</f>
        <v>111.4</v>
      </c>
      <c r="E50">
        <v>111.4</v>
      </c>
    </row>
    <row r="51" spans="1:5">
      <c r="A51" t="s">
        <v>29</v>
      </c>
      <c r="B51" t="s">
        <v>15</v>
      </c>
      <c r="C51" t="s">
        <v>7</v>
      </c>
      <c r="D51">
        <f>_xlfn.STDEV.S(per_seed!$H$22:$H$31)</f>
        <v>4.1150131632029243</v>
      </c>
      <c r="E51">
        <v>4.1150131632029234</v>
      </c>
    </row>
    <row r="52" spans="1:5">
      <c r="A52" t="s">
        <v>28</v>
      </c>
      <c r="B52" t="s">
        <v>15</v>
      </c>
      <c r="C52" t="s">
        <v>8</v>
      </c>
      <c r="D52">
        <f>AVERAGE(per_seed!$I$22:$I$31)</f>
        <v>0.19938197376780917</v>
      </c>
      <c r="E52">
        <v>0.1993819737678092</v>
      </c>
    </row>
    <row r="53" spans="1:5">
      <c r="A53" t="s">
        <v>29</v>
      </c>
      <c r="B53" t="s">
        <v>15</v>
      </c>
      <c r="C53" t="s">
        <v>8</v>
      </c>
      <c r="D53">
        <f>_xlfn.STDEV.S(per_seed!$I$22:$I$31)</f>
        <v>7.9946079454551403E-3</v>
      </c>
      <c r="E53">
        <v>7.9946079454551316E-3</v>
      </c>
    </row>
    <row r="54" spans="1:5">
      <c r="A54" t="s">
        <v>28</v>
      </c>
      <c r="B54" t="s">
        <v>15</v>
      </c>
      <c r="C54" t="s">
        <v>9</v>
      </c>
      <c r="D54">
        <f>AVERAGE(per_seed!$J$22:$J$31)</f>
        <v>9.5774088831099906</v>
      </c>
      <c r="E54">
        <v>9.5774088831099906</v>
      </c>
    </row>
    <row r="55" spans="1:5">
      <c r="A55" t="s">
        <v>29</v>
      </c>
      <c r="B55" t="s">
        <v>15</v>
      </c>
      <c r="C55" t="s">
        <v>9</v>
      </c>
      <c r="D55">
        <f>_xlfn.STDEV.S(per_seed!$J$22:$J$31)</f>
        <v>0.32659327097039154</v>
      </c>
      <c r="E55">
        <v>0.32659327097039192</v>
      </c>
    </row>
    <row r="56" spans="1:5">
      <c r="A56" t="s">
        <v>28</v>
      </c>
      <c r="B56" t="s">
        <v>15</v>
      </c>
      <c r="C56" t="s">
        <v>10</v>
      </c>
      <c r="D56">
        <f>AVERAGE(per_seed!$K$22:$K$31)</f>
        <v>1.1889746940968031</v>
      </c>
      <c r="E56">
        <v>1.1889746940968029</v>
      </c>
    </row>
    <row r="57" spans="1:5">
      <c r="A57" t="s">
        <v>29</v>
      </c>
      <c r="B57" t="s">
        <v>15</v>
      </c>
      <c r="C57" t="s">
        <v>10</v>
      </c>
      <c r="D57">
        <f>_xlfn.STDEV.S(per_seed!$K$22:$K$31)</f>
        <v>4.0922569831274083E-2</v>
      </c>
      <c r="E57">
        <v>4.0922569831274083E-2</v>
      </c>
    </row>
    <row r="58" spans="1:5">
      <c r="A58" t="s">
        <v>28</v>
      </c>
      <c r="B58" t="s">
        <v>15</v>
      </c>
      <c r="C58" t="s">
        <v>11</v>
      </c>
      <c r="D58">
        <f>AVERAGE(per_seed!$L$22:$L$31)</f>
        <v>783.66666666723722</v>
      </c>
      <c r="E58">
        <v>783.66666666723745</v>
      </c>
    </row>
    <row r="59" spans="1:5">
      <c r="A59" t="s">
        <v>29</v>
      </c>
      <c r="B59" t="s">
        <v>15</v>
      </c>
      <c r="C59" t="s">
        <v>11</v>
      </c>
      <c r="D59">
        <f>_xlfn.STDEV.S(per_seed!$L$22:$L$31)</f>
        <v>51.954223812126301</v>
      </c>
      <c r="E59">
        <v>51.954223812126287</v>
      </c>
    </row>
    <row r="60" spans="1:5">
      <c r="A60" t="s">
        <v>28</v>
      </c>
      <c r="B60" t="s">
        <v>15</v>
      </c>
      <c r="C60" t="s">
        <v>12</v>
      </c>
      <c r="D60">
        <f>AVERAGE(per_seed!$M$22:$M$31)</f>
        <v>10.127469135934909</v>
      </c>
      <c r="E60">
        <v>10.127469135934909</v>
      </c>
    </row>
    <row r="61" spans="1:5">
      <c r="A61" t="s">
        <v>29</v>
      </c>
      <c r="B61" t="s">
        <v>15</v>
      </c>
      <c r="C61" t="s">
        <v>12</v>
      </c>
      <c r="D61">
        <f>_xlfn.STDEV.S(per_seed!$M$22:$M$31)</f>
        <v>1.6076861697933482</v>
      </c>
      <c r="E61">
        <v>1.6076861697933349</v>
      </c>
    </row>
    <row r="62" spans="1:5">
      <c r="A62" t="s">
        <v>28</v>
      </c>
      <c r="B62" t="s">
        <v>16</v>
      </c>
      <c r="C62" t="s">
        <v>3</v>
      </c>
      <c r="D62">
        <f>AVERAGE(per_seed!$D$32:$D$41)</f>
        <v>1402.3</v>
      </c>
      <c r="E62">
        <v>1402.3</v>
      </c>
    </row>
    <row r="63" spans="1:5">
      <c r="A63" t="s">
        <v>29</v>
      </c>
      <c r="B63" t="s">
        <v>16</v>
      </c>
      <c r="C63" t="s">
        <v>3</v>
      </c>
      <c r="D63">
        <f>_xlfn.STDEV.S(per_seed!$D$32:$D$41)</f>
        <v>10.285372569279582</v>
      </c>
      <c r="E63">
        <v>10.285372569279581</v>
      </c>
    </row>
    <row r="64" spans="1:5">
      <c r="A64" t="s">
        <v>28</v>
      </c>
      <c r="B64" t="s">
        <v>16</v>
      </c>
      <c r="C64" t="s">
        <v>4</v>
      </c>
      <c r="D64">
        <f>AVERAGE(per_seed!$E$32:$E$41)</f>
        <v>934.7</v>
      </c>
      <c r="E64">
        <v>934.7</v>
      </c>
    </row>
    <row r="65" spans="1:5">
      <c r="A65" t="s">
        <v>29</v>
      </c>
      <c r="B65" t="s">
        <v>16</v>
      </c>
      <c r="C65" t="s">
        <v>4</v>
      </c>
      <c r="D65">
        <f>_xlfn.STDEV.S(per_seed!$E$32:$E$41)</f>
        <v>13.449907062875935</v>
      </c>
      <c r="E65">
        <v>13.449907062875941</v>
      </c>
    </row>
    <row r="66" spans="1:5">
      <c r="A66" t="s">
        <v>28</v>
      </c>
      <c r="B66" t="s">
        <v>16</v>
      </c>
      <c r="C66" t="s">
        <v>5</v>
      </c>
      <c r="D66">
        <f>AVERAGE(per_seed!$F$32:$F$41)</f>
        <v>595.4</v>
      </c>
      <c r="E66">
        <v>595.4</v>
      </c>
    </row>
    <row r="67" spans="1:5">
      <c r="A67" t="s">
        <v>29</v>
      </c>
      <c r="B67" t="s">
        <v>16</v>
      </c>
      <c r="C67" t="s">
        <v>5</v>
      </c>
      <c r="D67">
        <f>_xlfn.STDEV.S(per_seed!$F$32:$F$41)</f>
        <v>13.451146171733225</v>
      </c>
      <c r="E67">
        <v>13.451146171733219</v>
      </c>
    </row>
    <row r="68" spans="1:5">
      <c r="A68" t="s">
        <v>28</v>
      </c>
      <c r="B68" t="s">
        <v>16</v>
      </c>
      <c r="C68" t="s">
        <v>6</v>
      </c>
      <c r="D68">
        <f>AVERAGE(per_seed!$G$32:$G$41)</f>
        <v>5.306109328558918</v>
      </c>
      <c r="E68">
        <v>5.306109328558918</v>
      </c>
    </row>
    <row r="69" spans="1:5">
      <c r="A69" t="s">
        <v>29</v>
      </c>
      <c r="B69" t="s">
        <v>16</v>
      </c>
      <c r="C69" t="s">
        <v>6</v>
      </c>
      <c r="D69">
        <f>_xlfn.STDEV.S(per_seed!$G$32:$G$41)</f>
        <v>0.17791271102724626</v>
      </c>
      <c r="E69">
        <v>0.17791271102724629</v>
      </c>
    </row>
    <row r="70" spans="1:5">
      <c r="A70" t="s">
        <v>28</v>
      </c>
      <c r="B70" t="s">
        <v>16</v>
      </c>
      <c r="C70" t="s">
        <v>7</v>
      </c>
      <c r="D70">
        <f>AVERAGE(per_seed!$H$32:$H$41)</f>
        <v>112.3</v>
      </c>
      <c r="E70">
        <v>112.3</v>
      </c>
    </row>
    <row r="71" spans="1:5">
      <c r="A71" t="s">
        <v>29</v>
      </c>
      <c r="B71" t="s">
        <v>16</v>
      </c>
      <c r="C71" t="s">
        <v>7</v>
      </c>
      <c r="D71">
        <f>_xlfn.STDEV.S(per_seed!$H$32:$H$41)</f>
        <v>3.802046232695699</v>
      </c>
      <c r="E71">
        <v>3.802046232695699</v>
      </c>
    </row>
    <row r="72" spans="1:5">
      <c r="A72" t="s">
        <v>28</v>
      </c>
      <c r="B72" t="s">
        <v>16</v>
      </c>
      <c r="C72" t="s">
        <v>8</v>
      </c>
      <c r="D72">
        <f>AVERAGE(per_seed!$I$32:$I$41)</f>
        <v>0.1886601577546502</v>
      </c>
      <c r="E72">
        <v>0.1886601577546502</v>
      </c>
    </row>
    <row r="73" spans="1:5">
      <c r="A73" t="s">
        <v>29</v>
      </c>
      <c r="B73" t="s">
        <v>16</v>
      </c>
      <c r="C73" t="s">
        <v>8</v>
      </c>
      <c r="D73">
        <f>_xlfn.STDEV.S(per_seed!$I$32:$I$41)</f>
        <v>6.5700040754179071E-3</v>
      </c>
      <c r="E73">
        <v>6.570004075417888E-3</v>
      </c>
    </row>
    <row r="74" spans="1:5">
      <c r="A74" t="s">
        <v>28</v>
      </c>
      <c r="B74" t="s">
        <v>16</v>
      </c>
      <c r="C74" t="s">
        <v>9</v>
      </c>
      <c r="D74">
        <f>AVERAGE(per_seed!$J$32:$J$41)</f>
        <v>9.3478090786792052</v>
      </c>
      <c r="E74">
        <v>9.3478090786792034</v>
      </c>
    </row>
    <row r="75" spans="1:5">
      <c r="A75" t="s">
        <v>29</v>
      </c>
      <c r="B75" t="s">
        <v>16</v>
      </c>
      <c r="C75" t="s">
        <v>9</v>
      </c>
      <c r="D75">
        <f>_xlfn.STDEV.S(per_seed!$J$32:$J$41)</f>
        <v>0.26227270105904765</v>
      </c>
      <c r="E75">
        <v>0.26227270105904771</v>
      </c>
    </row>
    <row r="76" spans="1:5">
      <c r="A76" t="s">
        <v>28</v>
      </c>
      <c r="B76" t="s">
        <v>16</v>
      </c>
      <c r="C76" t="s">
        <v>10</v>
      </c>
      <c r="D76">
        <f>AVERAGE(per_seed!$K$32:$K$41)</f>
        <v>1.1767802894058279</v>
      </c>
      <c r="E76">
        <v>1.1767802894058279</v>
      </c>
    </row>
    <row r="77" spans="1:5">
      <c r="A77" t="s">
        <v>29</v>
      </c>
      <c r="B77" t="s">
        <v>16</v>
      </c>
      <c r="C77" t="s">
        <v>10</v>
      </c>
      <c r="D77">
        <f>_xlfn.STDEV.S(per_seed!$K$32:$K$41)</f>
        <v>2.5656126867217997E-2</v>
      </c>
      <c r="E77">
        <v>2.5656126867218E-2</v>
      </c>
    </row>
    <row r="78" spans="1:5">
      <c r="A78" t="s">
        <v>28</v>
      </c>
      <c r="B78" t="s">
        <v>16</v>
      </c>
      <c r="C78" t="s">
        <v>11</v>
      </c>
      <c r="D78">
        <f>AVERAGE(per_seed!$L$32:$L$41)</f>
        <v>809.16888888936001</v>
      </c>
      <c r="E78">
        <v>809.16888888936001</v>
      </c>
    </row>
    <row r="79" spans="1:5">
      <c r="A79" t="s">
        <v>29</v>
      </c>
      <c r="B79" t="s">
        <v>16</v>
      </c>
      <c r="C79" t="s">
        <v>11</v>
      </c>
      <c r="D79">
        <f>_xlfn.STDEV.S(per_seed!$L$32:$L$41)</f>
        <v>52.596423648555486</v>
      </c>
      <c r="E79">
        <v>52.596423648555493</v>
      </c>
    </row>
    <row r="80" spans="1:5">
      <c r="A80" t="s">
        <v>28</v>
      </c>
      <c r="B80" t="s">
        <v>16</v>
      </c>
      <c r="C80" t="s">
        <v>12</v>
      </c>
      <c r="D80">
        <f>AVERAGE(per_seed!$M$32:$M$41)</f>
        <v>2.7026851853325065</v>
      </c>
      <c r="E80">
        <v>2.702685185332506</v>
      </c>
    </row>
    <row r="81" spans="1:5">
      <c r="A81" t="s">
        <v>29</v>
      </c>
      <c r="B81" t="s">
        <v>16</v>
      </c>
      <c r="C81" t="s">
        <v>12</v>
      </c>
      <c r="D81">
        <f>_xlfn.STDEV.S(per_seed!$M$32:$M$41)</f>
        <v>0.71152791535880688</v>
      </c>
      <c r="E81">
        <v>0.71152791535880855</v>
      </c>
    </row>
    <row r="82" spans="1:5">
      <c r="A82" t="s">
        <v>28</v>
      </c>
      <c r="B82" t="s">
        <v>17</v>
      </c>
      <c r="C82" t="s">
        <v>3</v>
      </c>
      <c r="D82">
        <f>AVERAGE(per_seed!$D$42:$D$51)</f>
        <v>1418.1</v>
      </c>
      <c r="E82">
        <v>1418.1</v>
      </c>
    </row>
    <row r="83" spans="1:5">
      <c r="A83" t="s">
        <v>29</v>
      </c>
      <c r="B83" t="s">
        <v>17</v>
      </c>
      <c r="C83" t="s">
        <v>3</v>
      </c>
      <c r="D83">
        <f>_xlfn.STDEV.S(per_seed!$D$42:$D$51)</f>
        <v>5.5467708323552243</v>
      </c>
      <c r="E83">
        <v>5.5467708323552243</v>
      </c>
    </row>
    <row r="84" spans="1:5">
      <c r="A84" t="s">
        <v>28</v>
      </c>
      <c r="B84" t="s">
        <v>17</v>
      </c>
      <c r="C84" t="s">
        <v>4</v>
      </c>
      <c r="D84">
        <f>AVERAGE(per_seed!$E$42:$E$51)</f>
        <v>948</v>
      </c>
      <c r="E84">
        <v>948</v>
      </c>
    </row>
    <row r="85" spans="1:5">
      <c r="A85" t="s">
        <v>29</v>
      </c>
      <c r="B85" t="s">
        <v>17</v>
      </c>
      <c r="C85" t="s">
        <v>4</v>
      </c>
      <c r="D85">
        <f>_xlfn.STDEV.S(per_seed!$E$42:$E$51)</f>
        <v>12.027745701779143</v>
      </c>
      <c r="E85">
        <v>12.027745701779139</v>
      </c>
    </row>
    <row r="86" spans="1:5">
      <c r="A86" t="s">
        <v>28</v>
      </c>
      <c r="B86" t="s">
        <v>17</v>
      </c>
      <c r="C86" t="s">
        <v>5</v>
      </c>
      <c r="D86">
        <f>AVERAGE(per_seed!$F$42:$F$51)</f>
        <v>599.1</v>
      </c>
      <c r="E86">
        <v>599.1</v>
      </c>
    </row>
    <row r="87" spans="1:5">
      <c r="A87" t="s">
        <v>29</v>
      </c>
      <c r="B87" t="s">
        <v>17</v>
      </c>
      <c r="C87" t="s">
        <v>5</v>
      </c>
      <c r="D87">
        <f>_xlfn.STDEV.S(per_seed!$F$42:$F$51)</f>
        <v>10.332795684937675</v>
      </c>
      <c r="E87">
        <v>10.332795684937681</v>
      </c>
    </row>
    <row r="88" spans="1:5">
      <c r="A88" t="s">
        <v>28</v>
      </c>
      <c r="B88" t="s">
        <v>17</v>
      </c>
      <c r="C88" t="s">
        <v>6</v>
      </c>
      <c r="D88">
        <f>AVERAGE(per_seed!$G$42:$G$51)</f>
        <v>5.401823495230202</v>
      </c>
      <c r="E88">
        <v>5.401823495230202</v>
      </c>
    </row>
    <row r="89" spans="1:5">
      <c r="A89" t="s">
        <v>29</v>
      </c>
      <c r="B89" t="s">
        <v>17</v>
      </c>
      <c r="C89" t="s">
        <v>6</v>
      </c>
      <c r="D89">
        <f>_xlfn.STDEV.S(per_seed!$G$42:$G$51)</f>
        <v>0.18699365009906799</v>
      </c>
      <c r="E89">
        <v>0.18699365009906799</v>
      </c>
    </row>
    <row r="90" spans="1:5">
      <c r="A90" t="s">
        <v>28</v>
      </c>
      <c r="B90" t="s">
        <v>17</v>
      </c>
      <c r="C90" t="s">
        <v>7</v>
      </c>
      <c r="D90">
        <f>AVERAGE(per_seed!$H$42:$H$51)</f>
        <v>111</v>
      </c>
      <c r="E90">
        <v>111</v>
      </c>
    </row>
    <row r="91" spans="1:5">
      <c r="A91" t="s">
        <v>29</v>
      </c>
      <c r="B91" t="s">
        <v>17</v>
      </c>
      <c r="C91" t="s">
        <v>7</v>
      </c>
      <c r="D91">
        <f>_xlfn.STDEV.S(per_seed!$H$42:$H$51)</f>
        <v>3.496029493900505</v>
      </c>
      <c r="E91">
        <v>3.496029493900505</v>
      </c>
    </row>
    <row r="92" spans="1:5">
      <c r="A92" t="s">
        <v>28</v>
      </c>
      <c r="B92" t="s">
        <v>17</v>
      </c>
      <c r="C92" t="s">
        <v>8</v>
      </c>
      <c r="D92">
        <f>AVERAGE(per_seed!$I$42:$I$51)</f>
        <v>0.18531712860710947</v>
      </c>
      <c r="E92">
        <v>0.1853171286071095</v>
      </c>
    </row>
    <row r="93" spans="1:5">
      <c r="A93" t="s">
        <v>29</v>
      </c>
      <c r="B93" t="s">
        <v>17</v>
      </c>
      <c r="C93" t="s">
        <v>8</v>
      </c>
      <c r="D93">
        <f>_xlfn.STDEV.S(per_seed!$I$42:$I$51)</f>
        <v>6.2464720103736692E-3</v>
      </c>
      <c r="E93">
        <v>6.2464720103736762E-3</v>
      </c>
    </row>
    <row r="94" spans="1:5">
      <c r="A94" t="s">
        <v>28</v>
      </c>
      <c r="B94" t="s">
        <v>17</v>
      </c>
      <c r="C94" t="s">
        <v>9</v>
      </c>
      <c r="D94">
        <f>AVERAGE(per_seed!$J$42:$J$51)</f>
        <v>9.2322123042808695</v>
      </c>
      <c r="E94">
        <v>9.2322123042808695</v>
      </c>
    </row>
    <row r="95" spans="1:5">
      <c r="A95" t="s">
        <v>29</v>
      </c>
      <c r="B95" t="s">
        <v>17</v>
      </c>
      <c r="C95" t="s">
        <v>9</v>
      </c>
      <c r="D95">
        <f>_xlfn.STDEV.S(per_seed!$J$42:$J$51)</f>
        <v>0.35263248930388236</v>
      </c>
      <c r="E95">
        <v>0.35263248930388241</v>
      </c>
    </row>
    <row r="96" spans="1:5">
      <c r="A96" t="s">
        <v>28</v>
      </c>
      <c r="B96" t="s">
        <v>17</v>
      </c>
      <c r="C96" t="s">
        <v>10</v>
      </c>
      <c r="D96">
        <f>AVERAGE(per_seed!$K$42:$K$51)</f>
        <v>1.1724508724150131</v>
      </c>
      <c r="E96">
        <v>1.1724508724150129</v>
      </c>
    </row>
    <row r="97" spans="1:5">
      <c r="A97" t="s">
        <v>29</v>
      </c>
      <c r="B97" t="s">
        <v>17</v>
      </c>
      <c r="C97" t="s">
        <v>10</v>
      </c>
      <c r="D97">
        <f>_xlfn.STDEV.S(per_seed!$K$42:$K$51)</f>
        <v>3.6588448744100513E-2</v>
      </c>
      <c r="E97">
        <v>3.6588448744100513E-2</v>
      </c>
    </row>
    <row r="98" spans="1:5">
      <c r="A98" t="s">
        <v>28</v>
      </c>
      <c r="B98" t="s">
        <v>17</v>
      </c>
      <c r="C98" t="s">
        <v>11</v>
      </c>
      <c r="D98">
        <f>AVERAGE(per_seed!$L$42:$L$51)</f>
        <v>796.43555555720127</v>
      </c>
      <c r="E98">
        <v>796.43555555720127</v>
      </c>
    </row>
    <row r="99" spans="1:5">
      <c r="A99" t="s">
        <v>29</v>
      </c>
      <c r="B99" t="s">
        <v>17</v>
      </c>
      <c r="C99" t="s">
        <v>11</v>
      </c>
      <c r="D99">
        <f>_xlfn.STDEV.S(per_seed!$L$42:$L$51)</f>
        <v>52.096084279639264</v>
      </c>
      <c r="E99">
        <v>52.096084279639257</v>
      </c>
    </row>
    <row r="100" spans="1:5">
      <c r="A100" t="s">
        <v>28</v>
      </c>
      <c r="B100" t="s">
        <v>17</v>
      </c>
      <c r="C100" t="s">
        <v>12</v>
      </c>
      <c r="D100">
        <f>AVERAGE(per_seed!$M$42:$M$51)</f>
        <v>1.5972530865670245</v>
      </c>
      <c r="E100">
        <v>1.597253086567024</v>
      </c>
    </row>
    <row r="101" spans="1:5">
      <c r="A101" t="s">
        <v>29</v>
      </c>
      <c r="B101" t="s">
        <v>17</v>
      </c>
      <c r="C101" t="s">
        <v>12</v>
      </c>
      <c r="D101">
        <f>_xlfn.STDEV.S(per_seed!$M$42:$M$51)</f>
        <v>0.37174489028181712</v>
      </c>
      <c r="E101">
        <v>0.37174489028181729</v>
      </c>
    </row>
    <row r="102" spans="1:5">
      <c r="A102" t="s">
        <v>28</v>
      </c>
      <c r="B102" t="s">
        <v>18</v>
      </c>
      <c r="C102" t="s">
        <v>3</v>
      </c>
      <c r="D102">
        <f>AVERAGE(per_seed!$D$52:$D$61)</f>
        <v>1428.7</v>
      </c>
      <c r="E102">
        <v>1428.7</v>
      </c>
    </row>
    <row r="103" spans="1:5">
      <c r="A103" t="s">
        <v>29</v>
      </c>
      <c r="B103" t="s">
        <v>18</v>
      </c>
      <c r="C103" t="s">
        <v>3</v>
      </c>
      <c r="D103">
        <f>_xlfn.STDEV.S(per_seed!$D$52:$D$61)</f>
        <v>2.263232692902394</v>
      </c>
      <c r="E103">
        <v>2.263232692902394</v>
      </c>
    </row>
    <row r="104" spans="1:5">
      <c r="A104" t="s">
        <v>28</v>
      </c>
      <c r="B104" t="s">
        <v>18</v>
      </c>
      <c r="C104" t="s">
        <v>4</v>
      </c>
      <c r="D104">
        <f>AVERAGE(per_seed!$E$52:$E$61)</f>
        <v>952.2</v>
      </c>
      <c r="E104">
        <v>952.2</v>
      </c>
    </row>
    <row r="105" spans="1:5">
      <c r="A105" t="s">
        <v>29</v>
      </c>
      <c r="B105" t="s">
        <v>18</v>
      </c>
      <c r="C105" t="s">
        <v>4</v>
      </c>
      <c r="D105">
        <f>_xlfn.STDEV.S(per_seed!$E$52:$E$61)</f>
        <v>16.45059944871986</v>
      </c>
      <c r="E105">
        <v>16.45059944871986</v>
      </c>
    </row>
    <row r="106" spans="1:5">
      <c r="A106" t="s">
        <v>28</v>
      </c>
      <c r="B106" t="s">
        <v>18</v>
      </c>
      <c r="C106" t="s">
        <v>5</v>
      </c>
      <c r="D106">
        <f>AVERAGE(per_seed!$F$52:$F$61)</f>
        <v>603.5</v>
      </c>
      <c r="E106">
        <v>603.5</v>
      </c>
    </row>
    <row r="107" spans="1:5">
      <c r="A107" t="s">
        <v>29</v>
      </c>
      <c r="B107" t="s">
        <v>18</v>
      </c>
      <c r="C107" t="s">
        <v>5</v>
      </c>
      <c r="D107">
        <f>_xlfn.STDEV.S(per_seed!$F$52:$F$61)</f>
        <v>11.067971810589327</v>
      </c>
      <c r="E107">
        <v>11.067971810589331</v>
      </c>
    </row>
    <row r="108" spans="1:5">
      <c r="A108" t="s">
        <v>28</v>
      </c>
      <c r="B108" t="s">
        <v>18</v>
      </c>
      <c r="C108" t="s">
        <v>6</v>
      </c>
      <c r="D108">
        <f>AVERAGE(per_seed!$G$52:$G$61)</f>
        <v>5.1175754795168205</v>
      </c>
      <c r="E108">
        <v>5.1175754795168196</v>
      </c>
    </row>
    <row r="109" spans="1:5">
      <c r="A109" t="s">
        <v>29</v>
      </c>
      <c r="B109" t="s">
        <v>18</v>
      </c>
      <c r="C109" t="s">
        <v>6</v>
      </c>
      <c r="D109">
        <f>_xlfn.STDEV.S(per_seed!$G$52:$G$61)</f>
        <v>0.15170876494723376</v>
      </c>
      <c r="E109">
        <v>0.15170876494723379</v>
      </c>
    </row>
    <row r="110" spans="1:5">
      <c r="A110" t="s">
        <v>28</v>
      </c>
      <c r="B110" t="s">
        <v>18</v>
      </c>
      <c r="C110" t="s">
        <v>7</v>
      </c>
      <c r="D110">
        <f>AVERAGE(per_seed!$H$52:$H$61)</f>
        <v>118</v>
      </c>
      <c r="E110">
        <v>118</v>
      </c>
    </row>
    <row r="111" spans="1:5">
      <c r="A111" t="s">
        <v>29</v>
      </c>
      <c r="B111" t="s">
        <v>18</v>
      </c>
      <c r="C111" t="s">
        <v>7</v>
      </c>
      <c r="D111">
        <f>_xlfn.STDEV.S(per_seed!$H$52:$H$61)</f>
        <v>3.39934634239519</v>
      </c>
      <c r="E111">
        <v>3.39934634239519</v>
      </c>
    </row>
    <row r="112" spans="1:5">
      <c r="A112" t="s">
        <v>28</v>
      </c>
      <c r="B112" t="s">
        <v>18</v>
      </c>
      <c r="C112" t="s">
        <v>8</v>
      </c>
      <c r="D112">
        <f>AVERAGE(per_seed!$I$52:$I$61)</f>
        <v>0.19556075634889752</v>
      </c>
      <c r="E112">
        <v>0.1955607563488975</v>
      </c>
    </row>
    <row r="113" spans="1:5">
      <c r="A113" t="s">
        <v>29</v>
      </c>
      <c r="B113" t="s">
        <v>18</v>
      </c>
      <c r="C113" t="s">
        <v>8</v>
      </c>
      <c r="D113">
        <f>_xlfn.STDEV.S(per_seed!$I$52:$I$61)</f>
        <v>5.8391886587596444E-3</v>
      </c>
      <c r="E113">
        <v>5.8391886587596644E-3</v>
      </c>
    </row>
    <row r="114" spans="1:5">
      <c r="A114" t="s">
        <v>28</v>
      </c>
      <c r="B114" t="s">
        <v>18</v>
      </c>
      <c r="C114" t="s">
        <v>9</v>
      </c>
      <c r="D114">
        <f>AVERAGE(per_seed!$J$52:$J$61)</f>
        <v>10.35040239595906</v>
      </c>
      <c r="E114">
        <v>10.35040239595906</v>
      </c>
    </row>
    <row r="115" spans="1:5">
      <c r="A115" t="s">
        <v>29</v>
      </c>
      <c r="B115" t="s">
        <v>18</v>
      </c>
      <c r="C115" t="s">
        <v>9</v>
      </c>
      <c r="D115">
        <f>_xlfn.STDEV.S(per_seed!$J$52:$J$61)</f>
        <v>0.27376433738760975</v>
      </c>
      <c r="E115">
        <v>0.27376433738760908</v>
      </c>
    </row>
    <row r="116" spans="1:5">
      <c r="A116" t="s">
        <v>28</v>
      </c>
      <c r="B116" t="s">
        <v>18</v>
      </c>
      <c r="C116" t="s">
        <v>10</v>
      </c>
      <c r="D116">
        <f>AVERAGE(per_seed!$K$52:$K$61)</f>
        <v>1.317185140231671</v>
      </c>
      <c r="E116">
        <v>1.317185140231671</v>
      </c>
    </row>
    <row r="117" spans="1:5">
      <c r="A117" t="s">
        <v>29</v>
      </c>
      <c r="B117" t="s">
        <v>18</v>
      </c>
      <c r="C117" t="s">
        <v>10</v>
      </c>
      <c r="D117">
        <f>_xlfn.STDEV.S(per_seed!$K$52:$K$61)</f>
        <v>2.9436940075360178E-2</v>
      </c>
      <c r="E117">
        <v>2.9436940075360182E-2</v>
      </c>
    </row>
    <row r="118" spans="1:5">
      <c r="A118" t="s">
        <v>28</v>
      </c>
      <c r="B118" t="s">
        <v>18</v>
      </c>
      <c r="C118" t="s">
        <v>11</v>
      </c>
      <c r="D118">
        <f>AVERAGE(per_seed!$L$52:$L$61)</f>
        <v>787.77777778006782</v>
      </c>
      <c r="E118">
        <v>787.77777778006782</v>
      </c>
    </row>
    <row r="119" spans="1:5">
      <c r="A119" t="s">
        <v>29</v>
      </c>
      <c r="B119" t="s">
        <v>18</v>
      </c>
      <c r="C119" t="s">
        <v>11</v>
      </c>
      <c r="D119">
        <f>_xlfn.STDEV.S(per_seed!$L$52:$L$61)</f>
        <v>40.322039707109951</v>
      </c>
      <c r="E119">
        <v>40.322039707109951</v>
      </c>
    </row>
    <row r="120" spans="1:5">
      <c r="A120" t="s">
        <v>28</v>
      </c>
      <c r="B120" t="s">
        <v>18</v>
      </c>
      <c r="C120" t="s">
        <v>12</v>
      </c>
      <c r="D120">
        <f>AVERAGE(per_seed!$M$52:$M$61)</f>
        <v>0.8557407408879818</v>
      </c>
      <c r="E120">
        <v>0.8557407408879818</v>
      </c>
    </row>
    <row r="121" spans="1:5">
      <c r="A121" t="s">
        <v>29</v>
      </c>
      <c r="B121" t="s">
        <v>18</v>
      </c>
      <c r="C121" t="s">
        <v>12</v>
      </c>
      <c r="D121">
        <f>_xlfn.STDEV.S(per_seed!$M$52:$M$61)</f>
        <v>0.15670302874636355</v>
      </c>
      <c r="E121">
        <v>0.15670302874636341</v>
      </c>
    </row>
    <row r="122" spans="1:5">
      <c r="A122" t="s">
        <v>28</v>
      </c>
      <c r="B122" t="s">
        <v>19</v>
      </c>
      <c r="C122" t="s">
        <v>3</v>
      </c>
      <c r="D122">
        <f>AVERAGE(per_seed!$D$62:$D$71)</f>
        <v>1430.3</v>
      </c>
      <c r="E122">
        <v>1430.3</v>
      </c>
    </row>
    <row r="123" spans="1:5">
      <c r="A123" t="s">
        <v>29</v>
      </c>
      <c r="B123" t="s">
        <v>19</v>
      </c>
      <c r="C123" t="s">
        <v>3</v>
      </c>
      <c r="D123">
        <f>_xlfn.STDEV.S(per_seed!$D$62:$D$71)</f>
        <v>0.67494855771055284</v>
      </c>
      <c r="E123">
        <v>0.67494855771055295</v>
      </c>
    </row>
    <row r="124" spans="1:5">
      <c r="A124" t="s">
        <v>28</v>
      </c>
      <c r="B124" t="s">
        <v>19</v>
      </c>
      <c r="C124" t="s">
        <v>4</v>
      </c>
      <c r="D124">
        <f>AVERAGE(per_seed!$E$62:$E$71)</f>
        <v>934.2</v>
      </c>
      <c r="E124">
        <v>934.2</v>
      </c>
    </row>
    <row r="125" spans="1:5">
      <c r="A125" t="s">
        <v>29</v>
      </c>
      <c r="B125" t="s">
        <v>19</v>
      </c>
      <c r="C125" t="s">
        <v>4</v>
      </c>
      <c r="D125">
        <f>_xlfn.STDEV.S(per_seed!$E$62:$E$71)</f>
        <v>14.596803303006675</v>
      </c>
      <c r="E125">
        <v>14.596803303006681</v>
      </c>
    </row>
    <row r="126" spans="1:5">
      <c r="A126" t="s">
        <v>28</v>
      </c>
      <c r="B126" t="s">
        <v>19</v>
      </c>
      <c r="C126" t="s">
        <v>5</v>
      </c>
      <c r="D126">
        <f>AVERAGE(per_seed!$F$62:$F$71)</f>
        <v>588.1</v>
      </c>
      <c r="E126">
        <v>588.1</v>
      </c>
    </row>
    <row r="127" spans="1:5">
      <c r="A127" t="s">
        <v>29</v>
      </c>
      <c r="B127" t="s">
        <v>19</v>
      </c>
      <c r="C127" t="s">
        <v>5</v>
      </c>
      <c r="D127">
        <f>_xlfn.STDEV.S(per_seed!$F$62:$F$71)</f>
        <v>13.739238212749157</v>
      </c>
      <c r="E127">
        <v>13.739238212749161</v>
      </c>
    </row>
    <row r="128" spans="1:5">
      <c r="A128" t="s">
        <v>28</v>
      </c>
      <c r="B128" t="s">
        <v>19</v>
      </c>
      <c r="C128" t="s">
        <v>6</v>
      </c>
      <c r="D128">
        <f>AVERAGE(per_seed!$G$62:$G$71)</f>
        <v>5.0806618255949489</v>
      </c>
      <c r="E128">
        <v>5.0806618255949489</v>
      </c>
    </row>
    <row r="129" spans="1:5">
      <c r="A129" t="s">
        <v>29</v>
      </c>
      <c r="B129" t="s">
        <v>19</v>
      </c>
      <c r="C129" t="s">
        <v>6</v>
      </c>
      <c r="D129">
        <f>_xlfn.STDEV.S(per_seed!$G$62:$G$71)</f>
        <v>0.13703903416325916</v>
      </c>
      <c r="E129">
        <v>0.13703903416325919</v>
      </c>
    </row>
    <row r="130" spans="1:5">
      <c r="A130" t="s">
        <v>28</v>
      </c>
      <c r="B130" t="s">
        <v>19</v>
      </c>
      <c r="C130" t="s">
        <v>7</v>
      </c>
      <c r="D130">
        <f>AVERAGE(per_seed!$H$62:$H$71)</f>
        <v>115.8</v>
      </c>
      <c r="E130">
        <v>115.8</v>
      </c>
    </row>
    <row r="131" spans="1:5">
      <c r="A131" t="s">
        <v>29</v>
      </c>
      <c r="B131" t="s">
        <v>19</v>
      </c>
      <c r="C131" t="s">
        <v>7</v>
      </c>
      <c r="D131">
        <f>_xlfn.STDEV.S(per_seed!$H$62:$H$71)</f>
        <v>3.1198290551460244</v>
      </c>
      <c r="E131">
        <v>3.1198290551460239</v>
      </c>
    </row>
    <row r="132" spans="1:5">
      <c r="A132" t="s">
        <v>28</v>
      </c>
      <c r="B132" t="s">
        <v>19</v>
      </c>
      <c r="C132" t="s">
        <v>8</v>
      </c>
      <c r="D132">
        <f>AVERAGE(per_seed!$I$62:$I$71)</f>
        <v>0.19695460564069459</v>
      </c>
      <c r="E132">
        <v>0.19695460564069461</v>
      </c>
    </row>
    <row r="133" spans="1:5">
      <c r="A133" t="s">
        <v>29</v>
      </c>
      <c r="B133" t="s">
        <v>19</v>
      </c>
      <c r="C133" t="s">
        <v>8</v>
      </c>
      <c r="D133">
        <f>_xlfn.STDEV.S(per_seed!$I$62:$I$71)</f>
        <v>5.3499205682135008E-3</v>
      </c>
      <c r="E133">
        <v>5.3499205682134938E-3</v>
      </c>
    </row>
    <row r="134" spans="1:5">
      <c r="A134" t="s">
        <v>28</v>
      </c>
      <c r="B134" t="s">
        <v>19</v>
      </c>
      <c r="C134" t="s">
        <v>9</v>
      </c>
      <c r="D134">
        <f>AVERAGE(per_seed!$J$62:$J$71)</f>
        <v>10.184533424333432</v>
      </c>
      <c r="E134">
        <v>10.184533424333431</v>
      </c>
    </row>
    <row r="135" spans="1:5">
      <c r="A135" t="s">
        <v>29</v>
      </c>
      <c r="B135" t="s">
        <v>19</v>
      </c>
      <c r="C135" t="s">
        <v>9</v>
      </c>
      <c r="D135">
        <f>_xlfn.STDEV.S(per_seed!$J$62:$J$71)</f>
        <v>0.28233404528442546</v>
      </c>
      <c r="E135">
        <v>0.2823340452844269</v>
      </c>
    </row>
    <row r="136" spans="1:5">
      <c r="A136" t="s">
        <v>28</v>
      </c>
      <c r="B136" t="s">
        <v>19</v>
      </c>
      <c r="C136" t="s">
        <v>10</v>
      </c>
      <c r="D136">
        <f>AVERAGE(per_seed!$K$62:$K$71)</f>
        <v>1.312053841801589</v>
      </c>
      <c r="E136">
        <v>1.312053841801589</v>
      </c>
    </row>
    <row r="137" spans="1:5">
      <c r="A137" t="s">
        <v>29</v>
      </c>
      <c r="B137" t="s">
        <v>19</v>
      </c>
      <c r="C137" t="s">
        <v>10</v>
      </c>
      <c r="D137">
        <f>_xlfn.STDEV.S(per_seed!$K$62:$K$71)</f>
        <v>3.5188312401846458E-2</v>
      </c>
      <c r="E137">
        <v>3.5188312401846451E-2</v>
      </c>
    </row>
    <row r="138" spans="1:5">
      <c r="A138" t="s">
        <v>28</v>
      </c>
      <c r="B138" t="s">
        <v>19</v>
      </c>
      <c r="C138" t="s">
        <v>11</v>
      </c>
      <c r="D138">
        <f>AVERAGE(per_seed!$L$62:$L$71)</f>
        <v>955.16888888980588</v>
      </c>
      <c r="E138">
        <v>955.16888888980588</v>
      </c>
    </row>
    <row r="139" spans="1:5">
      <c r="A139" t="s">
        <v>29</v>
      </c>
      <c r="B139" t="s">
        <v>19</v>
      </c>
      <c r="C139" t="s">
        <v>11</v>
      </c>
      <c r="D139">
        <f>_xlfn.STDEV.S(per_seed!$L$62:$L$71)</f>
        <v>59.762808901562707</v>
      </c>
      <c r="E139">
        <v>59.762808901562707</v>
      </c>
    </row>
    <row r="140" spans="1:5">
      <c r="A140" t="s">
        <v>28</v>
      </c>
      <c r="B140" t="s">
        <v>19</v>
      </c>
      <c r="C140" t="s">
        <v>12</v>
      </c>
      <c r="D140">
        <f>AVERAGE(per_seed!$M$62:$M$71)</f>
        <v>0.73530864212249336</v>
      </c>
      <c r="E140">
        <v>0.73530864212249336</v>
      </c>
    </row>
    <row r="141" spans="1:5">
      <c r="A141" t="s">
        <v>29</v>
      </c>
      <c r="B141" t="s">
        <v>19</v>
      </c>
      <c r="C141" t="s">
        <v>12</v>
      </c>
      <c r="D141">
        <f>_xlfn.STDEV.S(per_seed!$M$62:$M$71)</f>
        <v>2.4435921530266028E-2</v>
      </c>
      <c r="E141">
        <v>2.4435921530266028E-2</v>
      </c>
    </row>
    <row r="142" spans="1:5">
      <c r="A142" t="s">
        <v>28</v>
      </c>
      <c r="B142" t="s">
        <v>20</v>
      </c>
      <c r="C142" t="s">
        <v>3</v>
      </c>
      <c r="D142">
        <f>AVERAGE(per_seed!$D$72:$D$81)</f>
        <v>1305.5</v>
      </c>
      <c r="E142">
        <v>1305.5</v>
      </c>
    </row>
    <row r="143" spans="1:5">
      <c r="A143" t="s">
        <v>29</v>
      </c>
      <c r="B143" t="s">
        <v>20</v>
      </c>
      <c r="C143" t="s">
        <v>3</v>
      </c>
      <c r="D143">
        <f>_xlfn.STDEV.S(per_seed!$D$72:$D$81)</f>
        <v>19.862024066041204</v>
      </c>
      <c r="E143">
        <v>19.862024066041201</v>
      </c>
    </row>
    <row r="144" spans="1:5">
      <c r="A144" t="s">
        <v>28</v>
      </c>
      <c r="B144" t="s">
        <v>20</v>
      </c>
      <c r="C144" t="s">
        <v>4</v>
      </c>
      <c r="D144">
        <f>AVERAGE(per_seed!$E$72:$E$81)</f>
        <v>872.3</v>
      </c>
      <c r="E144">
        <v>872.3</v>
      </c>
    </row>
    <row r="145" spans="1:5">
      <c r="A145" t="s">
        <v>29</v>
      </c>
      <c r="B145" t="s">
        <v>20</v>
      </c>
      <c r="C145" t="s">
        <v>4</v>
      </c>
      <c r="D145">
        <f>_xlfn.STDEV.S(per_seed!$E$72:$E$81)</f>
        <v>6.6674999479231758</v>
      </c>
      <c r="E145">
        <v>6.6674999479231758</v>
      </c>
    </row>
    <row r="146" spans="1:5">
      <c r="A146" t="s">
        <v>28</v>
      </c>
      <c r="B146" t="s">
        <v>20</v>
      </c>
      <c r="C146" t="s">
        <v>5</v>
      </c>
      <c r="D146">
        <f>AVERAGE(per_seed!$F$72:$F$81)</f>
        <v>565.70000000000005</v>
      </c>
      <c r="E146">
        <v>565.70000000000005</v>
      </c>
    </row>
    <row r="147" spans="1:5">
      <c r="A147" t="s">
        <v>29</v>
      </c>
      <c r="B147" t="s">
        <v>20</v>
      </c>
      <c r="C147" t="s">
        <v>5</v>
      </c>
      <c r="D147">
        <f>_xlfn.STDEV.S(per_seed!$F$72:$F$81)</f>
        <v>7.3340908699639717</v>
      </c>
      <c r="E147">
        <v>7.3340908699639717</v>
      </c>
    </row>
    <row r="148" spans="1:5">
      <c r="A148" t="s">
        <v>28</v>
      </c>
      <c r="B148" t="s">
        <v>20</v>
      </c>
      <c r="C148" t="s">
        <v>6</v>
      </c>
      <c r="D148">
        <f>AVERAGE(per_seed!$G$72:$G$81)</f>
        <v>4.7942697868021753</v>
      </c>
      <c r="E148">
        <v>4.7942697868021753</v>
      </c>
    </row>
    <row r="149" spans="1:5">
      <c r="A149" t="s">
        <v>29</v>
      </c>
      <c r="B149" t="s">
        <v>20</v>
      </c>
      <c r="C149" t="s">
        <v>6</v>
      </c>
      <c r="D149">
        <f>_xlfn.STDEV.S(per_seed!$G$72:$G$81)</f>
        <v>0.14756743573495143</v>
      </c>
      <c r="E149">
        <v>0.1475674357349514</v>
      </c>
    </row>
    <row r="150" spans="1:5">
      <c r="A150" t="s">
        <v>28</v>
      </c>
      <c r="B150" t="s">
        <v>20</v>
      </c>
      <c r="C150" t="s">
        <v>7</v>
      </c>
      <c r="D150">
        <f>AVERAGE(per_seed!$H$72:$H$81)</f>
        <v>118.1</v>
      </c>
      <c r="E150">
        <v>118.1</v>
      </c>
    </row>
    <row r="151" spans="1:5">
      <c r="A151" t="s">
        <v>29</v>
      </c>
      <c r="B151" t="s">
        <v>20</v>
      </c>
      <c r="C151" t="s">
        <v>7</v>
      </c>
      <c r="D151">
        <f>_xlfn.STDEV.S(per_seed!$H$72:$H$81)</f>
        <v>4.0674862562084266</v>
      </c>
      <c r="E151">
        <v>4.0674862562084266</v>
      </c>
    </row>
    <row r="152" spans="1:5">
      <c r="A152" t="s">
        <v>28</v>
      </c>
      <c r="B152" t="s">
        <v>20</v>
      </c>
      <c r="C152" t="s">
        <v>8</v>
      </c>
      <c r="D152">
        <f>AVERAGE(per_seed!$I$72:$I$81)</f>
        <v>0.2087625719234647</v>
      </c>
      <c r="E152">
        <v>0.2087625719234647</v>
      </c>
    </row>
    <row r="153" spans="1:5">
      <c r="A153" t="s">
        <v>29</v>
      </c>
      <c r="B153" t="s">
        <v>20</v>
      </c>
      <c r="C153" t="s">
        <v>8</v>
      </c>
      <c r="D153">
        <f>_xlfn.STDEV.S(per_seed!$I$72:$I$81)</f>
        <v>6.5087571330181837E-3</v>
      </c>
      <c r="E153">
        <v>6.5087571330181811E-3</v>
      </c>
    </row>
    <row r="154" spans="1:5">
      <c r="A154" t="s">
        <v>28</v>
      </c>
      <c r="B154" t="s">
        <v>20</v>
      </c>
      <c r="C154" t="s">
        <v>9</v>
      </c>
      <c r="D154">
        <f>AVERAGE(per_seed!$J$72:$J$81)</f>
        <v>10.468525711559336</v>
      </c>
      <c r="E154">
        <v>10.46852571155933</v>
      </c>
    </row>
    <row r="155" spans="1:5">
      <c r="A155" t="s">
        <v>29</v>
      </c>
      <c r="B155" t="s">
        <v>20</v>
      </c>
      <c r="C155" t="s">
        <v>9</v>
      </c>
      <c r="D155">
        <f>_xlfn.STDEV.S(per_seed!$J$72:$J$81)</f>
        <v>0.44230138338531927</v>
      </c>
      <c r="E155">
        <v>0.44230138338531899</v>
      </c>
    </row>
    <row r="156" spans="1:5">
      <c r="A156" t="s">
        <v>28</v>
      </c>
      <c r="B156" t="s">
        <v>20</v>
      </c>
      <c r="C156" t="s">
        <v>10</v>
      </c>
      <c r="D156">
        <f>AVERAGE(per_seed!$K$72:$K$81)</f>
        <v>1.306220840576229</v>
      </c>
      <c r="E156">
        <v>1.306220840576229</v>
      </c>
    </row>
    <row r="157" spans="1:5">
      <c r="A157" t="s">
        <v>29</v>
      </c>
      <c r="B157" t="s">
        <v>20</v>
      </c>
      <c r="C157" t="s">
        <v>10</v>
      </c>
      <c r="D157">
        <f>_xlfn.STDEV.S(per_seed!$K$72:$K$81)</f>
        <v>4.6017748449720834E-2</v>
      </c>
      <c r="E157">
        <v>4.6017748449720827E-2</v>
      </c>
    </row>
    <row r="158" spans="1:5">
      <c r="A158" t="s">
        <v>28</v>
      </c>
      <c r="B158" t="s">
        <v>20</v>
      </c>
      <c r="C158" t="s">
        <v>11</v>
      </c>
      <c r="D158">
        <f>AVERAGE(per_seed!$L$72:$L$81)</f>
        <v>796.73333333321</v>
      </c>
      <c r="E158">
        <v>796.73333333321</v>
      </c>
    </row>
    <row r="159" spans="1:5">
      <c r="A159" t="s">
        <v>29</v>
      </c>
      <c r="B159" t="s">
        <v>20</v>
      </c>
      <c r="C159" t="s">
        <v>11</v>
      </c>
      <c r="D159">
        <f>_xlfn.STDEV.S(per_seed!$L$72:$L$81)</f>
        <v>31.173857359332395</v>
      </c>
      <c r="E159">
        <v>31.173857359332391</v>
      </c>
    </row>
    <row r="160" spans="1:5">
      <c r="A160" t="s">
        <v>28</v>
      </c>
      <c r="B160" t="s">
        <v>20</v>
      </c>
      <c r="C160" t="s">
        <v>12</v>
      </c>
      <c r="D160">
        <f>AVERAGE(per_seed!$M$72:$M$81)</f>
        <v>9.4000617285275521</v>
      </c>
      <c r="E160">
        <v>9.4000617285275521</v>
      </c>
    </row>
    <row r="161" spans="1:5">
      <c r="A161" t="s">
        <v>29</v>
      </c>
      <c r="B161" t="s">
        <v>20</v>
      </c>
      <c r="C161" t="s">
        <v>12</v>
      </c>
      <c r="D161">
        <f>_xlfn.STDEV.S(per_seed!$M$72:$M$81)</f>
        <v>1.3639397446805641</v>
      </c>
      <c r="E161">
        <v>1.3639397446805619</v>
      </c>
    </row>
    <row r="162" spans="1:5">
      <c r="A162" t="s">
        <v>28</v>
      </c>
      <c r="B162" t="s">
        <v>21</v>
      </c>
      <c r="C162" t="s">
        <v>3</v>
      </c>
      <c r="D162">
        <f>AVERAGE(per_seed!$D$82:$D$91)</f>
        <v>1423</v>
      </c>
      <c r="E162">
        <v>1423</v>
      </c>
    </row>
    <row r="163" spans="1:5">
      <c r="A163" t="s">
        <v>29</v>
      </c>
      <c r="B163" t="s">
        <v>21</v>
      </c>
      <c r="C163" t="s">
        <v>3</v>
      </c>
      <c r="D163">
        <f>_xlfn.STDEV.S(per_seed!$D$82:$D$91)</f>
        <v>4.5215533220835118</v>
      </c>
      <c r="E163">
        <v>4.5215533220835118</v>
      </c>
    </row>
    <row r="164" spans="1:5">
      <c r="A164" t="s">
        <v>28</v>
      </c>
      <c r="B164" t="s">
        <v>21</v>
      </c>
      <c r="C164" t="s">
        <v>4</v>
      </c>
      <c r="D164">
        <f>AVERAGE(per_seed!$E$82:$E$91)</f>
        <v>948.4</v>
      </c>
      <c r="E164">
        <v>948.4</v>
      </c>
    </row>
    <row r="165" spans="1:5">
      <c r="A165" t="s">
        <v>29</v>
      </c>
      <c r="B165" t="s">
        <v>21</v>
      </c>
      <c r="C165" t="s">
        <v>4</v>
      </c>
      <c r="D165">
        <f>_xlfn.STDEV.S(per_seed!$E$82:$E$91)</f>
        <v>15.12319778059889</v>
      </c>
      <c r="E165">
        <v>15.12319778059889</v>
      </c>
    </row>
    <row r="166" spans="1:5">
      <c r="A166" t="s">
        <v>28</v>
      </c>
      <c r="B166" t="s">
        <v>21</v>
      </c>
      <c r="C166" t="s">
        <v>5</v>
      </c>
      <c r="D166">
        <f>AVERAGE(per_seed!$F$82:$F$91)</f>
        <v>601.5</v>
      </c>
      <c r="E166">
        <v>601.5</v>
      </c>
    </row>
    <row r="167" spans="1:5">
      <c r="A167" t="s">
        <v>29</v>
      </c>
      <c r="B167" t="s">
        <v>21</v>
      </c>
      <c r="C167" t="s">
        <v>5</v>
      </c>
      <c r="D167">
        <f>_xlfn.STDEV.S(per_seed!$F$82:$F$91)</f>
        <v>9.7667235493224069</v>
      </c>
      <c r="E167">
        <v>9.7667235493224069</v>
      </c>
    </row>
    <row r="168" spans="1:5">
      <c r="A168" t="s">
        <v>28</v>
      </c>
      <c r="B168" t="s">
        <v>21</v>
      </c>
      <c r="C168" t="s">
        <v>6</v>
      </c>
      <c r="D168">
        <f>AVERAGE(per_seed!$G$82:$G$91)</f>
        <v>5.0648887456661233</v>
      </c>
      <c r="E168">
        <v>5.0648887456661216</v>
      </c>
    </row>
    <row r="169" spans="1:5">
      <c r="A169" t="s">
        <v>29</v>
      </c>
      <c r="B169" t="s">
        <v>21</v>
      </c>
      <c r="C169" t="s">
        <v>6</v>
      </c>
      <c r="D169">
        <f>_xlfn.STDEV.S(per_seed!$G$82:$G$91)</f>
        <v>0.20549148840833631</v>
      </c>
      <c r="E169">
        <v>0.20549148840833639</v>
      </c>
    </row>
    <row r="170" spans="1:5">
      <c r="A170" t="s">
        <v>28</v>
      </c>
      <c r="B170" t="s">
        <v>21</v>
      </c>
      <c r="C170" t="s">
        <v>7</v>
      </c>
      <c r="D170">
        <f>AVERAGE(per_seed!$H$82:$H$91)</f>
        <v>118.9</v>
      </c>
      <c r="E170">
        <v>118.9</v>
      </c>
    </row>
    <row r="171" spans="1:5">
      <c r="A171" t="s">
        <v>29</v>
      </c>
      <c r="B171" t="s">
        <v>21</v>
      </c>
      <c r="C171" t="s">
        <v>7</v>
      </c>
      <c r="D171">
        <f>_xlfn.STDEV.S(per_seed!$H$82:$H$91)</f>
        <v>4.2018514437751788</v>
      </c>
      <c r="E171">
        <v>4.2018514437751788</v>
      </c>
    </row>
    <row r="172" spans="1:5">
      <c r="A172" t="s">
        <v>28</v>
      </c>
      <c r="B172" t="s">
        <v>21</v>
      </c>
      <c r="C172" t="s">
        <v>8</v>
      </c>
      <c r="D172">
        <f>AVERAGE(per_seed!$I$82:$I$91)</f>
        <v>0.19773518236478421</v>
      </c>
      <c r="E172">
        <v>0.19773518236478421</v>
      </c>
    </row>
    <row r="173" spans="1:5">
      <c r="A173" t="s">
        <v>29</v>
      </c>
      <c r="B173" t="s">
        <v>21</v>
      </c>
      <c r="C173" t="s">
        <v>8</v>
      </c>
      <c r="D173">
        <f>_xlfn.STDEV.S(per_seed!$I$82:$I$91)</f>
        <v>8.1508490534964416E-3</v>
      </c>
      <c r="E173">
        <v>8.1508490534964364E-3</v>
      </c>
    </row>
    <row r="174" spans="1:5">
      <c r="A174" t="s">
        <v>28</v>
      </c>
      <c r="B174" t="s">
        <v>21</v>
      </c>
      <c r="C174" t="s">
        <v>9</v>
      </c>
      <c r="D174">
        <f>AVERAGE(per_seed!$J$82:$J$91)</f>
        <v>10.239209599441446</v>
      </c>
      <c r="E174">
        <v>10.23920959944145</v>
      </c>
    </row>
    <row r="175" spans="1:5">
      <c r="A175" t="s">
        <v>29</v>
      </c>
      <c r="B175" t="s">
        <v>21</v>
      </c>
      <c r="C175" t="s">
        <v>9</v>
      </c>
      <c r="D175">
        <f>_xlfn.STDEV.S(per_seed!$J$82:$J$91)</f>
        <v>0.20782735829677634</v>
      </c>
      <c r="E175">
        <v>0.20782735829677679</v>
      </c>
    </row>
    <row r="176" spans="1:5">
      <c r="A176" t="s">
        <v>28</v>
      </c>
      <c r="B176" t="s">
        <v>21</v>
      </c>
      <c r="C176" t="s">
        <v>10</v>
      </c>
      <c r="D176">
        <f>AVERAGE(per_seed!$K$82:$K$91)</f>
        <v>1.3088447681714961</v>
      </c>
      <c r="E176">
        <v>1.3088447681714961</v>
      </c>
    </row>
    <row r="177" spans="1:5">
      <c r="A177" t="s">
        <v>29</v>
      </c>
      <c r="B177" t="s">
        <v>21</v>
      </c>
      <c r="C177" t="s">
        <v>10</v>
      </c>
      <c r="D177">
        <f>_xlfn.STDEV.S(per_seed!$K$82:$K$91)</f>
        <v>2.8445490884058362E-2</v>
      </c>
      <c r="E177">
        <v>2.8445490884058362E-2</v>
      </c>
    </row>
    <row r="178" spans="1:5">
      <c r="A178" t="s">
        <v>28</v>
      </c>
      <c r="B178" t="s">
        <v>21</v>
      </c>
      <c r="C178" t="s">
        <v>11</v>
      </c>
      <c r="D178">
        <f>AVERAGE(per_seed!$L$82:$L$91)</f>
        <v>791.89333333409445</v>
      </c>
      <c r="E178">
        <v>791.89333333409445</v>
      </c>
    </row>
    <row r="179" spans="1:5">
      <c r="A179" t="s">
        <v>29</v>
      </c>
      <c r="B179" t="s">
        <v>21</v>
      </c>
      <c r="C179" t="s">
        <v>11</v>
      </c>
      <c r="D179">
        <f>_xlfn.STDEV.S(per_seed!$L$82:$L$91)</f>
        <v>53.430467923945763</v>
      </c>
      <c r="E179">
        <v>53.43046792394577</v>
      </c>
    </row>
    <row r="180" spans="1:5">
      <c r="A180" t="s">
        <v>28</v>
      </c>
      <c r="B180" t="s">
        <v>21</v>
      </c>
      <c r="C180" t="s">
        <v>12</v>
      </c>
      <c r="D180">
        <f>AVERAGE(per_seed!$M$82:$M$91)</f>
        <v>1.2382716050780906</v>
      </c>
      <c r="E180">
        <v>1.2382716050780911</v>
      </c>
    </row>
    <row r="181" spans="1:5">
      <c r="A181" t="s">
        <v>29</v>
      </c>
      <c r="B181" t="s">
        <v>21</v>
      </c>
      <c r="C181" t="s">
        <v>12</v>
      </c>
      <c r="D181">
        <f>_xlfn.STDEV.S(per_seed!$M$82:$M$91)</f>
        <v>0.30999610354278051</v>
      </c>
      <c r="E181">
        <v>0.3099961035427799</v>
      </c>
    </row>
    <row r="182" spans="1:5">
      <c r="A182" t="s">
        <v>28</v>
      </c>
      <c r="B182" t="s">
        <v>22</v>
      </c>
      <c r="C182" t="s">
        <v>3</v>
      </c>
      <c r="D182">
        <f>AVERAGE(per_seed!$D$92:$D$101)</f>
        <v>1429.1</v>
      </c>
      <c r="E182">
        <v>1429.1</v>
      </c>
    </row>
    <row r="183" spans="1:5">
      <c r="A183" t="s">
        <v>29</v>
      </c>
      <c r="B183" t="s">
        <v>22</v>
      </c>
      <c r="C183" t="s">
        <v>3</v>
      </c>
      <c r="D183">
        <f>_xlfn.STDEV.S(per_seed!$D$92:$D$101)</f>
        <v>1.8529256146249726</v>
      </c>
      <c r="E183">
        <v>1.8529256146249731</v>
      </c>
    </row>
    <row r="184" spans="1:5">
      <c r="A184" t="s">
        <v>28</v>
      </c>
      <c r="B184" t="s">
        <v>22</v>
      </c>
      <c r="C184" t="s">
        <v>4</v>
      </c>
      <c r="D184">
        <f>AVERAGE(per_seed!$E$92:$E$101)</f>
        <v>952.4</v>
      </c>
      <c r="E184">
        <v>952.4</v>
      </c>
    </row>
    <row r="185" spans="1:5">
      <c r="A185" t="s">
        <v>29</v>
      </c>
      <c r="B185" t="s">
        <v>22</v>
      </c>
      <c r="C185" t="s">
        <v>4</v>
      </c>
      <c r="D185">
        <f>_xlfn.STDEV.S(per_seed!$E$92:$E$101)</f>
        <v>14.439144326755963</v>
      </c>
      <c r="E185">
        <v>14.43914432675596</v>
      </c>
    </row>
    <row r="186" spans="1:5">
      <c r="A186" t="s">
        <v>28</v>
      </c>
      <c r="B186" t="s">
        <v>22</v>
      </c>
      <c r="C186" t="s">
        <v>5</v>
      </c>
      <c r="D186">
        <f>AVERAGE(per_seed!$F$92:$F$101)</f>
        <v>604</v>
      </c>
      <c r="E186">
        <v>604</v>
      </c>
    </row>
    <row r="187" spans="1:5">
      <c r="A187" t="s">
        <v>29</v>
      </c>
      <c r="B187" t="s">
        <v>22</v>
      </c>
      <c r="C187" t="s">
        <v>5</v>
      </c>
      <c r="D187">
        <f>_xlfn.STDEV.S(per_seed!$F$92:$F$101)</f>
        <v>10.110500592068734</v>
      </c>
      <c r="E187">
        <v>10.11050059206873</v>
      </c>
    </row>
    <row r="188" spans="1:5">
      <c r="A188" t="s">
        <v>28</v>
      </c>
      <c r="B188" t="s">
        <v>22</v>
      </c>
      <c r="C188" t="s">
        <v>6</v>
      </c>
      <c r="D188">
        <f>AVERAGE(per_seed!$G$92:$G$101)</f>
        <v>5.1038447083013763</v>
      </c>
      <c r="E188">
        <v>5.1038447083013763</v>
      </c>
    </row>
    <row r="189" spans="1:5">
      <c r="A189" t="s">
        <v>29</v>
      </c>
      <c r="B189" t="s">
        <v>22</v>
      </c>
      <c r="C189" t="s">
        <v>6</v>
      </c>
      <c r="D189">
        <f>_xlfn.STDEV.S(per_seed!$G$92:$G$101)</f>
        <v>0.12742988883347608</v>
      </c>
      <c r="E189">
        <v>0.12742988883347611</v>
      </c>
    </row>
    <row r="190" spans="1:5">
      <c r="A190" t="s">
        <v>28</v>
      </c>
      <c r="B190" t="s">
        <v>22</v>
      </c>
      <c r="C190" t="s">
        <v>7</v>
      </c>
      <c r="D190">
        <f>AVERAGE(per_seed!$H$92:$H$101)</f>
        <v>118.4</v>
      </c>
      <c r="E190">
        <v>118.4</v>
      </c>
    </row>
    <row r="191" spans="1:5">
      <c r="A191" t="s">
        <v>29</v>
      </c>
      <c r="B191" t="s">
        <v>22</v>
      </c>
      <c r="C191" t="s">
        <v>7</v>
      </c>
      <c r="D191">
        <f>_xlfn.STDEV.S(per_seed!$H$92:$H$101)</f>
        <v>3.2041639575194445</v>
      </c>
      <c r="E191">
        <v>3.2041639575194441</v>
      </c>
    </row>
    <row r="192" spans="1:5">
      <c r="A192" t="s">
        <v>28</v>
      </c>
      <c r="B192" t="s">
        <v>22</v>
      </c>
      <c r="C192" t="s">
        <v>8</v>
      </c>
      <c r="D192">
        <f>AVERAGE(per_seed!$I$92:$I$101)</f>
        <v>0.1960413329661404</v>
      </c>
      <c r="E192">
        <v>0.1960413329661404</v>
      </c>
    </row>
    <row r="193" spans="1:5">
      <c r="A193" t="s">
        <v>29</v>
      </c>
      <c r="B193" t="s">
        <v>22</v>
      </c>
      <c r="C193" t="s">
        <v>8</v>
      </c>
      <c r="D193">
        <f>_xlfn.STDEV.S(per_seed!$I$92:$I$101)</f>
        <v>4.9232443185301027E-3</v>
      </c>
      <c r="E193">
        <v>4.92324431853012E-3</v>
      </c>
    </row>
    <row r="194" spans="1:5">
      <c r="A194" t="s">
        <v>28</v>
      </c>
      <c r="B194" t="s">
        <v>22</v>
      </c>
      <c r="C194" t="s">
        <v>9</v>
      </c>
      <c r="D194">
        <f>AVERAGE(per_seed!$J$92:$J$101)</f>
        <v>10.237884252074325</v>
      </c>
      <c r="E194">
        <v>10.23788425207432</v>
      </c>
    </row>
    <row r="195" spans="1:5">
      <c r="A195" t="s">
        <v>29</v>
      </c>
      <c r="B195" t="s">
        <v>22</v>
      </c>
      <c r="C195" t="s">
        <v>9</v>
      </c>
      <c r="D195">
        <f>_xlfn.STDEV.S(per_seed!$J$92:$J$101)</f>
        <v>0.29195145083998075</v>
      </c>
      <c r="E195">
        <v>0.29195145083998092</v>
      </c>
    </row>
    <row r="196" spans="1:5">
      <c r="A196" t="s">
        <v>28</v>
      </c>
      <c r="B196" t="s">
        <v>22</v>
      </c>
      <c r="C196" t="s">
        <v>10</v>
      </c>
      <c r="D196">
        <f>AVERAGE(per_seed!$K$92:$K$101)</f>
        <v>1.3006549880270089</v>
      </c>
      <c r="E196">
        <v>1.3006549880270091</v>
      </c>
    </row>
    <row r="197" spans="1:5">
      <c r="A197" t="s">
        <v>29</v>
      </c>
      <c r="B197" t="s">
        <v>22</v>
      </c>
      <c r="C197" t="s">
        <v>10</v>
      </c>
      <c r="D197">
        <f>_xlfn.STDEV.S(per_seed!$K$92:$K$101)</f>
        <v>2.751558755785561E-2</v>
      </c>
      <c r="E197">
        <v>2.751558755785561E-2</v>
      </c>
    </row>
    <row r="198" spans="1:5">
      <c r="A198" t="s">
        <v>28</v>
      </c>
      <c r="B198" t="s">
        <v>22</v>
      </c>
      <c r="C198" t="s">
        <v>11</v>
      </c>
      <c r="D198">
        <f>AVERAGE(per_seed!$L$92:$L$101)</f>
        <v>774.08444444489919</v>
      </c>
      <c r="E198">
        <v>774.08444444489919</v>
      </c>
    </row>
    <row r="199" spans="1:5">
      <c r="A199" t="s">
        <v>29</v>
      </c>
      <c r="B199" t="s">
        <v>22</v>
      </c>
      <c r="C199" t="s">
        <v>11</v>
      </c>
      <c r="D199">
        <f>_xlfn.STDEV.S(per_seed!$L$92:$L$101)</f>
        <v>63.924466572066741</v>
      </c>
      <c r="E199">
        <v>63.924466572066748</v>
      </c>
    </row>
    <row r="200" spans="1:5">
      <c r="A200" t="s">
        <v>28</v>
      </c>
      <c r="B200" t="s">
        <v>22</v>
      </c>
      <c r="C200" t="s">
        <v>12</v>
      </c>
      <c r="D200">
        <f>AVERAGE(per_seed!$M$92:$M$101)</f>
        <v>0.81299382730764691</v>
      </c>
      <c r="E200">
        <v>0.81299382730764691</v>
      </c>
    </row>
    <row r="201" spans="1:5">
      <c r="A201" t="s">
        <v>29</v>
      </c>
      <c r="B201" t="s">
        <v>22</v>
      </c>
      <c r="C201" t="s">
        <v>12</v>
      </c>
      <c r="D201">
        <f>_xlfn.STDEV.S(per_seed!$M$92:$M$101)</f>
        <v>0.13037049458704025</v>
      </c>
      <c r="E201">
        <v>0.13037049458704059</v>
      </c>
    </row>
    <row r="202" spans="1:5">
      <c r="A202" t="s">
        <v>30</v>
      </c>
      <c r="B202" t="s">
        <v>31</v>
      </c>
      <c r="C202" t="s">
        <v>3</v>
      </c>
      <c r="D202">
        <f>(AVERAGE(per_seed!$D$12:$D$21)-AVERAGE(per_seed!$D$2:$D$11))/AVERAGE(per_seed!$D$2:$D$11)*100</f>
        <v>0.161983238256212</v>
      </c>
      <c r="E202">
        <v>0.161983238256212</v>
      </c>
    </row>
    <row r="203" spans="1:5">
      <c r="A203" t="s">
        <v>32</v>
      </c>
      <c r="B203" t="s">
        <v>31</v>
      </c>
      <c r="C203" t="s">
        <v>3</v>
      </c>
      <c r="D203">
        <f>_xlfn.T.TEST(per_seed!$D$2:$D$11,per_seed!$D$12:$D$21,2,1)</f>
        <v>0.48459450899709877</v>
      </c>
      <c r="E203">
        <v>0.48459450899709072</v>
      </c>
    </row>
    <row r="204" spans="1:5">
      <c r="A204" t="s">
        <v>30</v>
      </c>
      <c r="B204" t="s">
        <v>31</v>
      </c>
      <c r="C204" t="s">
        <v>4</v>
      </c>
      <c r="D204">
        <f>(AVERAGE(per_seed!$E$12:$E$21)-AVERAGE(per_seed!$E$2:$E$11))/AVERAGE(per_seed!$E$2:$E$11)*100</f>
        <v>-1.5748863756473921</v>
      </c>
      <c r="E204">
        <v>-1.5748863756473921</v>
      </c>
    </row>
    <row r="205" spans="1:5">
      <c r="A205" t="s">
        <v>32</v>
      </c>
      <c r="B205" t="s">
        <v>31</v>
      </c>
      <c r="C205" t="s">
        <v>4</v>
      </c>
      <c r="D205">
        <f>_xlfn.T.TEST(per_seed!$E$2:$E$11,per_seed!$E$12:$E$21,2,1)</f>
        <v>5.0898866612639248E-3</v>
      </c>
      <c r="E205">
        <v>5.0898866612638849E-3</v>
      </c>
    </row>
    <row r="206" spans="1:5">
      <c r="A206" t="s">
        <v>30</v>
      </c>
      <c r="B206" t="s">
        <v>31</v>
      </c>
      <c r="C206" t="s">
        <v>5</v>
      </c>
      <c r="D206">
        <f>(AVERAGE(per_seed!$F$12:$F$21)-AVERAGE(per_seed!$F$2:$F$11))/AVERAGE(per_seed!$F$2:$F$11)*100</f>
        <v>-2.52044733767318</v>
      </c>
      <c r="E206">
        <v>-2.52044733767318</v>
      </c>
    </row>
    <row r="207" spans="1:5">
      <c r="A207" t="s">
        <v>32</v>
      </c>
      <c r="B207" t="s">
        <v>31</v>
      </c>
      <c r="C207" t="s">
        <v>5</v>
      </c>
      <c r="D207">
        <f>_xlfn.T.TEST(per_seed!$F$2:$F$11,per_seed!$F$12:$F$21,2,1)</f>
        <v>7.0884671212601198E-4</v>
      </c>
      <c r="E207">
        <v>7.0884671212601935E-4</v>
      </c>
    </row>
    <row r="208" spans="1:5">
      <c r="A208" t="s">
        <v>30</v>
      </c>
      <c r="B208" t="s">
        <v>31</v>
      </c>
      <c r="C208" t="s">
        <v>6</v>
      </c>
      <c r="D208">
        <f>(AVERAGE(per_seed!$G$12:$G$21)-AVERAGE(per_seed!$G$2:$G$11))/AVERAGE(per_seed!$G$2:$G$11)*100</f>
        <v>-2.0036371833537951</v>
      </c>
      <c r="E208">
        <v>-2.003637183353812</v>
      </c>
    </row>
    <row r="209" spans="1:5">
      <c r="A209" t="s">
        <v>32</v>
      </c>
      <c r="B209" t="s">
        <v>31</v>
      </c>
      <c r="C209" t="s">
        <v>6</v>
      </c>
      <c r="D209">
        <f>_xlfn.T.TEST(per_seed!$G$2:$G$11,per_seed!$G$12:$G$21,2,1)</f>
        <v>3.44073794571517E-2</v>
      </c>
      <c r="E209">
        <v>3.4407379457150299E-2</v>
      </c>
    </row>
    <row r="210" spans="1:5">
      <c r="A210" t="s">
        <v>30</v>
      </c>
      <c r="B210" t="s">
        <v>31</v>
      </c>
      <c r="C210" t="s">
        <v>7</v>
      </c>
      <c r="D210">
        <f>(AVERAGE(per_seed!$H$12:$H$21)-AVERAGE(per_seed!$H$2:$H$11))/AVERAGE(per_seed!$H$2:$H$11)*100</f>
        <v>-0.53428317008013748</v>
      </c>
      <c r="E210">
        <v>-0.53428317008013748</v>
      </c>
    </row>
    <row r="211" spans="1:5">
      <c r="A211" t="s">
        <v>32</v>
      </c>
      <c r="B211" t="s">
        <v>31</v>
      </c>
      <c r="C211" t="s">
        <v>7</v>
      </c>
      <c r="D211">
        <f>_xlfn.T.TEST(per_seed!$H$2:$H$11,per_seed!$H$12:$H$21,2,1)</f>
        <v>0.53118019719285259</v>
      </c>
      <c r="E211">
        <v>0.5311801971928487</v>
      </c>
    </row>
    <row r="212" spans="1:5">
      <c r="A212" t="s">
        <v>30</v>
      </c>
      <c r="B212" t="s">
        <v>31</v>
      </c>
      <c r="C212" t="s">
        <v>8</v>
      </c>
      <c r="D212">
        <f>(AVERAGE(per_seed!$I$12:$I$21)-AVERAGE(per_seed!$I$2:$I$11))/AVERAGE(per_seed!$I$2:$I$11)*100</f>
        <v>1.9861713570171624</v>
      </c>
      <c r="E212">
        <v>1.986171357017148</v>
      </c>
    </row>
    <row r="213" spans="1:5">
      <c r="A213" t="s">
        <v>32</v>
      </c>
      <c r="B213" t="s">
        <v>31</v>
      </c>
      <c r="C213" t="s">
        <v>8</v>
      </c>
      <c r="D213">
        <f>_xlfn.T.TEST(per_seed!$I$2:$I$11,per_seed!$I$12:$I$21,2,1)</f>
        <v>3.6541285506947227E-2</v>
      </c>
      <c r="E213">
        <v>3.6541285506947539E-2</v>
      </c>
    </row>
    <row r="214" spans="1:5">
      <c r="A214" t="s">
        <v>30</v>
      </c>
      <c r="B214" t="s">
        <v>31</v>
      </c>
      <c r="C214" t="s">
        <v>9</v>
      </c>
      <c r="D214">
        <f>(AVERAGE(per_seed!$J$12:$J$21)-AVERAGE(per_seed!$J$2:$J$11))/AVERAGE(per_seed!$J$2:$J$11)*100</f>
        <v>0.30423452339706586</v>
      </c>
      <c r="E214">
        <v>0.30423452339706591</v>
      </c>
    </row>
    <row r="215" spans="1:5">
      <c r="A215" t="s">
        <v>32</v>
      </c>
      <c r="B215" t="s">
        <v>31</v>
      </c>
      <c r="C215" t="s">
        <v>9</v>
      </c>
      <c r="D215">
        <f>_xlfn.T.TEST(per_seed!$J$2:$J$11,per_seed!$J$12:$J$21,2,1)</f>
        <v>0.73550529607171455</v>
      </c>
      <c r="E215">
        <v>0.73550529607171478</v>
      </c>
    </row>
    <row r="216" spans="1:5">
      <c r="A216" t="s">
        <v>30</v>
      </c>
      <c r="B216" t="s">
        <v>31</v>
      </c>
      <c r="C216" t="s">
        <v>10</v>
      </c>
      <c r="D216">
        <f>(AVERAGE(per_seed!$K$12:$K$21)-AVERAGE(per_seed!$K$2:$K$11))/AVERAGE(per_seed!$K$2:$K$11)*100</f>
        <v>1.1464172289075198</v>
      </c>
      <c r="E216">
        <v>1.1464172289075201</v>
      </c>
    </row>
    <row r="217" spans="1:5">
      <c r="A217" t="s">
        <v>32</v>
      </c>
      <c r="B217" t="s">
        <v>31</v>
      </c>
      <c r="C217" t="s">
        <v>10</v>
      </c>
      <c r="D217">
        <f>_xlfn.T.TEST(per_seed!$K$2:$K$11,per_seed!$K$12:$K$21,2,1)</f>
        <v>0.21334643411412149</v>
      </c>
      <c r="E217">
        <v>0.2133464341141223</v>
      </c>
    </row>
    <row r="218" spans="1:5">
      <c r="A218" t="s">
        <v>30</v>
      </c>
      <c r="B218" t="s">
        <v>31</v>
      </c>
      <c r="C218" t="s">
        <v>11</v>
      </c>
      <c r="D218">
        <f>(AVERAGE(per_seed!$L$12:$L$21)-AVERAGE(per_seed!$L$2:$L$11))/AVERAGE(per_seed!$L$2:$L$11)*100</f>
        <v>10.361264022599489</v>
      </c>
      <c r="E218">
        <v>10.361264022599491</v>
      </c>
    </row>
    <row r="219" spans="1:5">
      <c r="A219" t="s">
        <v>32</v>
      </c>
      <c r="B219" t="s">
        <v>31</v>
      </c>
      <c r="C219" t="s">
        <v>11</v>
      </c>
      <c r="D219">
        <f>_xlfn.T.TEST(per_seed!$L$2:$L$11,per_seed!$L$12:$L$21,2,1)</f>
        <v>3.407096990550175E-3</v>
      </c>
      <c r="E219">
        <v>3.4070969905501511E-3</v>
      </c>
    </row>
    <row r="220" spans="1:5">
      <c r="A220" t="s">
        <v>30</v>
      </c>
      <c r="B220" t="s">
        <v>31</v>
      </c>
      <c r="C220" t="s">
        <v>12</v>
      </c>
      <c r="D220">
        <f>(AVERAGE(per_seed!$M$12:$M$21)-AVERAGE(per_seed!$M$2:$M$11))/AVERAGE(per_seed!$M$2:$M$11)*100</f>
        <v>-10.639563286666423</v>
      </c>
      <c r="E220">
        <v>-10.63956328666641</v>
      </c>
    </row>
    <row r="221" spans="1:5">
      <c r="A221" t="s">
        <v>32</v>
      </c>
      <c r="B221" t="s">
        <v>31</v>
      </c>
      <c r="C221" t="s">
        <v>12</v>
      </c>
      <c r="D221">
        <f>_xlfn.T.TEST(per_seed!$M$2:$M$11,per_seed!$M$12:$M$21,2,1)</f>
        <v>0.48165234985443806</v>
      </c>
      <c r="E221">
        <v>0.48165234985443911</v>
      </c>
    </row>
    <row r="222" spans="1:5">
      <c r="A222" t="s">
        <v>30</v>
      </c>
      <c r="B222" t="s">
        <v>33</v>
      </c>
      <c r="C222" t="s">
        <v>3</v>
      </c>
      <c r="D222">
        <f>(AVERAGE(per_seed!$D$22:$D$31)-AVERAGE(per_seed!$D$2:$D$11))/AVERAGE(per_seed!$D$2:$D$11)*100</f>
        <v>-8.8034368617508267</v>
      </c>
      <c r="E222">
        <v>-8.8034368617508267</v>
      </c>
    </row>
    <row r="223" spans="1:5">
      <c r="A223" t="s">
        <v>32</v>
      </c>
      <c r="B223" t="s">
        <v>33</v>
      </c>
      <c r="C223" t="s">
        <v>3</v>
      </c>
      <c r="D223">
        <f>_xlfn.T.TEST(per_seed!$D$2:$D$11,per_seed!$D$22:$D$31,2,1)</f>
        <v>5.8742311878873883E-8</v>
      </c>
      <c r="E223">
        <v>5.8742311878873929E-8</v>
      </c>
    </row>
    <row r="224" spans="1:5">
      <c r="A224" t="s">
        <v>30</v>
      </c>
      <c r="B224" t="s">
        <v>33</v>
      </c>
      <c r="C224" t="s">
        <v>4</v>
      </c>
      <c r="D224">
        <f>(AVERAGE(per_seed!$E$22:$E$31)-AVERAGE(per_seed!$E$2:$E$11))/AVERAGE(per_seed!$E$2:$E$11)*100</f>
        <v>-8.7834266990804384</v>
      </c>
      <c r="E224">
        <v>-8.7834266990804384</v>
      </c>
    </row>
    <row r="225" spans="1:5">
      <c r="A225" t="s">
        <v>32</v>
      </c>
      <c r="B225" t="s">
        <v>33</v>
      </c>
      <c r="C225" t="s">
        <v>4</v>
      </c>
      <c r="D225">
        <f>_xlfn.T.TEST(per_seed!$E$2:$E$11,per_seed!$E$22:$E$31,2,1)</f>
        <v>6.7511549640036462E-7</v>
      </c>
      <c r="E225">
        <v>6.7511549640036674E-7</v>
      </c>
    </row>
    <row r="226" spans="1:5">
      <c r="A226" t="s">
        <v>30</v>
      </c>
      <c r="B226" t="s">
        <v>33</v>
      </c>
      <c r="C226" t="s">
        <v>5</v>
      </c>
      <c r="D226">
        <f>(AVERAGE(per_seed!$F$22:$F$31)-AVERAGE(per_seed!$F$2:$F$11))/AVERAGE(per_seed!$F$2:$F$11)*100</f>
        <v>-6.7100650976464769</v>
      </c>
      <c r="E226">
        <v>-6.7100650976464769</v>
      </c>
    </row>
    <row r="227" spans="1:5">
      <c r="A227" t="s">
        <v>32</v>
      </c>
      <c r="B227" t="s">
        <v>33</v>
      </c>
      <c r="C227" t="s">
        <v>5</v>
      </c>
      <c r="D227">
        <f>_xlfn.T.TEST(per_seed!$F$2:$F$11,per_seed!$F$22:$F$31,2,1)</f>
        <v>1.7123753648836255E-5</v>
      </c>
      <c r="E227">
        <v>1.7123753648836489E-5</v>
      </c>
    </row>
    <row r="228" spans="1:5">
      <c r="A228" t="s">
        <v>30</v>
      </c>
      <c r="B228" t="s">
        <v>33</v>
      </c>
      <c r="C228" t="s">
        <v>6</v>
      </c>
      <c r="D228">
        <f>(AVERAGE(per_seed!$G$22:$G$31)-AVERAGE(per_seed!$G$2:$G$11))/AVERAGE(per_seed!$G$2:$G$11)*100</f>
        <v>-5.9005113011320658</v>
      </c>
      <c r="E228">
        <v>-5.9005113011320489</v>
      </c>
    </row>
    <row r="229" spans="1:5">
      <c r="A229" t="s">
        <v>32</v>
      </c>
      <c r="B229" t="s">
        <v>33</v>
      </c>
      <c r="C229" t="s">
        <v>6</v>
      </c>
      <c r="D229">
        <f>_xlfn.T.TEST(per_seed!$G$2:$G$11,per_seed!$G$22:$G$31,2,1)</f>
        <v>7.4798671650647165E-3</v>
      </c>
      <c r="E229">
        <v>7.4798671650647894E-3</v>
      </c>
    </row>
    <row r="230" spans="1:5">
      <c r="A230" t="s">
        <v>30</v>
      </c>
      <c r="B230" t="s">
        <v>33</v>
      </c>
      <c r="C230" t="s">
        <v>7</v>
      </c>
      <c r="D230">
        <f>(AVERAGE(per_seed!$H$22:$H$31)-AVERAGE(per_seed!$H$2:$H$11))/AVERAGE(per_seed!$H$2:$H$11)*100</f>
        <v>-0.80142475512020617</v>
      </c>
      <c r="E230">
        <v>-0.80142475512020617</v>
      </c>
    </row>
    <row r="231" spans="1:5">
      <c r="A231" t="s">
        <v>32</v>
      </c>
      <c r="B231" t="s">
        <v>33</v>
      </c>
      <c r="C231" t="s">
        <v>7</v>
      </c>
      <c r="D231">
        <f>_xlfn.T.TEST(per_seed!$H$2:$H$11,per_seed!$H$22:$H$31,2,1)</f>
        <v>0.51522688126216687</v>
      </c>
      <c r="E231">
        <v>0.51522688126216254</v>
      </c>
    </row>
    <row r="232" spans="1:5">
      <c r="A232" t="s">
        <v>30</v>
      </c>
      <c r="B232" t="s">
        <v>33</v>
      </c>
      <c r="C232" t="s">
        <v>8</v>
      </c>
      <c r="D232">
        <f>(AVERAGE(per_seed!$I$22:$I$31)-AVERAGE(per_seed!$I$2:$I$11))/AVERAGE(per_seed!$I$2:$I$11)*100</f>
        <v>6.3173935455729451</v>
      </c>
      <c r="E232">
        <v>6.3173935455729451</v>
      </c>
    </row>
    <row r="233" spans="1:5">
      <c r="A233" t="s">
        <v>32</v>
      </c>
      <c r="B233" t="s">
        <v>33</v>
      </c>
      <c r="C233" t="s">
        <v>8</v>
      </c>
      <c r="D233">
        <f>_xlfn.T.TEST(per_seed!$I$2:$I$11,per_seed!$I$22:$I$31,2,1)</f>
        <v>7.749986898779781E-3</v>
      </c>
      <c r="E233">
        <v>7.7499868987796709E-3</v>
      </c>
    </row>
    <row r="234" spans="1:5">
      <c r="A234" t="s">
        <v>30</v>
      </c>
      <c r="B234" t="s">
        <v>33</v>
      </c>
      <c r="C234" t="s">
        <v>9</v>
      </c>
      <c r="D234">
        <f>(AVERAGE(per_seed!$J$22:$J$31)-AVERAGE(per_seed!$J$2:$J$11))/AVERAGE(per_seed!$J$2:$J$11)*100</f>
        <v>2.1745696075589511</v>
      </c>
      <c r="E234">
        <v>2.1745696075589511</v>
      </c>
    </row>
    <row r="235" spans="1:5">
      <c r="A235" t="s">
        <v>32</v>
      </c>
      <c r="B235" t="s">
        <v>33</v>
      </c>
      <c r="C235" t="s">
        <v>9</v>
      </c>
      <c r="D235">
        <f>_xlfn.T.TEST(per_seed!$J$2:$J$11,per_seed!$J$22:$J$31,2,1)</f>
        <v>9.5359839516869063E-2</v>
      </c>
      <c r="E235">
        <v>9.5359839516868855E-2</v>
      </c>
    </row>
    <row r="236" spans="1:5">
      <c r="A236" t="s">
        <v>30</v>
      </c>
      <c r="B236" t="s">
        <v>33</v>
      </c>
      <c r="C236" t="s">
        <v>10</v>
      </c>
      <c r="D236">
        <f>(AVERAGE(per_seed!$K$22:$K$31)-AVERAGE(per_seed!$K$2:$K$11))/AVERAGE(per_seed!$K$2:$K$11)*100</f>
        <v>-4.6224446050856412E-2</v>
      </c>
      <c r="E236">
        <v>-4.6224446050856412E-2</v>
      </c>
    </row>
    <row r="237" spans="1:5">
      <c r="A237" t="s">
        <v>32</v>
      </c>
      <c r="B237" t="s">
        <v>33</v>
      </c>
      <c r="C237" t="s">
        <v>10</v>
      </c>
      <c r="D237">
        <f>_xlfn.T.TEST(per_seed!$K$2:$K$11,per_seed!$K$22:$K$31,2,1)</f>
        <v>0.97250290387924809</v>
      </c>
      <c r="E237">
        <v>0.97250290387924299</v>
      </c>
    </row>
    <row r="238" spans="1:5">
      <c r="A238" t="s">
        <v>30</v>
      </c>
      <c r="B238" t="s">
        <v>33</v>
      </c>
      <c r="C238" t="s">
        <v>11</v>
      </c>
      <c r="D238">
        <f>(AVERAGE(per_seed!$L$22:$L$31)-AVERAGE(per_seed!$L$2:$L$11))/AVERAGE(per_seed!$L$2:$L$11)*100</f>
        <v>-5.671732815681862</v>
      </c>
      <c r="E238">
        <v>-5.6717328156818354</v>
      </c>
    </row>
    <row r="239" spans="1:5">
      <c r="A239" t="s">
        <v>32</v>
      </c>
      <c r="B239" t="s">
        <v>33</v>
      </c>
      <c r="C239" t="s">
        <v>11</v>
      </c>
      <c r="D239">
        <f>_xlfn.T.TEST(per_seed!$L$2:$L$11,per_seed!$L$22:$L$31,2,1)</f>
        <v>1.479173646055683E-2</v>
      </c>
      <c r="E239">
        <v>1.4791736460556971E-2</v>
      </c>
    </row>
    <row r="240" spans="1:5">
      <c r="A240" t="s">
        <v>30</v>
      </c>
      <c r="B240" t="s">
        <v>33</v>
      </c>
      <c r="C240" t="s">
        <v>12</v>
      </c>
      <c r="D240">
        <f>(AVERAGE(per_seed!$M$22:$M$31)-AVERAGE(per_seed!$M$2:$M$11))/AVERAGE(per_seed!$M$2:$M$11)*100</f>
        <v>596.97742086930293</v>
      </c>
      <c r="E240">
        <v>596.97742086930316</v>
      </c>
    </row>
    <row r="241" spans="1:5">
      <c r="A241" t="s">
        <v>32</v>
      </c>
      <c r="B241" t="s">
        <v>33</v>
      </c>
      <c r="C241" t="s">
        <v>12</v>
      </c>
      <c r="D241">
        <f>_xlfn.T.TEST(per_seed!$M$2:$M$11,per_seed!$M$22:$M$31,2,1)</f>
        <v>5.9500238687770007E-8</v>
      </c>
      <c r="E241">
        <v>5.950023868776963E-8</v>
      </c>
    </row>
    <row r="242" spans="1:5">
      <c r="A242" t="s">
        <v>30</v>
      </c>
      <c r="B242" t="s">
        <v>34</v>
      </c>
      <c r="C242" t="s">
        <v>3</v>
      </c>
      <c r="D242">
        <f>(AVERAGE(per_seed!$D$32:$D$41)-AVERAGE(per_seed!$D$2:$D$11))/AVERAGE(per_seed!$D$2:$D$11)*100</f>
        <v>-1.2395239101345261</v>
      </c>
      <c r="E242">
        <v>-1.2395239101345259</v>
      </c>
    </row>
    <row r="243" spans="1:5">
      <c r="A243" t="s">
        <v>32</v>
      </c>
      <c r="B243" t="s">
        <v>34</v>
      </c>
      <c r="C243" t="s">
        <v>3</v>
      </c>
      <c r="D243">
        <f>_xlfn.T.TEST(per_seed!$D$2:$D$11,per_seed!$D$32:$D$41,2,1)</f>
        <v>3.6753392540886179E-3</v>
      </c>
      <c r="E243">
        <v>3.675339254088784E-3</v>
      </c>
    </row>
    <row r="244" spans="1:5">
      <c r="A244" t="s">
        <v>30</v>
      </c>
      <c r="B244" t="s">
        <v>34</v>
      </c>
      <c r="C244" t="s">
        <v>4</v>
      </c>
      <c r="D244">
        <f>(AVERAGE(per_seed!$E$32:$E$41)-AVERAGE(per_seed!$E$2:$E$11))/AVERAGE(per_seed!$E$2:$E$11)*100</f>
        <v>-1.204946622978541</v>
      </c>
      <c r="E244">
        <v>-1.204946622978541</v>
      </c>
    </row>
    <row r="245" spans="1:5">
      <c r="A245" t="s">
        <v>32</v>
      </c>
      <c r="B245" t="s">
        <v>34</v>
      </c>
      <c r="C245" t="s">
        <v>4</v>
      </c>
      <c r="D245">
        <f>_xlfn.T.TEST(per_seed!$E$2:$E$11,per_seed!$E$32:$E$41,2,1)</f>
        <v>2.7129124239582771E-2</v>
      </c>
      <c r="E245">
        <v>2.7129124239582501E-2</v>
      </c>
    </row>
    <row r="246" spans="1:5">
      <c r="A246" t="s">
        <v>30</v>
      </c>
      <c r="B246" t="s">
        <v>34</v>
      </c>
      <c r="C246" t="s">
        <v>5</v>
      </c>
      <c r="D246">
        <f>(AVERAGE(per_seed!$F$32:$F$41)-AVERAGE(per_seed!$F$2:$F$11))/AVERAGE(per_seed!$F$2:$F$11)*100</f>
        <v>-0.61759305625105088</v>
      </c>
      <c r="E246">
        <v>-0.61759305625105088</v>
      </c>
    </row>
    <row r="247" spans="1:5">
      <c r="A247" t="s">
        <v>32</v>
      </c>
      <c r="B247" t="s">
        <v>34</v>
      </c>
      <c r="C247" t="s">
        <v>5</v>
      </c>
      <c r="D247">
        <f>_xlfn.T.TEST(per_seed!$F$2:$F$11,per_seed!$F$32:$F$41,2,1)</f>
        <v>0.16028892820535187</v>
      </c>
      <c r="E247">
        <v>0.1602889282053567</v>
      </c>
    </row>
    <row r="248" spans="1:5">
      <c r="A248" t="s">
        <v>30</v>
      </c>
      <c r="B248" t="s">
        <v>34</v>
      </c>
      <c r="C248" t="s">
        <v>6</v>
      </c>
      <c r="D248">
        <f>(AVERAGE(per_seed!$G$32:$G$41)-AVERAGE(per_seed!$G$2:$G$11))/AVERAGE(per_seed!$G$2:$G$11)*100</f>
        <v>-0.591240140066978</v>
      </c>
      <c r="E248">
        <v>-0.591240140066978</v>
      </c>
    </row>
    <row r="249" spans="1:5">
      <c r="A249" t="s">
        <v>32</v>
      </c>
      <c r="B249" t="s">
        <v>34</v>
      </c>
      <c r="C249" t="s">
        <v>6</v>
      </c>
      <c r="D249">
        <f>_xlfn.T.TEST(per_seed!$G$2:$G$11,per_seed!$G$32:$G$41,2,1)</f>
        <v>0.58656438321850213</v>
      </c>
      <c r="E249">
        <v>0.58656438321850324</v>
      </c>
    </row>
    <row r="250" spans="1:5">
      <c r="A250" t="s">
        <v>30</v>
      </c>
      <c r="B250" t="s">
        <v>34</v>
      </c>
      <c r="C250" t="s">
        <v>7</v>
      </c>
      <c r="D250">
        <f>(AVERAGE(per_seed!$H$32:$H$41)-AVERAGE(per_seed!$H$2:$H$11))/AVERAGE(per_seed!$H$2:$H$11)*100</f>
        <v>0</v>
      </c>
      <c r="E250">
        <v>0</v>
      </c>
    </row>
    <row r="251" spans="1:5">
      <c r="A251" t="s">
        <v>32</v>
      </c>
      <c r="B251" t="s">
        <v>34</v>
      </c>
      <c r="C251" t="s">
        <v>7</v>
      </c>
      <c r="D251">
        <f>_xlfn.T.TEST(per_seed!$H$2:$H$11,per_seed!$H$32:$H$41,2,1)</f>
        <v>1</v>
      </c>
      <c r="E251">
        <v>1</v>
      </c>
    </row>
    <row r="252" spans="1:5">
      <c r="A252" t="s">
        <v>30</v>
      </c>
      <c r="B252" t="s">
        <v>34</v>
      </c>
      <c r="C252" t="s">
        <v>8</v>
      </c>
      <c r="D252">
        <f>(AVERAGE(per_seed!$I$32:$I$41)-AVERAGE(per_seed!$I$2:$I$11))/AVERAGE(per_seed!$I$2:$I$11)*100</f>
        <v>0.60014884660261658</v>
      </c>
      <c r="E252">
        <v>0.60014884660263146</v>
      </c>
    </row>
    <row r="253" spans="1:5">
      <c r="A253" t="s">
        <v>32</v>
      </c>
      <c r="B253" t="s">
        <v>34</v>
      </c>
      <c r="C253" t="s">
        <v>8</v>
      </c>
      <c r="D253">
        <f>_xlfn.T.TEST(per_seed!$I$2:$I$11,per_seed!$I$32:$I$41,2,1)</f>
        <v>0.58542972091803525</v>
      </c>
      <c r="E253">
        <v>0.58542972091802015</v>
      </c>
    </row>
    <row r="254" spans="1:5">
      <c r="A254" t="s">
        <v>30</v>
      </c>
      <c r="B254" t="s">
        <v>34</v>
      </c>
      <c r="C254" t="s">
        <v>9</v>
      </c>
      <c r="D254">
        <f>(AVERAGE(per_seed!$J$32:$J$41)-AVERAGE(per_seed!$J$2:$J$11))/AVERAGE(per_seed!$J$2:$J$11)*100</f>
        <v>-0.27486755086353459</v>
      </c>
      <c r="E254">
        <v>-0.27486755086355352</v>
      </c>
    </row>
    <row r="255" spans="1:5">
      <c r="A255" t="s">
        <v>32</v>
      </c>
      <c r="B255" t="s">
        <v>34</v>
      </c>
      <c r="C255" t="s">
        <v>9</v>
      </c>
      <c r="D255">
        <f>_xlfn.T.TEST(per_seed!$J$2:$J$11,per_seed!$J$32:$J$41,2,1)</f>
        <v>0.76700397357826056</v>
      </c>
      <c r="E255">
        <v>0.76700397357825156</v>
      </c>
    </row>
    <row r="256" spans="1:5">
      <c r="A256" t="s">
        <v>30</v>
      </c>
      <c r="B256" t="s">
        <v>34</v>
      </c>
      <c r="C256" t="s">
        <v>10</v>
      </c>
      <c r="D256">
        <f>(AVERAGE(per_seed!$K$32:$K$41)-AVERAGE(per_seed!$K$2:$K$11))/AVERAGE(per_seed!$K$2:$K$11)*100</f>
        <v>-1.0713739261427542</v>
      </c>
      <c r="E256">
        <v>-1.071373926142754</v>
      </c>
    </row>
    <row r="257" spans="1:5">
      <c r="A257" t="s">
        <v>32</v>
      </c>
      <c r="B257" t="s">
        <v>34</v>
      </c>
      <c r="C257" t="s">
        <v>10</v>
      </c>
      <c r="D257">
        <f>_xlfn.T.TEST(per_seed!$K$2:$K$11,per_seed!$K$32:$K$41,2,1)</f>
        <v>0.24164821097560993</v>
      </c>
      <c r="E257">
        <v>0.24164821097561251</v>
      </c>
    </row>
    <row r="258" spans="1:5">
      <c r="A258" t="s">
        <v>30</v>
      </c>
      <c r="B258" t="s">
        <v>34</v>
      </c>
      <c r="C258" t="s">
        <v>11</v>
      </c>
      <c r="D258">
        <f>(AVERAGE(per_seed!$L$32:$L$41)-AVERAGE(per_seed!$L$2:$L$11))/AVERAGE(per_seed!$L$2:$L$11)*100</f>
        <v>-2.6020853062469387</v>
      </c>
      <c r="E258">
        <v>-2.6020853062469391</v>
      </c>
    </row>
    <row r="259" spans="1:5">
      <c r="A259" t="s">
        <v>32</v>
      </c>
      <c r="B259" t="s">
        <v>34</v>
      </c>
      <c r="C259" t="s">
        <v>11</v>
      </c>
      <c r="D259">
        <f>_xlfn.T.TEST(per_seed!$L$2:$L$11,per_seed!$L$32:$L$41,2,1)</f>
        <v>0.24178873906201453</v>
      </c>
      <c r="E259">
        <v>0.2417887390620154</v>
      </c>
    </row>
    <row r="260" spans="1:5">
      <c r="A260" t="s">
        <v>30</v>
      </c>
      <c r="B260" t="s">
        <v>34</v>
      </c>
      <c r="C260" t="s">
        <v>12</v>
      </c>
      <c r="D260">
        <f>(AVERAGE(per_seed!$M$32:$M$41)-AVERAGE(per_seed!$M$2:$M$11))/AVERAGE(per_seed!$M$2:$M$11)*100</f>
        <v>86.000127436659028</v>
      </c>
      <c r="E260">
        <v>86.000127436659099</v>
      </c>
    </row>
    <row r="261" spans="1:5">
      <c r="A261" t="s">
        <v>32</v>
      </c>
      <c r="B261" t="s">
        <v>34</v>
      </c>
      <c r="C261" t="s">
        <v>12</v>
      </c>
      <c r="D261">
        <f>_xlfn.T.TEST(per_seed!$M$2:$M$11,per_seed!$M$32:$M$41,2,1)</f>
        <v>3.0017505438703221E-3</v>
      </c>
      <c r="E261">
        <v>3.0017505438703139E-3</v>
      </c>
    </row>
    <row r="262" spans="1:5">
      <c r="A262" t="s">
        <v>30</v>
      </c>
      <c r="B262" t="s">
        <v>35</v>
      </c>
      <c r="C262" t="s">
        <v>3</v>
      </c>
      <c r="D262">
        <f>(AVERAGE(per_seed!$D$42:$D$51)-AVERAGE(per_seed!$D$2:$D$11))/AVERAGE(per_seed!$D$2:$D$11)*100</f>
        <v>-0.12676949080922473</v>
      </c>
      <c r="E262">
        <v>-0.1267694908092247</v>
      </c>
    </row>
    <row r="263" spans="1:5">
      <c r="A263" t="s">
        <v>32</v>
      </c>
      <c r="B263" t="s">
        <v>35</v>
      </c>
      <c r="C263" t="s">
        <v>3</v>
      </c>
      <c r="D263">
        <f>_xlfn.T.TEST(per_seed!$D$2:$D$11,per_seed!$D$42:$D$51,2,1)</f>
        <v>0.42391956279677845</v>
      </c>
      <c r="E263">
        <v>0.42391956279682391</v>
      </c>
    </row>
    <row r="264" spans="1:5">
      <c r="A264" t="s">
        <v>30</v>
      </c>
      <c r="B264" t="s">
        <v>35</v>
      </c>
      <c r="C264" t="s">
        <v>4</v>
      </c>
      <c r="D264">
        <f>(AVERAGE(per_seed!$E$42:$E$51)-AVERAGE(per_seed!$E$2:$E$11))/AVERAGE(per_seed!$E$2:$E$11)*100</f>
        <v>0.20082443716308818</v>
      </c>
      <c r="E264">
        <v>0.2008244371630882</v>
      </c>
    </row>
    <row r="265" spans="1:5">
      <c r="A265" t="s">
        <v>32</v>
      </c>
      <c r="B265" t="s">
        <v>35</v>
      </c>
      <c r="C265" t="s">
        <v>4</v>
      </c>
      <c r="D265">
        <f>_xlfn.T.TEST(per_seed!$E$2:$E$11,per_seed!$E$42:$E$51,2,1)</f>
        <v>0.48015813384046058</v>
      </c>
      <c r="E265">
        <v>0.48015813384045608</v>
      </c>
    </row>
    <row r="266" spans="1:5">
      <c r="A266" t="s">
        <v>30</v>
      </c>
      <c r="B266" t="s">
        <v>35</v>
      </c>
      <c r="C266" t="s">
        <v>5</v>
      </c>
      <c r="D266">
        <f>(AVERAGE(per_seed!$F$42:$F$51)-AVERAGE(per_seed!$F$2:$F$11))/AVERAGE(per_seed!$F$2:$F$11)*100</f>
        <v>0</v>
      </c>
      <c r="E266">
        <v>0</v>
      </c>
    </row>
    <row r="267" spans="1:5">
      <c r="A267" t="s">
        <v>32</v>
      </c>
      <c r="B267" t="s">
        <v>35</v>
      </c>
      <c r="C267" t="s">
        <v>5</v>
      </c>
      <c r="D267">
        <f>_xlfn.T.TEST(per_seed!$F$2:$F$11,per_seed!$F$42:$F$51,2,1)</f>
        <v>1</v>
      </c>
      <c r="E267">
        <v>1</v>
      </c>
    </row>
    <row r="268" spans="1:5">
      <c r="A268" t="s">
        <v>30</v>
      </c>
      <c r="B268" t="s">
        <v>35</v>
      </c>
      <c r="C268" t="s">
        <v>6</v>
      </c>
      <c r="D268">
        <f>(AVERAGE(per_seed!$G$42:$G$51)-AVERAGE(per_seed!$G$2:$G$11))/AVERAGE(per_seed!$G$2:$G$11)*100</f>
        <v>1.2019431550091144</v>
      </c>
      <c r="E268">
        <v>1.201943155009114</v>
      </c>
    </row>
    <row r="269" spans="1:5">
      <c r="A269" t="s">
        <v>32</v>
      </c>
      <c r="B269" t="s">
        <v>35</v>
      </c>
      <c r="C269" t="s">
        <v>6</v>
      </c>
      <c r="D269">
        <f>_xlfn.T.TEST(per_seed!$G$2:$G$11,per_seed!$G$42:$G$51,2,1)</f>
        <v>0.44176747580002673</v>
      </c>
      <c r="E269">
        <v>0.44176747580002812</v>
      </c>
    </row>
    <row r="270" spans="1:5">
      <c r="A270" t="s">
        <v>30</v>
      </c>
      <c r="B270" t="s">
        <v>35</v>
      </c>
      <c r="C270" t="s">
        <v>7</v>
      </c>
      <c r="D270">
        <f>(AVERAGE(per_seed!$H$42:$H$51)-AVERAGE(per_seed!$H$2:$H$11))/AVERAGE(per_seed!$H$2:$H$11)*100</f>
        <v>-1.1576135351736394</v>
      </c>
      <c r="E270">
        <v>-1.157613535173639</v>
      </c>
    </row>
    <row r="271" spans="1:5">
      <c r="A271" t="s">
        <v>32</v>
      </c>
      <c r="B271" t="s">
        <v>35</v>
      </c>
      <c r="C271" t="s">
        <v>7</v>
      </c>
      <c r="D271">
        <f>_xlfn.T.TEST(per_seed!$H$2:$H$11,per_seed!$H$42:$H$51,2,1)</f>
        <v>0.41691624024282692</v>
      </c>
      <c r="E271">
        <v>0.41691624024282609</v>
      </c>
    </row>
    <row r="272" spans="1:5">
      <c r="A272" t="s">
        <v>30</v>
      </c>
      <c r="B272" t="s">
        <v>35</v>
      </c>
      <c r="C272" t="s">
        <v>8</v>
      </c>
      <c r="D272">
        <f>(AVERAGE(per_seed!$I$42:$I$51)-AVERAGE(per_seed!$I$2:$I$11))/AVERAGE(per_seed!$I$2:$I$11)*100</f>
        <v>-1.1824704082720321</v>
      </c>
      <c r="E272">
        <v>-1.1824704082720321</v>
      </c>
    </row>
    <row r="273" spans="1:5">
      <c r="A273" t="s">
        <v>32</v>
      </c>
      <c r="B273" t="s">
        <v>35</v>
      </c>
      <c r="C273" t="s">
        <v>8</v>
      </c>
      <c r="D273">
        <f>_xlfn.T.TEST(per_seed!$I$2:$I$11,per_seed!$I$42:$I$51,2,1)</f>
        <v>0.44115712813954056</v>
      </c>
      <c r="E273">
        <v>0.44115712813954422</v>
      </c>
    </row>
    <row r="274" spans="1:5">
      <c r="A274" t="s">
        <v>30</v>
      </c>
      <c r="B274" t="s">
        <v>35</v>
      </c>
      <c r="C274" t="s">
        <v>9</v>
      </c>
      <c r="D274">
        <f>(AVERAGE(per_seed!$J$42:$J$51)-AVERAGE(per_seed!$J$2:$J$11))/AVERAGE(per_seed!$J$2:$J$11)*100</f>
        <v>-1.5080873931322651</v>
      </c>
      <c r="E274">
        <v>-1.5080873931322649</v>
      </c>
    </row>
    <row r="275" spans="1:5">
      <c r="A275" t="s">
        <v>32</v>
      </c>
      <c r="B275" t="s">
        <v>35</v>
      </c>
      <c r="C275" t="s">
        <v>9</v>
      </c>
      <c r="D275">
        <f>_xlfn.T.TEST(per_seed!$J$2:$J$11,per_seed!$J$42:$J$51,2,1)</f>
        <v>0.25619984207228319</v>
      </c>
      <c r="E275">
        <v>0.25619984207228907</v>
      </c>
    </row>
    <row r="276" spans="1:5">
      <c r="A276" t="s">
        <v>30</v>
      </c>
      <c r="B276" t="s">
        <v>35</v>
      </c>
      <c r="C276" t="s">
        <v>10</v>
      </c>
      <c r="D276">
        <f>(AVERAGE(per_seed!$K$42:$K$51)-AVERAGE(per_seed!$K$2:$K$11))/AVERAGE(per_seed!$K$2:$K$11)*100</f>
        <v>-1.4353358980231441</v>
      </c>
      <c r="E276">
        <v>-1.4353358980231441</v>
      </c>
    </row>
    <row r="277" spans="1:5">
      <c r="A277" t="s">
        <v>32</v>
      </c>
      <c r="B277" t="s">
        <v>35</v>
      </c>
      <c r="C277" t="s">
        <v>10</v>
      </c>
      <c r="D277">
        <f>_xlfn.T.TEST(per_seed!$K$2:$K$11,per_seed!$K$42:$K$51,2,1)</f>
        <v>0.28759221294148651</v>
      </c>
      <c r="E277">
        <v>0.28759221294148252</v>
      </c>
    </row>
    <row r="278" spans="1:5">
      <c r="A278" t="s">
        <v>30</v>
      </c>
      <c r="B278" t="s">
        <v>35</v>
      </c>
      <c r="C278" t="s">
        <v>11</v>
      </c>
      <c r="D278">
        <f>(AVERAGE(per_seed!$L$42:$L$51)-AVERAGE(per_seed!$L$2:$L$11))/AVERAGE(per_seed!$L$2:$L$11)*100</f>
        <v>-4.1347691880444444</v>
      </c>
      <c r="E278">
        <v>-4.1347691880444444</v>
      </c>
    </row>
    <row r="279" spans="1:5">
      <c r="A279" t="s">
        <v>32</v>
      </c>
      <c r="B279" t="s">
        <v>35</v>
      </c>
      <c r="C279" t="s">
        <v>11</v>
      </c>
      <c r="D279">
        <f>_xlfn.T.TEST(per_seed!$L$2:$L$11,per_seed!$L$42:$L$51,2,1)</f>
        <v>5.1472282088605534E-2</v>
      </c>
      <c r="E279">
        <v>5.1472282088606387E-2</v>
      </c>
    </row>
    <row r="280" spans="1:5">
      <c r="A280" t="s">
        <v>30</v>
      </c>
      <c r="B280" t="s">
        <v>35</v>
      </c>
      <c r="C280" t="s">
        <v>12</v>
      </c>
      <c r="D280">
        <f>(AVERAGE(per_seed!$M$42:$M$51)-AVERAGE(per_seed!$M$2:$M$11))/AVERAGE(per_seed!$M$2:$M$11)*100</f>
        <v>9.9237451932505376</v>
      </c>
      <c r="E280">
        <v>9.9237451932505714</v>
      </c>
    </row>
    <row r="281" spans="1:5">
      <c r="A281" t="s">
        <v>32</v>
      </c>
      <c r="B281" t="s">
        <v>35</v>
      </c>
      <c r="C281" t="s">
        <v>12</v>
      </c>
      <c r="D281">
        <f>_xlfn.T.TEST(per_seed!$M$2:$M$11,per_seed!$M$42:$M$51,2,1)</f>
        <v>0.33423021840334188</v>
      </c>
      <c r="E281">
        <v>0.33423021840334072</v>
      </c>
    </row>
    <row r="282" spans="1:5">
      <c r="A282" t="s">
        <v>30</v>
      </c>
      <c r="B282" t="s">
        <v>36</v>
      </c>
      <c r="C282" t="s">
        <v>3</v>
      </c>
      <c r="D282">
        <f>(AVERAGE(per_seed!$D$62:$D$71)-AVERAGE(per_seed!$D$52:$D$61))/AVERAGE(per_seed!$D$52:$D$61)*100</f>
        <v>0.11198992090711199</v>
      </c>
      <c r="E282">
        <v>0.111989920907112</v>
      </c>
    </row>
    <row r="283" spans="1:5">
      <c r="A283" t="s">
        <v>32</v>
      </c>
      <c r="B283" t="s">
        <v>36</v>
      </c>
      <c r="C283" t="s">
        <v>3</v>
      </c>
      <c r="D283">
        <f>_xlfn.T.TEST(per_seed!$D$52:$D$61,per_seed!$D$62:$D$71,2,1)</f>
        <v>7.8267431794356065E-2</v>
      </c>
      <c r="E283">
        <v>7.8267431794341744E-2</v>
      </c>
    </row>
    <row r="284" spans="1:5">
      <c r="A284" t="s">
        <v>30</v>
      </c>
      <c r="B284" t="s">
        <v>36</v>
      </c>
      <c r="C284" t="s">
        <v>4</v>
      </c>
      <c r="D284">
        <f>(AVERAGE(per_seed!$E$62:$E$71)-AVERAGE(per_seed!$E$52:$E$61))/AVERAGE(per_seed!$E$52:$E$61)*100</f>
        <v>-1.890359168241966</v>
      </c>
      <c r="E284">
        <v>-1.890359168241966</v>
      </c>
    </row>
    <row r="285" spans="1:5">
      <c r="A285" t="s">
        <v>32</v>
      </c>
      <c r="B285" t="s">
        <v>36</v>
      </c>
      <c r="C285" t="s">
        <v>4</v>
      </c>
      <c r="D285">
        <f>_xlfn.T.TEST(per_seed!$E$52:$E$61,per_seed!$E$62:$E$71,2,1)</f>
        <v>2.3803649118560538E-5</v>
      </c>
      <c r="E285">
        <v>2.3803649118560599E-5</v>
      </c>
    </row>
    <row r="286" spans="1:5">
      <c r="A286" t="s">
        <v>30</v>
      </c>
      <c r="B286" t="s">
        <v>36</v>
      </c>
      <c r="C286" t="s">
        <v>5</v>
      </c>
      <c r="D286">
        <f>(AVERAGE(per_seed!$F$62:$F$71)-AVERAGE(per_seed!$F$52:$F$61))/AVERAGE(per_seed!$F$52:$F$61)*100</f>
        <v>-2.551781275890634</v>
      </c>
      <c r="E286">
        <v>-2.551781275890634</v>
      </c>
    </row>
    <row r="287" spans="1:5">
      <c r="A287" t="s">
        <v>32</v>
      </c>
      <c r="B287" t="s">
        <v>36</v>
      </c>
      <c r="C287" t="s">
        <v>5</v>
      </c>
      <c r="D287">
        <f>_xlfn.T.TEST(per_seed!$F$52:$F$61,per_seed!$F$62:$F$71,2,1)</f>
        <v>4.5514510613291404E-4</v>
      </c>
      <c r="E287">
        <v>4.5514510613290878E-4</v>
      </c>
    </row>
    <row r="288" spans="1:5">
      <c r="A288" t="s">
        <v>30</v>
      </c>
      <c r="B288" t="s">
        <v>36</v>
      </c>
      <c r="C288" t="s">
        <v>6</v>
      </c>
      <c r="D288">
        <f>(AVERAGE(per_seed!$G$62:$G$71)-AVERAGE(per_seed!$G$52:$G$61))/AVERAGE(per_seed!$G$52:$G$61)*100</f>
        <v>-0.72131137234065268</v>
      </c>
      <c r="E288">
        <v>-0.72131137234063536</v>
      </c>
    </row>
    <row r="289" spans="1:5">
      <c r="A289" t="s">
        <v>32</v>
      </c>
      <c r="B289" t="s">
        <v>36</v>
      </c>
      <c r="C289" t="s">
        <v>6</v>
      </c>
      <c r="D289">
        <f>_xlfn.T.TEST(per_seed!$G$52:$G$61,per_seed!$G$62:$G$71,2,1)</f>
        <v>0.39287839128321267</v>
      </c>
      <c r="E289">
        <v>0.39287839128322138</v>
      </c>
    </row>
    <row r="290" spans="1:5">
      <c r="A290" t="s">
        <v>30</v>
      </c>
      <c r="B290" t="s">
        <v>36</v>
      </c>
      <c r="C290" t="s">
        <v>7</v>
      </c>
      <c r="D290">
        <f>(AVERAGE(per_seed!$H$62:$H$71)-AVERAGE(per_seed!$H$52:$H$61))/AVERAGE(per_seed!$H$52:$H$61)*100</f>
        <v>-1.8644067796610195</v>
      </c>
      <c r="E290">
        <v>-1.86440677966102</v>
      </c>
    </row>
    <row r="291" spans="1:5">
      <c r="A291" t="s">
        <v>32</v>
      </c>
      <c r="B291" t="s">
        <v>36</v>
      </c>
      <c r="C291" t="s">
        <v>7</v>
      </c>
      <c r="D291">
        <f>_xlfn.T.TEST(per_seed!$H$52:$H$61,per_seed!$H$62:$H$71,2,1)</f>
        <v>5.0519413126134081E-2</v>
      </c>
      <c r="E291">
        <v>5.0519413126134227E-2</v>
      </c>
    </row>
    <row r="292" spans="1:5">
      <c r="A292" t="s">
        <v>30</v>
      </c>
      <c r="B292" t="s">
        <v>36</v>
      </c>
      <c r="C292" t="s">
        <v>8</v>
      </c>
      <c r="D292">
        <f>(AVERAGE(per_seed!$I$62:$I$71)-AVERAGE(per_seed!$I$52:$I$61))/AVERAGE(per_seed!$I$52:$I$61)*100</f>
        <v>0.7127448869702222</v>
      </c>
      <c r="E292">
        <v>0.7127448869702222</v>
      </c>
    </row>
    <row r="293" spans="1:5">
      <c r="A293" t="s">
        <v>32</v>
      </c>
      <c r="B293" t="s">
        <v>36</v>
      </c>
      <c r="C293" t="s">
        <v>8</v>
      </c>
      <c r="D293">
        <f>_xlfn.T.TEST(per_seed!$I$52:$I$61,per_seed!$I$62:$I$71,2,1)</f>
        <v>0.40246524819358875</v>
      </c>
      <c r="E293">
        <v>0.40246524819359641</v>
      </c>
    </row>
    <row r="294" spans="1:5">
      <c r="A294" t="s">
        <v>30</v>
      </c>
      <c r="B294" t="s">
        <v>36</v>
      </c>
      <c r="C294" t="s">
        <v>9</v>
      </c>
      <c r="D294">
        <f>(AVERAGE(per_seed!$J$62:$J$71)-AVERAGE(per_seed!$J$52:$J$61))/AVERAGE(per_seed!$J$52:$J$61)*100</f>
        <v>-1.6025364549148848</v>
      </c>
      <c r="E294">
        <v>-1.6025364549149019</v>
      </c>
    </row>
    <row r="295" spans="1:5">
      <c r="A295" t="s">
        <v>32</v>
      </c>
      <c r="B295" t="s">
        <v>36</v>
      </c>
      <c r="C295" t="s">
        <v>9</v>
      </c>
      <c r="D295">
        <f>_xlfn.T.TEST(per_seed!$J$52:$J$61,per_seed!$J$62:$J$71,2,1)</f>
        <v>8.5509447032825106E-2</v>
      </c>
      <c r="E295">
        <v>8.5509447032824704E-2</v>
      </c>
    </row>
    <row r="296" spans="1:5">
      <c r="A296" t="s">
        <v>30</v>
      </c>
      <c r="B296" t="s">
        <v>36</v>
      </c>
      <c r="C296" t="s">
        <v>10</v>
      </c>
      <c r="D296">
        <f>(AVERAGE(per_seed!$K$62:$K$71)-AVERAGE(per_seed!$K$52:$K$61))/AVERAGE(per_seed!$K$52:$K$61)*100</f>
        <v>-0.38956546603459757</v>
      </c>
      <c r="E296">
        <v>-0.38956546603459757</v>
      </c>
    </row>
    <row r="297" spans="1:5">
      <c r="A297" t="s">
        <v>32</v>
      </c>
      <c r="B297" t="s">
        <v>36</v>
      </c>
      <c r="C297" t="s">
        <v>10</v>
      </c>
      <c r="D297">
        <f>_xlfn.T.TEST(per_seed!$K$52:$K$61,per_seed!$K$62:$K$71,2,1)</f>
        <v>0.64736458672779329</v>
      </c>
      <c r="E297">
        <v>0.64736458672779196</v>
      </c>
    </row>
    <row r="298" spans="1:5">
      <c r="A298" t="s">
        <v>30</v>
      </c>
      <c r="B298" t="s">
        <v>36</v>
      </c>
      <c r="C298" t="s">
        <v>11</v>
      </c>
      <c r="D298">
        <f>(AVERAGE(per_seed!$L$62:$L$71)-AVERAGE(per_seed!$L$52:$L$61))/AVERAGE(per_seed!$L$52:$L$61)*100</f>
        <v>21.248519040666615</v>
      </c>
      <c r="E298">
        <v>21.248519040666611</v>
      </c>
    </row>
    <row r="299" spans="1:5">
      <c r="A299" t="s">
        <v>32</v>
      </c>
      <c r="B299" t="s">
        <v>36</v>
      </c>
      <c r="C299" t="s">
        <v>11</v>
      </c>
      <c r="D299">
        <f>_xlfn.T.TEST(per_seed!$L$52:$L$61,per_seed!$L$62:$L$71,2,1)</f>
        <v>6.5212347226530757E-5</v>
      </c>
      <c r="E299">
        <v>6.5212347226530879E-5</v>
      </c>
    </row>
    <row r="300" spans="1:5">
      <c r="A300" t="s">
        <v>30</v>
      </c>
      <c r="B300" t="s">
        <v>36</v>
      </c>
      <c r="C300" t="s">
        <v>12</v>
      </c>
      <c r="D300">
        <f>(AVERAGE(per_seed!$M$62:$M$71)-AVERAGE(per_seed!$M$52:$M$61))/AVERAGE(per_seed!$M$52:$M$61)*100</f>
        <v>-14.073432876471315</v>
      </c>
      <c r="E300">
        <v>-14.073432876471321</v>
      </c>
    </row>
    <row r="301" spans="1:5">
      <c r="A301" t="s">
        <v>32</v>
      </c>
      <c r="B301" t="s">
        <v>36</v>
      </c>
      <c r="C301" t="s">
        <v>12</v>
      </c>
      <c r="D301">
        <f>_xlfn.T.TEST(per_seed!$M$52:$M$61,per_seed!$M$62:$M$71,2,1)</f>
        <v>3.7121234279818283E-2</v>
      </c>
      <c r="E301">
        <v>3.7121234279818019E-2</v>
      </c>
    </row>
    <row r="302" spans="1:5">
      <c r="A302" t="s">
        <v>30</v>
      </c>
      <c r="B302" t="s">
        <v>37</v>
      </c>
      <c r="C302" t="s">
        <v>3</v>
      </c>
      <c r="D302">
        <f>(AVERAGE(per_seed!$D$72:$D$81)-AVERAGE(per_seed!$D$52:$D$61))/AVERAGE(per_seed!$D$52:$D$61)*100</f>
        <v>-8.6232239098481163</v>
      </c>
      <c r="E302">
        <v>-8.6232239098481163</v>
      </c>
    </row>
    <row r="303" spans="1:5">
      <c r="A303" t="s">
        <v>32</v>
      </c>
      <c r="B303" t="s">
        <v>37</v>
      </c>
      <c r="C303" t="s">
        <v>3</v>
      </c>
      <c r="D303">
        <f>_xlfn.T.TEST(per_seed!$D$52:$D$61,per_seed!$D$72:$D$81,2,1)</f>
        <v>1.5386745889954832E-8</v>
      </c>
      <c r="E303">
        <v>1.5386745889954848E-8</v>
      </c>
    </row>
    <row r="304" spans="1:5">
      <c r="A304" t="s">
        <v>30</v>
      </c>
      <c r="B304" t="s">
        <v>37</v>
      </c>
      <c r="C304" t="s">
        <v>4</v>
      </c>
      <c r="D304">
        <f>(AVERAGE(per_seed!$E$72:$E$81)-AVERAGE(per_seed!$E$52:$E$61))/AVERAGE(per_seed!$E$52:$E$61)*100</f>
        <v>-8.3910943079185127</v>
      </c>
      <c r="E304">
        <v>-8.3910943079185127</v>
      </c>
    </row>
    <row r="305" spans="1:5">
      <c r="A305" t="s">
        <v>32</v>
      </c>
      <c r="B305" t="s">
        <v>37</v>
      </c>
      <c r="C305" t="s">
        <v>4</v>
      </c>
      <c r="D305">
        <f>_xlfn.T.TEST(per_seed!$E$52:$E$61,per_seed!$E$72:$E$81,2,1)</f>
        <v>4.4902315329056188E-7</v>
      </c>
      <c r="E305">
        <v>4.4902315329056712E-7</v>
      </c>
    </row>
    <row r="306" spans="1:5">
      <c r="A306" t="s">
        <v>30</v>
      </c>
      <c r="B306" t="s">
        <v>37</v>
      </c>
      <c r="C306" t="s">
        <v>5</v>
      </c>
      <c r="D306">
        <f>(AVERAGE(per_seed!$F$72:$F$81)-AVERAGE(per_seed!$F$52:$F$61))/AVERAGE(per_seed!$F$52:$F$61)*100</f>
        <v>-6.2634631317315588</v>
      </c>
      <c r="E306">
        <v>-6.2634631317315588</v>
      </c>
    </row>
    <row r="307" spans="1:5">
      <c r="A307" t="s">
        <v>32</v>
      </c>
      <c r="B307" t="s">
        <v>37</v>
      </c>
      <c r="C307" t="s">
        <v>5</v>
      </c>
      <c r="D307">
        <f>_xlfn.T.TEST(per_seed!$F$52:$F$61,per_seed!$F$72:$F$81,2,1)</f>
        <v>1.1909409188123269E-6</v>
      </c>
      <c r="E307">
        <v>1.1909409188123151E-6</v>
      </c>
    </row>
    <row r="308" spans="1:5">
      <c r="A308" t="s">
        <v>30</v>
      </c>
      <c r="B308" t="s">
        <v>37</v>
      </c>
      <c r="C308" t="s">
        <v>6</v>
      </c>
      <c r="D308">
        <f>(AVERAGE(per_seed!$G$72:$G$81)-AVERAGE(per_seed!$G$52:$G$61))/AVERAGE(per_seed!$G$52:$G$61)*100</f>
        <v>-6.3175559209371999</v>
      </c>
      <c r="E308">
        <v>-6.317555920937183</v>
      </c>
    </row>
    <row r="309" spans="1:5">
      <c r="A309" t="s">
        <v>32</v>
      </c>
      <c r="B309" t="s">
        <v>37</v>
      </c>
      <c r="C309" t="s">
        <v>6</v>
      </c>
      <c r="D309">
        <f>_xlfn.T.TEST(per_seed!$G$52:$G$61,per_seed!$G$72:$G$81,2,1)</f>
        <v>9.808101270079746E-4</v>
      </c>
      <c r="E309">
        <v>9.8081012700798869E-4</v>
      </c>
    </row>
    <row r="310" spans="1:5">
      <c r="A310" t="s">
        <v>30</v>
      </c>
      <c r="B310" t="s">
        <v>37</v>
      </c>
      <c r="C310" t="s">
        <v>7</v>
      </c>
      <c r="D310">
        <f>(AVERAGE(per_seed!$H$72:$H$81)-AVERAGE(per_seed!$H$52:$H$61))/AVERAGE(per_seed!$H$52:$H$61)*100</f>
        <v>8.4745762711859587E-2</v>
      </c>
      <c r="E310">
        <v>8.4745762711859587E-2</v>
      </c>
    </row>
    <row r="311" spans="1:5">
      <c r="A311" t="s">
        <v>32</v>
      </c>
      <c r="B311" t="s">
        <v>37</v>
      </c>
      <c r="C311" t="s">
        <v>7</v>
      </c>
      <c r="D311">
        <f>_xlfn.T.TEST(per_seed!$H$52:$H$61,per_seed!$H$72:$H$81,2,1)</f>
        <v>0.95158312740470885</v>
      </c>
      <c r="E311">
        <v>0.95158312740470996</v>
      </c>
    </row>
    <row r="312" spans="1:5">
      <c r="A312" t="s">
        <v>30</v>
      </c>
      <c r="B312" t="s">
        <v>37</v>
      </c>
      <c r="C312" t="s">
        <v>8</v>
      </c>
      <c r="D312">
        <f>(AVERAGE(per_seed!$I$72:$I$81)-AVERAGE(per_seed!$I$52:$I$61))/AVERAGE(per_seed!$I$52:$I$61)*100</f>
        <v>6.7507488828760618</v>
      </c>
      <c r="E312">
        <v>6.7507488828760618</v>
      </c>
    </row>
    <row r="313" spans="1:5">
      <c r="A313" t="s">
        <v>32</v>
      </c>
      <c r="B313" t="s">
        <v>37</v>
      </c>
      <c r="C313" t="s">
        <v>8</v>
      </c>
      <c r="D313">
        <f>_xlfn.T.TEST(per_seed!$I$52:$I$61,per_seed!$I$72:$I$81,2,1)</f>
        <v>1.178274831380592E-3</v>
      </c>
      <c r="E313">
        <v>1.178274831380616E-3</v>
      </c>
    </row>
    <row r="314" spans="1:5">
      <c r="A314" t="s">
        <v>30</v>
      </c>
      <c r="B314" t="s">
        <v>37</v>
      </c>
      <c r="C314" t="s">
        <v>9</v>
      </c>
      <c r="D314">
        <f>(AVERAGE(per_seed!$J$72:$J$81)-AVERAGE(per_seed!$J$52:$J$61))/AVERAGE(per_seed!$J$52:$J$61)*100</f>
        <v>1.1412437032051277</v>
      </c>
      <c r="E314">
        <v>1.1412437032050931</v>
      </c>
    </row>
    <row r="315" spans="1:5">
      <c r="A315" t="s">
        <v>32</v>
      </c>
      <c r="B315" t="s">
        <v>37</v>
      </c>
      <c r="C315" t="s">
        <v>9</v>
      </c>
      <c r="D315">
        <f>_xlfn.T.TEST(per_seed!$J$52:$J$61,per_seed!$J$72:$J$81,2,1)</f>
        <v>0.34277016817086969</v>
      </c>
      <c r="E315">
        <v>0.34277016817087652</v>
      </c>
    </row>
    <row r="316" spans="1:5">
      <c r="A316" t="s">
        <v>30</v>
      </c>
      <c r="B316" t="s">
        <v>37</v>
      </c>
      <c r="C316" t="s">
        <v>10</v>
      </c>
      <c r="D316">
        <f>(AVERAGE(per_seed!$K$72:$K$81)-AVERAGE(per_seed!$K$52:$K$61))/AVERAGE(per_seed!$K$52:$K$61)*100</f>
        <v>-0.83240383758911451</v>
      </c>
      <c r="E316">
        <v>-0.83240383758911451</v>
      </c>
    </row>
    <row r="317" spans="1:5">
      <c r="A317" t="s">
        <v>32</v>
      </c>
      <c r="B317" t="s">
        <v>37</v>
      </c>
      <c r="C317" t="s">
        <v>10</v>
      </c>
      <c r="D317">
        <f>_xlfn.T.TEST(per_seed!$K$52:$K$61,per_seed!$K$72:$K$81,2,1)</f>
        <v>0.49179684340637231</v>
      </c>
      <c r="E317">
        <v>0.49179684340637048</v>
      </c>
    </row>
    <row r="318" spans="1:5">
      <c r="A318" t="s">
        <v>30</v>
      </c>
      <c r="B318" t="s">
        <v>37</v>
      </c>
      <c r="C318" t="s">
        <v>11</v>
      </c>
      <c r="D318">
        <f>(AVERAGE(per_seed!$L$72:$L$81)-AVERAGE(per_seed!$L$52:$L$61))/AVERAGE(per_seed!$L$52:$L$61)*100</f>
        <v>1.1368124115380152</v>
      </c>
      <c r="E318">
        <v>1.1368124115380149</v>
      </c>
    </row>
    <row r="319" spans="1:5">
      <c r="A319" t="s">
        <v>32</v>
      </c>
      <c r="B319" t="s">
        <v>37</v>
      </c>
      <c r="C319" t="s">
        <v>11</v>
      </c>
      <c r="D319">
        <f>_xlfn.T.TEST(per_seed!$L$52:$L$61,per_seed!$L$72:$L$81,2,1)</f>
        <v>0.65130678843989587</v>
      </c>
      <c r="E319">
        <v>0.65130678843989875</v>
      </c>
    </row>
    <row r="320" spans="1:5">
      <c r="A320" t="s">
        <v>30</v>
      </c>
      <c r="B320" t="s">
        <v>37</v>
      </c>
      <c r="C320" t="s">
        <v>12</v>
      </c>
      <c r="D320">
        <f>(AVERAGE(per_seed!$M$72:$M$81)-AVERAGE(per_seed!$M$52:$M$61))/AVERAGE(per_seed!$M$52:$M$61)*100</f>
        <v>998.47074930350198</v>
      </c>
      <c r="E320">
        <v>998.47074930350198</v>
      </c>
    </row>
    <row r="321" spans="1:5">
      <c r="A321" t="s">
        <v>32</v>
      </c>
      <c r="B321" t="s">
        <v>37</v>
      </c>
      <c r="C321" t="s">
        <v>12</v>
      </c>
      <c r="D321">
        <f>_xlfn.T.TEST(per_seed!$M$52:$M$61,per_seed!$M$72:$M$81,2,1)</f>
        <v>1.4029702095038959E-8</v>
      </c>
      <c r="E321">
        <v>1.402970209503892E-8</v>
      </c>
    </row>
    <row r="322" spans="1:5">
      <c r="A322" t="s">
        <v>30</v>
      </c>
      <c r="B322" t="s">
        <v>38</v>
      </c>
      <c r="C322" t="s">
        <v>3</v>
      </c>
      <c r="D322">
        <f>(AVERAGE(per_seed!$D$82:$D$91)-AVERAGE(per_seed!$D$52:$D$61))/AVERAGE(per_seed!$D$52:$D$61)*100</f>
        <v>-0.39896409323161236</v>
      </c>
      <c r="E322">
        <v>-0.39896409323161242</v>
      </c>
    </row>
    <row r="323" spans="1:5">
      <c r="A323" t="s">
        <v>32</v>
      </c>
      <c r="B323" t="s">
        <v>38</v>
      </c>
      <c r="C323" t="s">
        <v>3</v>
      </c>
      <c r="D323">
        <f>_xlfn.T.TEST(per_seed!$D$52:$D$61,per_seed!$D$82:$D$91,2,1)</f>
        <v>2.876489859207743E-3</v>
      </c>
      <c r="E323">
        <v>2.8764898592078831E-3</v>
      </c>
    </row>
    <row r="324" spans="1:5">
      <c r="A324" t="s">
        <v>30</v>
      </c>
      <c r="B324" t="s">
        <v>38</v>
      </c>
      <c r="C324" t="s">
        <v>4</v>
      </c>
      <c r="D324">
        <f>(AVERAGE(per_seed!$E$82:$E$91)-AVERAGE(per_seed!$E$52:$E$61))/AVERAGE(per_seed!$E$52:$E$61)*100</f>
        <v>-0.39907582440664435</v>
      </c>
      <c r="E324">
        <v>-0.39907582440664441</v>
      </c>
    </row>
    <row r="325" spans="1:5">
      <c r="A325" t="s">
        <v>32</v>
      </c>
      <c r="B325" t="s">
        <v>38</v>
      </c>
      <c r="C325" t="s">
        <v>4</v>
      </c>
      <c r="D325">
        <f>_xlfn.T.TEST(per_seed!$E$52:$E$61,per_seed!$E$82:$E$91,2,1)</f>
        <v>0.34762910233458533</v>
      </c>
      <c r="E325">
        <v>0.34762910233459382</v>
      </c>
    </row>
    <row r="326" spans="1:5">
      <c r="A326" t="s">
        <v>30</v>
      </c>
      <c r="B326" t="s">
        <v>38</v>
      </c>
      <c r="C326" t="s">
        <v>5</v>
      </c>
      <c r="D326">
        <f>(AVERAGE(per_seed!$F$82:$F$91)-AVERAGE(per_seed!$F$52:$F$61))/AVERAGE(per_seed!$F$52:$F$61)*100</f>
        <v>-0.33140016570008285</v>
      </c>
      <c r="E326">
        <v>-0.33140016570008279</v>
      </c>
    </row>
    <row r="327" spans="1:5">
      <c r="A327" t="s">
        <v>32</v>
      </c>
      <c r="B327" t="s">
        <v>38</v>
      </c>
      <c r="C327" t="s">
        <v>5</v>
      </c>
      <c r="D327">
        <f>_xlfn.T.TEST(per_seed!$F$52:$F$61,per_seed!$F$82:$F$91,2,1)</f>
        <v>0.3743095230364929</v>
      </c>
      <c r="E327">
        <v>0.3743095230364929</v>
      </c>
    </row>
    <row r="328" spans="1:5">
      <c r="A328" t="s">
        <v>30</v>
      </c>
      <c r="B328" t="s">
        <v>38</v>
      </c>
      <c r="C328" t="s">
        <v>6</v>
      </c>
      <c r="D328">
        <f>(AVERAGE(per_seed!$G$82:$G$91)-AVERAGE(per_seed!$G$52:$G$61))/AVERAGE(per_seed!$G$52:$G$61)*100</f>
        <v>-1.0295252910597337</v>
      </c>
      <c r="E328">
        <v>-1.0295252910597339</v>
      </c>
    </row>
    <row r="329" spans="1:5">
      <c r="A329" t="s">
        <v>32</v>
      </c>
      <c r="B329" t="s">
        <v>38</v>
      </c>
      <c r="C329" t="s">
        <v>6</v>
      </c>
      <c r="D329">
        <f>_xlfn.T.TEST(per_seed!$G$52:$G$61,per_seed!$G$82:$G$91,2,1)</f>
        <v>0.3821879332115713</v>
      </c>
      <c r="E329">
        <v>0.38218793321158551</v>
      </c>
    </row>
    <row r="330" spans="1:5">
      <c r="A330" t="s">
        <v>30</v>
      </c>
      <c r="B330" t="s">
        <v>38</v>
      </c>
      <c r="C330" t="s">
        <v>7</v>
      </c>
      <c r="D330">
        <f>(AVERAGE(per_seed!$H$82:$H$91)-AVERAGE(per_seed!$H$52:$H$61))/AVERAGE(per_seed!$H$52:$H$61)*100</f>
        <v>0.76271186440678451</v>
      </c>
      <c r="E330">
        <v>0.76271186440678451</v>
      </c>
    </row>
    <row r="331" spans="1:5">
      <c r="A331" t="s">
        <v>32</v>
      </c>
      <c r="B331" t="s">
        <v>38</v>
      </c>
      <c r="C331" t="s">
        <v>7</v>
      </c>
      <c r="D331">
        <f>_xlfn.T.TEST(per_seed!$H$52:$H$61,per_seed!$H$82:$H$91,2,1)</f>
        <v>0.5692318571600441</v>
      </c>
      <c r="E331">
        <v>0.56923185716004654</v>
      </c>
    </row>
    <row r="332" spans="1:5">
      <c r="A332" t="s">
        <v>30</v>
      </c>
      <c r="B332" t="s">
        <v>38</v>
      </c>
      <c r="C332" t="s">
        <v>8</v>
      </c>
      <c r="D332">
        <f>(AVERAGE(per_seed!$I$82:$I$91)-AVERAGE(per_seed!$I$52:$I$61))/AVERAGE(per_seed!$I$52:$I$61)*100</f>
        <v>1.11189282373572</v>
      </c>
      <c r="E332">
        <v>1.11189282373572</v>
      </c>
    </row>
    <row r="333" spans="1:5">
      <c r="A333" t="s">
        <v>32</v>
      </c>
      <c r="B333" t="s">
        <v>38</v>
      </c>
      <c r="C333" t="s">
        <v>8</v>
      </c>
      <c r="D333">
        <f>_xlfn.T.TEST(per_seed!$I$52:$I$61,per_seed!$I$82:$I$91,2,1)</f>
        <v>0.35064570810450879</v>
      </c>
      <c r="E333">
        <v>0.35064570810451118</v>
      </c>
    </row>
    <row r="334" spans="1:5">
      <c r="A334" t="s">
        <v>30</v>
      </c>
      <c r="B334" t="s">
        <v>38</v>
      </c>
      <c r="C334" t="s">
        <v>9</v>
      </c>
      <c r="D334">
        <f>(AVERAGE(per_seed!$J$82:$J$91)-AVERAGE(per_seed!$J$52:$J$61))/AVERAGE(per_seed!$J$52:$J$61)*100</f>
        <v>-1.0742847694600242</v>
      </c>
      <c r="E334">
        <v>-1.074284769460041</v>
      </c>
    </row>
    <row r="335" spans="1:5">
      <c r="A335" t="s">
        <v>32</v>
      </c>
      <c r="B335" t="s">
        <v>38</v>
      </c>
      <c r="C335" t="s">
        <v>9</v>
      </c>
      <c r="D335">
        <f>_xlfn.T.TEST(per_seed!$J$52:$J$61,per_seed!$J$82:$J$91,2,1)</f>
        <v>0.17015102901646348</v>
      </c>
      <c r="E335">
        <v>0.1701510290164589</v>
      </c>
    </row>
    <row r="336" spans="1:5">
      <c r="A336" t="s">
        <v>30</v>
      </c>
      <c r="B336" t="s">
        <v>38</v>
      </c>
      <c r="C336" t="s">
        <v>10</v>
      </c>
      <c r="D336">
        <f>(AVERAGE(per_seed!$K$82:$K$91)-AVERAGE(per_seed!$K$52:$K$61))/AVERAGE(per_seed!$K$52:$K$61)*100</f>
        <v>-0.63319664073252246</v>
      </c>
      <c r="E336">
        <v>-0.63319664073253923</v>
      </c>
    </row>
    <row r="337" spans="1:5">
      <c r="A337" t="s">
        <v>32</v>
      </c>
      <c r="B337" t="s">
        <v>38</v>
      </c>
      <c r="C337" t="s">
        <v>10</v>
      </c>
      <c r="D337">
        <f>_xlfn.T.TEST(per_seed!$K$52:$K$61,per_seed!$K$82:$K$91,2,1)</f>
        <v>0.46385322680087215</v>
      </c>
      <c r="E337">
        <v>0.4638532268008676</v>
      </c>
    </row>
    <row r="338" spans="1:5">
      <c r="A338" t="s">
        <v>30</v>
      </c>
      <c r="B338" t="s">
        <v>38</v>
      </c>
      <c r="C338" t="s">
        <v>11</v>
      </c>
      <c r="D338">
        <f>(AVERAGE(per_seed!$L$82:$L$91)-AVERAGE(per_seed!$L$52:$L$61))/AVERAGE(per_seed!$L$52:$L$61)*100</f>
        <v>0.52242595184953422</v>
      </c>
      <c r="E338">
        <v>0.52242595184953422</v>
      </c>
    </row>
    <row r="339" spans="1:5">
      <c r="A339" t="s">
        <v>32</v>
      </c>
      <c r="B339" t="s">
        <v>38</v>
      </c>
      <c r="C339" t="s">
        <v>11</v>
      </c>
      <c r="D339">
        <f>_xlfn.T.TEST(per_seed!$L$52:$L$61,per_seed!$L$82:$L$91,2,1)</f>
        <v>0.83736484012046541</v>
      </c>
      <c r="E339">
        <v>0.8373648401204643</v>
      </c>
    </row>
    <row r="340" spans="1:5">
      <c r="A340" t="s">
        <v>30</v>
      </c>
      <c r="B340" t="s">
        <v>38</v>
      </c>
      <c r="C340" t="s">
        <v>12</v>
      </c>
      <c r="D340">
        <f>(AVERAGE(per_seed!$M$82:$M$91)-AVERAGE(per_seed!$M$52:$M$61))/AVERAGE(per_seed!$M$52:$M$61)*100</f>
        <v>44.701724005002461</v>
      </c>
      <c r="E340">
        <v>44.701724005002511</v>
      </c>
    </row>
    <row r="341" spans="1:5">
      <c r="A341" t="s">
        <v>32</v>
      </c>
      <c r="B341" t="s">
        <v>38</v>
      </c>
      <c r="C341" t="s">
        <v>12</v>
      </c>
      <c r="D341">
        <f>_xlfn.T.TEST(per_seed!$M$52:$M$61,per_seed!$M$82:$M$91,2,1)</f>
        <v>2.128981835994229E-3</v>
      </c>
      <c r="E341">
        <v>2.128981835994222E-3</v>
      </c>
    </row>
    <row r="342" spans="1:5">
      <c r="A342" t="s">
        <v>30</v>
      </c>
      <c r="B342" t="s">
        <v>39</v>
      </c>
      <c r="C342" t="s">
        <v>3</v>
      </c>
      <c r="D342">
        <f>(AVERAGE(per_seed!$D$92:$D$101)-AVERAGE(per_seed!$D$52:$D$61))/AVERAGE(per_seed!$D$52:$D$61)*100</f>
        <v>2.7997480226770042E-2</v>
      </c>
      <c r="E342">
        <v>2.7997480226770038E-2</v>
      </c>
    </row>
    <row r="343" spans="1:5">
      <c r="A343" t="s">
        <v>32</v>
      </c>
      <c r="B343" t="s">
        <v>39</v>
      </c>
      <c r="C343" t="s">
        <v>3</v>
      </c>
      <c r="D343">
        <f>_xlfn.T.TEST(per_seed!$D$52:$D$61,per_seed!$D$92:$D$101,2,1)</f>
        <v>0.69592527543716431</v>
      </c>
      <c r="E343">
        <v>0.69592527543706695</v>
      </c>
    </row>
    <row r="344" spans="1:5">
      <c r="A344" t="s">
        <v>30</v>
      </c>
      <c r="B344" t="s">
        <v>39</v>
      </c>
      <c r="C344" t="s">
        <v>4</v>
      </c>
      <c r="D344">
        <f>(AVERAGE(per_seed!$E$92:$E$101)-AVERAGE(per_seed!$E$52:$E$61))/AVERAGE(per_seed!$E$52:$E$61)*100</f>
        <v>2.1003990758236901E-2</v>
      </c>
      <c r="E344">
        <v>2.1003990758236901E-2</v>
      </c>
    </row>
    <row r="345" spans="1:5">
      <c r="A345" t="s">
        <v>32</v>
      </c>
      <c r="B345" t="s">
        <v>39</v>
      </c>
      <c r="C345" t="s">
        <v>4</v>
      </c>
      <c r="D345">
        <f>_xlfn.T.TEST(per_seed!$E$52:$E$61,per_seed!$E$92:$E$101,2,1)</f>
        <v>0.94560992520865317</v>
      </c>
      <c r="E345">
        <v>0.94560992520863996</v>
      </c>
    </row>
    <row r="346" spans="1:5">
      <c r="A346" t="s">
        <v>30</v>
      </c>
      <c r="B346" t="s">
        <v>39</v>
      </c>
      <c r="C346" t="s">
        <v>5</v>
      </c>
      <c r="D346">
        <f>(AVERAGE(per_seed!$F$92:$F$101)-AVERAGE(per_seed!$F$52:$F$61))/AVERAGE(per_seed!$F$52:$F$61)*100</f>
        <v>8.2850041425020712E-2</v>
      </c>
      <c r="E346">
        <v>8.2850041425020712E-2</v>
      </c>
    </row>
    <row r="347" spans="1:5">
      <c r="A347" t="s">
        <v>32</v>
      </c>
      <c r="B347" t="s">
        <v>39</v>
      </c>
      <c r="C347" t="s">
        <v>5</v>
      </c>
      <c r="D347">
        <f>_xlfn.T.TEST(per_seed!$F$52:$F$61,per_seed!$F$92:$F$101,2,1)</f>
        <v>0.75981102439223214</v>
      </c>
      <c r="E347">
        <v>0.75981102439223314</v>
      </c>
    </row>
    <row r="348" spans="1:5">
      <c r="A348" t="s">
        <v>30</v>
      </c>
      <c r="B348" t="s">
        <v>39</v>
      </c>
      <c r="C348" t="s">
        <v>6</v>
      </c>
      <c r="D348">
        <f>(AVERAGE(per_seed!$G$92:$G$101)-AVERAGE(per_seed!$G$52:$G$61))/AVERAGE(per_seed!$G$52:$G$61)*100</f>
        <v>-0.26830617878332874</v>
      </c>
      <c r="E348">
        <v>-0.26830617878331142</v>
      </c>
    </row>
    <row r="349" spans="1:5">
      <c r="A349" t="s">
        <v>32</v>
      </c>
      <c r="B349" t="s">
        <v>39</v>
      </c>
      <c r="C349" t="s">
        <v>6</v>
      </c>
      <c r="D349">
        <f>_xlfn.T.TEST(per_seed!$G$52:$G$61,per_seed!$G$92:$G$101,2,1)</f>
        <v>0.84108534415106295</v>
      </c>
      <c r="E349">
        <v>0.84108534415107972</v>
      </c>
    </row>
    <row r="350" spans="1:5">
      <c r="A350" t="s">
        <v>30</v>
      </c>
      <c r="B350" t="s">
        <v>39</v>
      </c>
      <c r="C350" t="s">
        <v>7</v>
      </c>
      <c r="D350">
        <f>(AVERAGE(per_seed!$H$92:$H$101)-AVERAGE(per_seed!$H$52:$H$61))/AVERAGE(per_seed!$H$52:$H$61)*100</f>
        <v>0.33898305084746244</v>
      </c>
      <c r="E350">
        <v>0.33898305084746239</v>
      </c>
    </row>
    <row r="351" spans="1:5">
      <c r="A351" t="s">
        <v>32</v>
      </c>
      <c r="B351" t="s">
        <v>39</v>
      </c>
      <c r="C351" t="s">
        <v>7</v>
      </c>
      <c r="D351">
        <f>_xlfn.T.TEST(per_seed!$H$52:$H$61,per_seed!$H$92:$H$101,2,1)</f>
        <v>0.81365290781954169</v>
      </c>
      <c r="E351">
        <v>0.8136529078195428</v>
      </c>
    </row>
    <row r="352" spans="1:5">
      <c r="A352" t="s">
        <v>30</v>
      </c>
      <c r="B352" t="s">
        <v>39</v>
      </c>
      <c r="C352" t="s">
        <v>8</v>
      </c>
      <c r="D352">
        <f>(AVERAGE(per_seed!$I$92:$I$101)-AVERAGE(per_seed!$I$52:$I$61))/AVERAGE(per_seed!$I$52:$I$61)*100</f>
        <v>0.24574287102136558</v>
      </c>
      <c r="E352">
        <v>0.24574287102136561</v>
      </c>
    </row>
    <row r="353" spans="1:5">
      <c r="A353" t="s">
        <v>32</v>
      </c>
      <c r="B353" t="s">
        <v>39</v>
      </c>
      <c r="C353" t="s">
        <v>8</v>
      </c>
      <c r="D353">
        <f>_xlfn.T.TEST(per_seed!$I$52:$I$61,per_seed!$I$92:$I$101,2,1)</f>
        <v>0.85472377331468441</v>
      </c>
      <c r="E353">
        <v>0.85472377331468108</v>
      </c>
    </row>
    <row r="354" spans="1:5">
      <c r="A354" t="s">
        <v>30</v>
      </c>
      <c r="B354" t="s">
        <v>39</v>
      </c>
      <c r="C354" t="s">
        <v>9</v>
      </c>
      <c r="D354">
        <f>(AVERAGE(per_seed!$J$92:$J$101)-AVERAGE(per_seed!$J$52:$J$61))/AVERAGE(per_seed!$J$52:$J$61)*100</f>
        <v>-1.0870895601958774</v>
      </c>
      <c r="E354">
        <v>-1.0870895601959121</v>
      </c>
    </row>
    <row r="355" spans="1:5">
      <c r="A355" t="s">
        <v>32</v>
      </c>
      <c r="B355" t="s">
        <v>39</v>
      </c>
      <c r="C355" t="s">
        <v>9</v>
      </c>
      <c r="D355">
        <f>_xlfn.T.TEST(per_seed!$J$52:$J$61,per_seed!$J$92:$J$101,2,1)</f>
        <v>0.26182116159268493</v>
      </c>
      <c r="E355">
        <v>0.26182116159267332</v>
      </c>
    </row>
    <row r="356" spans="1:5">
      <c r="A356" t="s">
        <v>30</v>
      </c>
      <c r="B356" t="s">
        <v>39</v>
      </c>
      <c r="C356" t="s">
        <v>10</v>
      </c>
      <c r="D356">
        <f>(AVERAGE(per_seed!$K$92:$K$101)-AVERAGE(per_seed!$K$52:$K$61))/AVERAGE(per_seed!$K$52:$K$61)*100</f>
        <v>-1.254960422781171</v>
      </c>
      <c r="E356">
        <v>-1.254960422781171</v>
      </c>
    </row>
    <row r="357" spans="1:5">
      <c r="A357" t="s">
        <v>32</v>
      </c>
      <c r="B357" t="s">
        <v>39</v>
      </c>
      <c r="C357" t="s">
        <v>10</v>
      </c>
      <c r="D357">
        <f>_xlfn.T.TEST(per_seed!$K$52:$K$61,per_seed!$K$92:$K$101,2,1)</f>
        <v>0.19170719935741209</v>
      </c>
      <c r="E357">
        <v>0.19170719935741551</v>
      </c>
    </row>
    <row r="358" spans="1:5">
      <c r="A358" t="s">
        <v>30</v>
      </c>
      <c r="B358" t="s">
        <v>39</v>
      </c>
      <c r="C358" t="s">
        <v>11</v>
      </c>
      <c r="D358">
        <f>(AVERAGE(per_seed!$L$92:$L$101)-AVERAGE(per_seed!$L$52:$L$61))/AVERAGE(per_seed!$L$52:$L$61)*100</f>
        <v>-1.7382228493111342</v>
      </c>
      <c r="E358">
        <v>-1.738222849311134</v>
      </c>
    </row>
    <row r="359" spans="1:5">
      <c r="A359" t="s">
        <v>32</v>
      </c>
      <c r="B359" t="s">
        <v>39</v>
      </c>
      <c r="C359" t="s">
        <v>11</v>
      </c>
      <c r="D359">
        <f>_xlfn.T.TEST(per_seed!$L$52:$L$61,per_seed!$L$92:$L$101,2,1)</f>
        <v>0.62001368105048538</v>
      </c>
      <c r="E359">
        <v>0.62001368105048105</v>
      </c>
    </row>
    <row r="360" spans="1:5">
      <c r="A360" t="s">
        <v>30</v>
      </c>
      <c r="B360" t="s">
        <v>39</v>
      </c>
      <c r="C360" t="s">
        <v>12</v>
      </c>
      <c r="D360">
        <f>(AVERAGE(per_seed!$M$92:$M$101)-AVERAGE(per_seed!$M$52:$M$61))/AVERAGE(per_seed!$M$52:$M$61)*100</f>
        <v>-4.9953112593397657</v>
      </c>
      <c r="E360">
        <v>-4.9953112593397657</v>
      </c>
    </row>
    <row r="361" spans="1:5">
      <c r="A361" t="s">
        <v>32</v>
      </c>
      <c r="B361" t="s">
        <v>39</v>
      </c>
      <c r="C361" t="s">
        <v>12</v>
      </c>
      <c r="D361">
        <f>_xlfn.T.TEST(per_seed!$M$52:$M$61,per_seed!$M$92:$M$101,2,1)</f>
        <v>0.5604886186899295</v>
      </c>
      <c r="E361">
        <v>0.56048861868992916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2026-09-15T09:45:36Z</dcterms:created>
  <dcterms:modified xsi:type="dcterms:W3CDTF">2026-09-15T09:45:38Z</dcterms:modified>
</cp:coreProperties>
</file>