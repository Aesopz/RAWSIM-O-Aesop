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docs\experiments\2026-09-15-m4gns-vs-m4g-small\"/>
    </mc:Choice>
  </mc:AlternateContent>
  <xr:revisionPtr revIDLastSave="0" documentId="13_ncr:1_{F5E4BB06-8893-49D3-80D3-DA5413CE28E8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<sst xmlns="http://schemas.openxmlformats.org/spreadsheetml/2006/main" count="418" uniqueCount="28">
  <si>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</si>
  <si>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</si>
  <si>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</si>
  <si>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</si>
  <si>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</si>
  <si>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</si>
  <si>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</si>
  <si>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</si>
  <si>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</si>
  <si>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</si>
  <si>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</si>
  <si>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</si>
  <si>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</si>
  <si>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M4G-NS 6b</t>
  </si>
  <si>
    <t>M4G 6b</t>
  </si>
  <si>
    <t>M4G-NS 10b</t>
  </si>
  <si>
    <t>M4G 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</si>
  <si>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</si>
  <si>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</si>
  <si>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</si>
  <si>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</si>
  <si>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</si>
  <si>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</si>
  <si>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</si>
  <si>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</si>
  <si>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 6b vs M4G-NS 6b</t>
  </si>
  <si>
    <t>p</t>
  </si>
  <si>
    <t>M4G 10b vs M4G-NS 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</si>
</sst>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1225</v>
      </c>
      <c r="E2">
        <v>800</v>
      </c>
      <c r="F2">
        <v>583</v>
      </c>
      <c r="G2">
        <v>3.2569832402234642</v>
      </c>
      <c r="H2">
        <v>179</v>
      </c>
      <c r="I2">
        <v>0.307032590051458</v>
      </c>
      <c r="J2">
        <v>14.216954560884499</v>
      </c>
      <c r="K2">
        <v>1.6109445323790901</v>
      </c>
      <c r="L2">
        <v>420.84444444477901</v>
      </c>
      <c r="M2">
        <v>14.970370370444011</v>
      </c>
    </row>
    <row r="3" spans="1:13">
      <c r="A3" t="s">
        <v>13</v>
      </c>
      <c r="B3">
        <v>6</v>
      </c>
      <c r="C3">
        <v>1</v>
      </c>
      <c r="D3">
        <v>1133</v>
      </c>
      <c r="E3">
        <v>725</v>
      </c>
      <c r="F3">
        <v>496</v>
      </c>
      <c r="G3">
        <v>2.8505747126436778</v>
      </c>
      <c r="H3">
        <v>174</v>
      </c>
      <c r="I3">
        <v>0.35080645161290319</v>
      </c>
      <c r="J3">
        <v>15.06758740421393</v>
      </c>
      <c r="K3">
        <v>1.8090424672038199</v>
      </c>
      <c r="L3">
        <v>426.133333331492</v>
      </c>
      <c r="M3">
        <v>21.39166666681389</v>
      </c>
    </row>
    <row r="4" spans="1:13">
      <c r="A4" t="s">
        <v>13</v>
      </c>
      <c r="B4">
        <v>6</v>
      </c>
      <c r="C4">
        <v>2</v>
      </c>
      <c r="D4">
        <v>1147</v>
      </c>
      <c r="E4">
        <v>763</v>
      </c>
      <c r="F4">
        <v>530</v>
      </c>
      <c r="G4">
        <v>2.912087912087912</v>
      </c>
      <c r="H4">
        <v>182</v>
      </c>
      <c r="I4">
        <v>0.34339622641509432</v>
      </c>
      <c r="J4">
        <v>15.661666712149151</v>
      </c>
      <c r="K4">
        <v>1.8544586603979301</v>
      </c>
      <c r="L4">
        <v>415.91111110966602</v>
      </c>
      <c r="M4">
        <v>20.347222222222221</v>
      </c>
    </row>
    <row r="5" spans="1:13">
      <c r="A5" t="s">
        <v>13</v>
      </c>
      <c r="B5">
        <v>6</v>
      </c>
      <c r="C5">
        <v>3</v>
      </c>
      <c r="D5">
        <v>1083</v>
      </c>
      <c r="E5">
        <v>700</v>
      </c>
      <c r="F5">
        <v>488</v>
      </c>
      <c r="G5">
        <v>2.957575757575758</v>
      </c>
      <c r="H5">
        <v>165</v>
      </c>
      <c r="I5">
        <v>0.33811475409836073</v>
      </c>
      <c r="J5">
        <v>15.79690556105043</v>
      </c>
      <c r="K5">
        <v>1.87866431742462</v>
      </c>
      <c r="L5">
        <v>470.80000000278301</v>
      </c>
      <c r="M5">
        <v>24.803703703777149</v>
      </c>
    </row>
    <row r="6" spans="1:13">
      <c r="A6" t="s">
        <v>13</v>
      </c>
      <c r="B6">
        <v>6</v>
      </c>
      <c r="C6">
        <v>4</v>
      </c>
      <c r="D6">
        <v>1145</v>
      </c>
      <c r="E6">
        <v>743</v>
      </c>
      <c r="F6">
        <v>523</v>
      </c>
      <c r="G6">
        <v>3.0946745562130178</v>
      </c>
      <c r="H6">
        <v>169</v>
      </c>
      <c r="I6">
        <v>0.32313575525812621</v>
      </c>
      <c r="J6">
        <v>14.904877649198379</v>
      </c>
      <c r="K6">
        <v>1.7256661628441501</v>
      </c>
      <c r="L6">
        <v>416.08888888922002</v>
      </c>
      <c r="M6">
        <v>20.542901234641661</v>
      </c>
    </row>
    <row r="7" spans="1:13">
      <c r="A7" t="s">
        <v>13</v>
      </c>
      <c r="B7">
        <v>6</v>
      </c>
      <c r="C7">
        <v>5</v>
      </c>
      <c r="D7">
        <v>1168</v>
      </c>
      <c r="E7">
        <v>757</v>
      </c>
      <c r="F7">
        <v>526</v>
      </c>
      <c r="G7">
        <v>3.076023391812865</v>
      </c>
      <c r="H7">
        <v>171</v>
      </c>
      <c r="I7">
        <v>0.32509505703422048</v>
      </c>
      <c r="J7">
        <v>14.65918212424716</v>
      </c>
      <c r="K7">
        <v>1.7299677295693301</v>
      </c>
      <c r="L7">
        <v>471.64444444723301</v>
      </c>
      <c r="M7">
        <v>18.955246913727429</v>
      </c>
    </row>
    <row r="8" spans="1:13">
      <c r="A8" t="s">
        <v>13</v>
      </c>
      <c r="B8">
        <v>6</v>
      </c>
      <c r="C8">
        <v>6</v>
      </c>
      <c r="D8">
        <v>1143</v>
      </c>
      <c r="E8">
        <v>741</v>
      </c>
      <c r="F8">
        <v>513</v>
      </c>
      <c r="G8">
        <v>3.2468354430379751</v>
      </c>
      <c r="H8">
        <v>158</v>
      </c>
      <c r="I8">
        <v>0.30799220272904482</v>
      </c>
      <c r="J8">
        <v>14.333968735921051</v>
      </c>
      <c r="K8">
        <v>1.69997415156943</v>
      </c>
      <c r="L8">
        <v>483.33333333306001</v>
      </c>
      <c r="M8">
        <v>20.718518518665899</v>
      </c>
    </row>
    <row r="9" spans="1:13">
      <c r="A9" t="s">
        <v>13</v>
      </c>
      <c r="B9">
        <v>6</v>
      </c>
      <c r="C9">
        <v>7</v>
      </c>
      <c r="D9">
        <v>1215</v>
      </c>
      <c r="E9">
        <v>803</v>
      </c>
      <c r="F9">
        <v>568</v>
      </c>
      <c r="G9">
        <v>3.341176470588235</v>
      </c>
      <c r="H9">
        <v>170</v>
      </c>
      <c r="I9">
        <v>0.29929577464788731</v>
      </c>
      <c r="J9">
        <v>13.5111864074208</v>
      </c>
      <c r="K9">
        <v>1.5556250749282401</v>
      </c>
      <c r="L9">
        <v>392.84444444475702</v>
      </c>
      <c r="M9">
        <v>15.67623456797493</v>
      </c>
    </row>
    <row r="10" spans="1:13">
      <c r="A10" t="s">
        <v>13</v>
      </c>
      <c r="B10">
        <v>6</v>
      </c>
      <c r="C10">
        <v>8</v>
      </c>
      <c r="D10">
        <v>1109</v>
      </c>
      <c r="E10">
        <v>725</v>
      </c>
      <c r="F10">
        <v>497</v>
      </c>
      <c r="G10">
        <v>2.9939759036144582</v>
      </c>
      <c r="H10">
        <v>166</v>
      </c>
      <c r="I10">
        <v>0.33400402414486918</v>
      </c>
      <c r="J10">
        <v>15.321400723676</v>
      </c>
      <c r="K10">
        <v>1.8444914940536401</v>
      </c>
      <c r="L10">
        <v>435.02222222216602</v>
      </c>
      <c r="M10">
        <v>23.012654321061252</v>
      </c>
    </row>
    <row r="11" spans="1:13">
      <c r="A11" t="s">
        <v>13</v>
      </c>
      <c r="B11">
        <v>6</v>
      </c>
      <c r="C11">
        <v>9</v>
      </c>
      <c r="D11">
        <v>1105</v>
      </c>
      <c r="E11">
        <v>724</v>
      </c>
      <c r="F11">
        <v>508</v>
      </c>
      <c r="G11">
        <v>3.0975609756097562</v>
      </c>
      <c r="H11">
        <v>164</v>
      </c>
      <c r="I11">
        <v>0.32283464566929132</v>
      </c>
      <c r="J11">
        <v>14.899171270718231</v>
      </c>
      <c r="K11">
        <v>1.7476160983970099</v>
      </c>
      <c r="L11">
        <v>421.95555555547497</v>
      </c>
      <c r="M11">
        <v>23.28549382730743</v>
      </c>
    </row>
    <row r="12" spans="1:13">
      <c r="A12" t="s">
        <v>14</v>
      </c>
      <c r="B12">
        <v>6</v>
      </c>
      <c r="C12">
        <v>0</v>
      </c>
      <c r="D12">
        <v>1426</v>
      </c>
      <c r="E12">
        <v>945</v>
      </c>
      <c r="F12">
        <v>616</v>
      </c>
      <c r="G12">
        <v>5.5</v>
      </c>
      <c r="H12">
        <v>112</v>
      </c>
      <c r="I12">
        <v>0.1818181818181818</v>
      </c>
      <c r="J12">
        <v>9.8725978182668577</v>
      </c>
      <c r="K12">
        <v>1.1974569373233299</v>
      </c>
      <c r="L12">
        <v>803.95555555617</v>
      </c>
      <c r="M12">
        <v>1.0283950618755491</v>
      </c>
    </row>
    <row r="13" spans="1:13">
      <c r="A13" t="s">
        <v>14</v>
      </c>
      <c r="B13">
        <v>6</v>
      </c>
      <c r="C13">
        <v>1</v>
      </c>
      <c r="D13">
        <v>1412</v>
      </c>
      <c r="E13">
        <v>925</v>
      </c>
      <c r="F13">
        <v>580</v>
      </c>
      <c r="G13">
        <v>5.1785714285714288</v>
      </c>
      <c r="H13">
        <v>112</v>
      </c>
      <c r="I13">
        <v>0.19310344827586209</v>
      </c>
      <c r="J13">
        <v>9.5592068693461716</v>
      </c>
      <c r="K13">
        <v>1.21062116644577</v>
      </c>
      <c r="L13">
        <v>908.75555555162998</v>
      </c>
      <c r="M13">
        <v>1.996296296443431</v>
      </c>
    </row>
    <row r="14" spans="1:13">
      <c r="A14" t="s">
        <v>14</v>
      </c>
      <c r="B14">
        <v>6</v>
      </c>
      <c r="C14">
        <v>2</v>
      </c>
      <c r="D14">
        <v>1425</v>
      </c>
      <c r="E14">
        <v>976</v>
      </c>
      <c r="F14">
        <v>613</v>
      </c>
      <c r="G14">
        <v>5.4247787610619467</v>
      </c>
      <c r="H14">
        <v>113</v>
      </c>
      <c r="I14">
        <v>0.1843393148450245</v>
      </c>
      <c r="J14">
        <v>9.0215083888306253</v>
      </c>
      <c r="K14">
        <v>1.16862993264843</v>
      </c>
      <c r="L14">
        <v>809.86666667145403</v>
      </c>
      <c r="M14">
        <v>1.106790123603995</v>
      </c>
    </row>
    <row r="15" spans="1:13">
      <c r="A15" t="s">
        <v>14</v>
      </c>
      <c r="B15">
        <v>6</v>
      </c>
      <c r="C15">
        <v>3</v>
      </c>
      <c r="D15">
        <v>1410</v>
      </c>
      <c r="E15">
        <v>940</v>
      </c>
      <c r="F15">
        <v>599</v>
      </c>
      <c r="G15">
        <v>5.5462962962962967</v>
      </c>
      <c r="H15">
        <v>108</v>
      </c>
      <c r="I15">
        <v>0.18030050083472449</v>
      </c>
      <c r="J15">
        <v>8.9386356341706179</v>
      </c>
      <c r="K15">
        <v>1.1279478797790099</v>
      </c>
      <c r="L15">
        <v>901.33333333510495</v>
      </c>
      <c r="M15">
        <v>2.1598765433571532</v>
      </c>
    </row>
    <row r="16" spans="1:13">
      <c r="A16" t="s">
        <v>14</v>
      </c>
      <c r="B16">
        <v>6</v>
      </c>
      <c r="C16">
        <v>4</v>
      </c>
      <c r="D16">
        <v>1417</v>
      </c>
      <c r="E16">
        <v>940</v>
      </c>
      <c r="F16">
        <v>583</v>
      </c>
      <c r="G16">
        <v>5.1592920353982299</v>
      </c>
      <c r="H16">
        <v>113</v>
      </c>
      <c r="I16">
        <v>0.19382504288164659</v>
      </c>
      <c r="J16">
        <v>9.2539613704728616</v>
      </c>
      <c r="K16">
        <v>1.20812989813963</v>
      </c>
      <c r="L16">
        <v>783.20000000463006</v>
      </c>
      <c r="M16">
        <v>1.6629629631101741</v>
      </c>
    </row>
    <row r="17" spans="1:13">
      <c r="A17" t="s">
        <v>14</v>
      </c>
      <c r="B17">
        <v>6</v>
      </c>
      <c r="C17">
        <v>5</v>
      </c>
      <c r="D17">
        <v>1418</v>
      </c>
      <c r="E17">
        <v>929</v>
      </c>
      <c r="F17">
        <v>587</v>
      </c>
      <c r="G17">
        <v>5.017094017094017</v>
      </c>
      <c r="H17">
        <v>117</v>
      </c>
      <c r="I17">
        <v>0.19931856899488931</v>
      </c>
      <c r="J17">
        <v>9.9289558665231752</v>
      </c>
      <c r="K17">
        <v>1.2554113688972199</v>
      </c>
      <c r="L17">
        <v>763.42222222405405</v>
      </c>
      <c r="M17">
        <v>1.6024691359497361</v>
      </c>
    </row>
    <row r="18" spans="1:13">
      <c r="A18" t="s">
        <v>14</v>
      </c>
      <c r="B18">
        <v>6</v>
      </c>
      <c r="C18">
        <v>6</v>
      </c>
      <c r="D18">
        <v>1429</v>
      </c>
      <c r="E18">
        <v>964</v>
      </c>
      <c r="F18">
        <v>603</v>
      </c>
      <c r="G18">
        <v>5.5321100917431192</v>
      </c>
      <c r="H18">
        <v>109</v>
      </c>
      <c r="I18">
        <v>0.18076285240464349</v>
      </c>
      <c r="J18">
        <v>9.089077627922677</v>
      </c>
      <c r="K18">
        <v>1.1630018002040301</v>
      </c>
      <c r="L18">
        <v>844.75555555523499</v>
      </c>
      <c r="M18">
        <v>0.82870370385090908</v>
      </c>
    </row>
    <row r="19" spans="1:13">
      <c r="A19" t="s">
        <v>14</v>
      </c>
      <c r="B19">
        <v>6</v>
      </c>
      <c r="C19">
        <v>7</v>
      </c>
      <c r="D19">
        <v>1414</v>
      </c>
      <c r="E19">
        <v>937</v>
      </c>
      <c r="F19">
        <v>603</v>
      </c>
      <c r="G19">
        <v>5.3839285714285712</v>
      </c>
      <c r="H19">
        <v>112</v>
      </c>
      <c r="I19">
        <v>0.18573797678275289</v>
      </c>
      <c r="J19">
        <v>9.3416919023414184</v>
      </c>
      <c r="K19">
        <v>1.1725442354937201</v>
      </c>
      <c r="L19">
        <v>822.48888889375098</v>
      </c>
      <c r="M19">
        <v>1.822222222369138</v>
      </c>
    </row>
    <row r="20" spans="1:13">
      <c r="A20" t="s">
        <v>14</v>
      </c>
      <c r="B20">
        <v>6</v>
      </c>
      <c r="C20">
        <v>8</v>
      </c>
      <c r="D20">
        <v>1420</v>
      </c>
      <c r="E20">
        <v>954</v>
      </c>
      <c r="F20">
        <v>603</v>
      </c>
      <c r="G20">
        <v>5.2894736842105274</v>
      </c>
      <c r="H20">
        <v>114</v>
      </c>
      <c r="I20">
        <v>0.1890547263681592</v>
      </c>
      <c r="J20">
        <v>9.4916142557652297</v>
      </c>
      <c r="K20">
        <v>1.212232267933</v>
      </c>
      <c r="L20">
        <v>797.60000000439095</v>
      </c>
      <c r="M20">
        <v>1.4277777779248251</v>
      </c>
    </row>
    <row r="21" spans="1:13">
      <c r="A21" t="s">
        <v>14</v>
      </c>
      <c r="B21">
        <v>6</v>
      </c>
      <c r="C21">
        <v>9</v>
      </c>
      <c r="D21">
        <v>1428</v>
      </c>
      <c r="E21">
        <v>951</v>
      </c>
      <c r="F21">
        <v>604</v>
      </c>
      <c r="G21">
        <v>5.3451327433628322</v>
      </c>
      <c r="H21">
        <v>113</v>
      </c>
      <c r="I21">
        <v>0.1870860927152318</v>
      </c>
      <c r="J21">
        <v>9.23849018575266</v>
      </c>
      <c r="K21">
        <v>1.1792699654206</v>
      </c>
      <c r="L21">
        <v>872.48888889371096</v>
      </c>
      <c r="M21">
        <v>0.89506172854224864</v>
      </c>
    </row>
    <row r="22" spans="1:13">
      <c r="A22" t="s">
        <v>15</v>
      </c>
      <c r="B22">
        <v>10</v>
      </c>
      <c r="C22">
        <v>0</v>
      </c>
      <c r="D22">
        <v>1403</v>
      </c>
      <c r="E22">
        <v>896</v>
      </c>
      <c r="F22">
        <v>639</v>
      </c>
      <c r="G22">
        <v>3.4918032786885251</v>
      </c>
      <c r="H22">
        <v>183</v>
      </c>
      <c r="I22">
        <v>0.28638497652582162</v>
      </c>
      <c r="J22">
        <v>14.56808035714297</v>
      </c>
      <c r="K22">
        <v>1.6999084632561401</v>
      </c>
      <c r="L22">
        <v>427.24444444697002</v>
      </c>
      <c r="M22">
        <v>2.6367283952089369</v>
      </c>
    </row>
    <row r="23" spans="1:13">
      <c r="A23" t="s">
        <v>15</v>
      </c>
      <c r="B23">
        <v>10</v>
      </c>
      <c r="C23">
        <v>1</v>
      </c>
      <c r="D23">
        <v>1401</v>
      </c>
      <c r="E23">
        <v>906</v>
      </c>
      <c r="F23">
        <v>617</v>
      </c>
      <c r="G23">
        <v>3.0696517412935318</v>
      </c>
      <c r="H23">
        <v>201</v>
      </c>
      <c r="I23">
        <v>0.32576985413290122</v>
      </c>
      <c r="J23">
        <v>15.75563833697748</v>
      </c>
      <c r="K23">
        <v>1.8907611983755199</v>
      </c>
      <c r="L23">
        <v>464.400000002745</v>
      </c>
      <c r="M23">
        <v>2.7623456791594792</v>
      </c>
    </row>
    <row r="24" spans="1:13">
      <c r="A24" t="s">
        <v>15</v>
      </c>
      <c r="B24">
        <v>10</v>
      </c>
      <c r="C24">
        <v>2</v>
      </c>
      <c r="D24">
        <v>1415</v>
      </c>
      <c r="E24">
        <v>944</v>
      </c>
      <c r="F24">
        <v>648</v>
      </c>
      <c r="G24">
        <v>3.357512953367876</v>
      </c>
      <c r="H24">
        <v>193</v>
      </c>
      <c r="I24">
        <v>0.2978395061728395</v>
      </c>
      <c r="J24">
        <v>14.59277551770297</v>
      </c>
      <c r="K24">
        <v>1.7615435254270899</v>
      </c>
      <c r="L24">
        <v>439.51111111370898</v>
      </c>
      <c r="M24">
        <v>1.747530864344417</v>
      </c>
    </row>
    <row r="25" spans="1:13">
      <c r="A25" t="s">
        <v>15</v>
      </c>
      <c r="B25">
        <v>10</v>
      </c>
      <c r="C25">
        <v>3</v>
      </c>
      <c r="D25">
        <v>1416</v>
      </c>
      <c r="E25">
        <v>911</v>
      </c>
      <c r="F25">
        <v>628</v>
      </c>
      <c r="G25">
        <v>3.3404255319148941</v>
      </c>
      <c r="H25">
        <v>188</v>
      </c>
      <c r="I25">
        <v>0.29936305732484081</v>
      </c>
      <c r="J25">
        <v>14.873458822881449</v>
      </c>
      <c r="K25">
        <v>1.78445086426181</v>
      </c>
      <c r="L25">
        <v>451.155555558223</v>
      </c>
      <c r="M25">
        <v>1.7435185186657891</v>
      </c>
    </row>
    <row r="26" spans="1:13">
      <c r="A26" t="s">
        <v>15</v>
      </c>
      <c r="B26">
        <v>10</v>
      </c>
      <c r="C26">
        <v>4</v>
      </c>
      <c r="D26">
        <v>1422</v>
      </c>
      <c r="E26">
        <v>929</v>
      </c>
      <c r="F26">
        <v>643</v>
      </c>
      <c r="G26">
        <v>3.0473933649289102</v>
      </c>
      <c r="H26">
        <v>211</v>
      </c>
      <c r="I26">
        <v>0.32814930015552102</v>
      </c>
      <c r="J26">
        <v>15.612412087666851</v>
      </c>
      <c r="K26">
        <v>1.8688730621591401</v>
      </c>
      <c r="L26">
        <v>425.33333333328102</v>
      </c>
      <c r="M26">
        <v>1.28672839520877</v>
      </c>
    </row>
    <row r="27" spans="1:13">
      <c r="A27" t="s">
        <v>15</v>
      </c>
      <c r="B27">
        <v>10</v>
      </c>
      <c r="C27">
        <v>5</v>
      </c>
      <c r="D27">
        <v>1396</v>
      </c>
      <c r="E27">
        <v>906</v>
      </c>
      <c r="F27">
        <v>624</v>
      </c>
      <c r="G27">
        <v>3.0439024390243898</v>
      </c>
      <c r="H27">
        <v>205</v>
      </c>
      <c r="I27">
        <v>0.32852564102564102</v>
      </c>
      <c r="J27">
        <v>15.6070387701649</v>
      </c>
      <c r="K27">
        <v>1.87438222416044</v>
      </c>
      <c r="L27">
        <v>392.48888888719301</v>
      </c>
      <c r="M27">
        <v>3.1129629631101179</v>
      </c>
    </row>
    <row r="28" spans="1:13">
      <c r="A28" t="s">
        <v>15</v>
      </c>
      <c r="B28">
        <v>10</v>
      </c>
      <c r="C28">
        <v>6</v>
      </c>
      <c r="D28">
        <v>1422</v>
      </c>
      <c r="E28">
        <v>928</v>
      </c>
      <c r="F28">
        <v>635</v>
      </c>
      <c r="G28">
        <v>3.0238095238095242</v>
      </c>
      <c r="H28">
        <v>210</v>
      </c>
      <c r="I28">
        <v>0.33070866141732291</v>
      </c>
      <c r="J28">
        <v>15.233712488178019</v>
      </c>
      <c r="K28">
        <v>1.8320016119904401</v>
      </c>
      <c r="L28">
        <v>433.55555555519101</v>
      </c>
      <c r="M28">
        <v>1.314506172986712</v>
      </c>
    </row>
    <row r="29" spans="1:13">
      <c r="A29" t="s">
        <v>15</v>
      </c>
      <c r="B29">
        <v>10</v>
      </c>
      <c r="C29">
        <v>7</v>
      </c>
      <c r="D29">
        <v>1420</v>
      </c>
      <c r="E29">
        <v>936</v>
      </c>
      <c r="F29">
        <v>652</v>
      </c>
      <c r="G29">
        <v>3.3608247422680408</v>
      </c>
      <c r="H29">
        <v>194</v>
      </c>
      <c r="I29">
        <v>0.29754601226993871</v>
      </c>
      <c r="J29">
        <v>14.263038639584289</v>
      </c>
      <c r="K29">
        <v>1.6995118511607601</v>
      </c>
      <c r="L29">
        <v>382.22222222111299</v>
      </c>
      <c r="M29">
        <v>1.4429012347150429</v>
      </c>
    </row>
    <row r="30" spans="1:13">
      <c r="A30" t="s">
        <v>15</v>
      </c>
      <c r="B30">
        <v>10</v>
      </c>
      <c r="C30">
        <v>8</v>
      </c>
      <c r="D30">
        <v>1414</v>
      </c>
      <c r="E30">
        <v>929</v>
      </c>
      <c r="F30">
        <v>633</v>
      </c>
      <c r="G30">
        <v>3.165</v>
      </c>
      <c r="H30">
        <v>200</v>
      </c>
      <c r="I30">
        <v>0.31595576619273302</v>
      </c>
      <c r="J30">
        <v>14.87478471471292</v>
      </c>
      <c r="K30">
        <v>1.8052233106884401</v>
      </c>
      <c r="L30">
        <v>470.844444447228</v>
      </c>
      <c r="M30">
        <v>1.8444444445914929</v>
      </c>
    </row>
    <row r="31" spans="1:13">
      <c r="A31" t="s">
        <v>15</v>
      </c>
      <c r="B31">
        <v>10</v>
      </c>
      <c r="C31">
        <v>9</v>
      </c>
      <c r="D31">
        <v>1403</v>
      </c>
      <c r="E31">
        <v>905</v>
      </c>
      <c r="F31">
        <v>626</v>
      </c>
      <c r="G31">
        <v>3.1776649746192889</v>
      </c>
      <c r="H31">
        <v>197</v>
      </c>
      <c r="I31">
        <v>0.31469648562300317</v>
      </c>
      <c r="J31">
        <v>15.21223296499171</v>
      </c>
      <c r="K31">
        <v>1.8187103555733599</v>
      </c>
      <c r="L31">
        <v>400.84444444476298</v>
      </c>
      <c r="M31">
        <v>2.6447530865670141</v>
      </c>
    </row>
    <row r="32" spans="1:13">
      <c r="A32" t="s">
        <v>16</v>
      </c>
      <c r="B32">
        <v>10</v>
      </c>
      <c r="C32">
        <v>0</v>
      </c>
      <c r="D32">
        <v>1424</v>
      </c>
      <c r="E32">
        <v>944</v>
      </c>
      <c r="F32">
        <v>620</v>
      </c>
      <c r="G32">
        <v>5.081967213114754</v>
      </c>
      <c r="H32">
        <v>122</v>
      </c>
      <c r="I32">
        <v>0.1967741935483871</v>
      </c>
      <c r="J32">
        <v>10.591101694915301</v>
      </c>
      <c r="K32">
        <v>1.29946112931366</v>
      </c>
      <c r="L32">
        <v>795.73333332989603</v>
      </c>
      <c r="M32">
        <v>1.188888889036176</v>
      </c>
    </row>
    <row r="33" spans="1:13">
      <c r="A33" t="s">
        <v>16</v>
      </c>
      <c r="B33">
        <v>10</v>
      </c>
      <c r="C33">
        <v>1</v>
      </c>
      <c r="D33">
        <v>1430</v>
      </c>
      <c r="E33">
        <v>935</v>
      </c>
      <c r="F33">
        <v>584</v>
      </c>
      <c r="G33">
        <v>4.9075630252100844</v>
      </c>
      <c r="H33">
        <v>119</v>
      </c>
      <c r="I33">
        <v>0.20376712328767119</v>
      </c>
      <c r="J33">
        <v>10.34438502673801</v>
      </c>
      <c r="K33">
        <v>1.3347944831168801</v>
      </c>
      <c r="L33">
        <v>833.77777777938104</v>
      </c>
      <c r="M33">
        <v>0.71820987669017078</v>
      </c>
    </row>
    <row r="34" spans="1:13">
      <c r="A34" t="s">
        <v>16</v>
      </c>
      <c r="B34">
        <v>10</v>
      </c>
      <c r="C34">
        <v>2</v>
      </c>
      <c r="D34">
        <v>1430</v>
      </c>
      <c r="E34">
        <v>987</v>
      </c>
      <c r="F34">
        <v>617</v>
      </c>
      <c r="G34">
        <v>5.0991735537190079</v>
      </c>
      <c r="H34">
        <v>121</v>
      </c>
      <c r="I34">
        <v>0.19611021069692061</v>
      </c>
      <c r="J34">
        <v>10.13779128672746</v>
      </c>
      <c r="K34">
        <v>1.3103632125460101</v>
      </c>
      <c r="L34">
        <v>762.40000000450698</v>
      </c>
      <c r="M34">
        <v>0.73271604952975911</v>
      </c>
    </row>
    <row r="35" spans="1:13">
      <c r="A35" t="s">
        <v>16</v>
      </c>
      <c r="B35">
        <v>10</v>
      </c>
      <c r="C35">
        <v>3</v>
      </c>
      <c r="D35">
        <v>1428</v>
      </c>
      <c r="E35">
        <v>940</v>
      </c>
      <c r="F35">
        <v>607</v>
      </c>
      <c r="G35">
        <v>5.1880341880341883</v>
      </c>
      <c r="H35">
        <v>117</v>
      </c>
      <c r="I35">
        <v>0.1927512355848435</v>
      </c>
      <c r="J35">
        <v>10.42021276595751</v>
      </c>
      <c r="K35">
        <v>1.31301350242091</v>
      </c>
      <c r="L35">
        <v>766.48888889342004</v>
      </c>
      <c r="M35">
        <v>0.88580246928293405</v>
      </c>
    </row>
    <row r="36" spans="1:13">
      <c r="A36" t="s">
        <v>16</v>
      </c>
      <c r="B36">
        <v>10</v>
      </c>
      <c r="C36">
        <v>4</v>
      </c>
      <c r="D36">
        <v>1431</v>
      </c>
      <c r="E36">
        <v>950</v>
      </c>
      <c r="F36">
        <v>597</v>
      </c>
      <c r="G36">
        <v>5.0168067226890756</v>
      </c>
      <c r="H36">
        <v>119</v>
      </c>
      <c r="I36">
        <v>0.19932998324958121</v>
      </c>
      <c r="J36">
        <v>10.676155323210949</v>
      </c>
      <c r="K36">
        <v>1.3667976693759201</v>
      </c>
      <c r="L36">
        <v>772.00000000456396</v>
      </c>
      <c r="M36">
        <v>0.70154321002381459</v>
      </c>
    </row>
    <row r="37" spans="1:13">
      <c r="A37" t="s">
        <v>16</v>
      </c>
      <c r="B37">
        <v>10</v>
      </c>
      <c r="C37">
        <v>5</v>
      </c>
      <c r="D37">
        <v>1430</v>
      </c>
      <c r="E37">
        <v>953</v>
      </c>
      <c r="F37">
        <v>600</v>
      </c>
      <c r="G37">
        <v>4.8780487804878048</v>
      </c>
      <c r="H37">
        <v>123</v>
      </c>
      <c r="I37">
        <v>0.20499999999999999</v>
      </c>
      <c r="J37">
        <v>10.73377750814816</v>
      </c>
      <c r="K37">
        <v>1.3544387784605201</v>
      </c>
      <c r="L37">
        <v>781.99999999687202</v>
      </c>
      <c r="M37">
        <v>0.81388888903642154</v>
      </c>
    </row>
    <row r="38" spans="1:13">
      <c r="A38" t="s">
        <v>16</v>
      </c>
      <c r="B38">
        <v>10</v>
      </c>
      <c r="C38">
        <v>6</v>
      </c>
      <c r="D38">
        <v>1428</v>
      </c>
      <c r="E38">
        <v>966</v>
      </c>
      <c r="F38">
        <v>606</v>
      </c>
      <c r="G38">
        <v>5.1794871794871797</v>
      </c>
      <c r="H38">
        <v>117</v>
      </c>
      <c r="I38">
        <v>0.1930693069306931</v>
      </c>
      <c r="J38">
        <v>10.004140786749529</v>
      </c>
      <c r="K38">
        <v>1.2918463715397599</v>
      </c>
      <c r="L38">
        <v>772.04444444455703</v>
      </c>
      <c r="M38">
        <v>0.9370370371844674</v>
      </c>
    </row>
    <row r="39" spans="1:13">
      <c r="A39" t="s">
        <v>16</v>
      </c>
      <c r="B39">
        <v>10</v>
      </c>
      <c r="C39">
        <v>7</v>
      </c>
      <c r="D39">
        <v>1431</v>
      </c>
      <c r="E39">
        <v>958</v>
      </c>
      <c r="F39">
        <v>611</v>
      </c>
      <c r="G39">
        <v>5.3596491228070171</v>
      </c>
      <c r="H39">
        <v>114</v>
      </c>
      <c r="I39">
        <v>0.18657937806873981</v>
      </c>
      <c r="J39">
        <v>9.9624204070976212</v>
      </c>
      <c r="K39">
        <v>1.2660103568502099</v>
      </c>
      <c r="L39">
        <v>879.73333333853395</v>
      </c>
      <c r="M39">
        <v>0.70493827175223189</v>
      </c>
    </row>
    <row r="40" spans="1:13">
      <c r="A40" t="s">
        <v>16</v>
      </c>
      <c r="B40">
        <v>10</v>
      </c>
      <c r="C40">
        <v>8</v>
      </c>
      <c r="D40">
        <v>1429</v>
      </c>
      <c r="E40">
        <v>958</v>
      </c>
      <c r="F40">
        <v>601</v>
      </c>
      <c r="G40">
        <v>5.2260869565217387</v>
      </c>
      <c r="H40">
        <v>115</v>
      </c>
      <c r="I40">
        <v>0.1913477537437604</v>
      </c>
      <c r="J40">
        <v>10.174321503131569</v>
      </c>
      <c r="K40">
        <v>1.3178763564051901</v>
      </c>
      <c r="L40">
        <v>741.77777778216296</v>
      </c>
      <c r="M40">
        <v>0.87839506187589045</v>
      </c>
    </row>
    <row r="41" spans="1:13">
      <c r="A41" t="s">
        <v>16</v>
      </c>
      <c r="B41">
        <v>10</v>
      </c>
      <c r="C41">
        <v>9</v>
      </c>
      <c r="D41">
        <v>1426</v>
      </c>
      <c r="E41">
        <v>931</v>
      </c>
      <c r="F41">
        <v>592</v>
      </c>
      <c r="G41">
        <v>5.2389380530973453</v>
      </c>
      <c r="H41">
        <v>113</v>
      </c>
      <c r="I41">
        <v>0.1908783783783784</v>
      </c>
      <c r="J41">
        <v>10.459717656914499</v>
      </c>
      <c r="K41">
        <v>1.31724954228765</v>
      </c>
      <c r="L41">
        <v>771.82222222678502</v>
      </c>
      <c r="M41">
        <v>0.99598765446795334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1147.3</v>
      </c>
      <c r="E2">
        <v>1147.3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45.543751858332158</v>
      </c>
      <c r="E3">
        <v>45.543751858332158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748.1</v>
      </c>
      <c r="E4">
        <v>748.1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33.411408563875639</v>
      </c>
      <c r="E5">
        <v>33.411408563875632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523.20000000000005</v>
      </c>
      <c r="E6">
        <v>523.20000000000005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30.979563155947396</v>
      </c>
      <c r="E7">
        <v>30.979563155947389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3.0827468363407116</v>
      </c>
      <c r="E8">
        <v>3.082746836340712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0.16022645293406534</v>
      </c>
      <c r="E9">
        <v>0.16022645293406529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169.8</v>
      </c>
      <c r="E10">
        <v>169.8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7.1771241532462788</v>
      </c>
      <c r="E11">
        <v>7.1771241532462788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0.32517074816612551</v>
      </c>
      <c r="E12">
        <v>0.32517074816612562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1.6793335849410881E-2</v>
      </c>
      <c r="E13">
        <v>1.6793335849410888E-2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14.837290114947962</v>
      </c>
      <c r="E14">
        <v>14.83729011494796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0.69319533588646853</v>
      </c>
      <c r="E15">
        <v>0.69319533588646831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1.7456450688767258</v>
      </c>
      <c r="E16">
        <v>1.745645068876726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0.1055729605538276</v>
      </c>
      <c r="E17">
        <v>0.1055729605538276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435.45777777806313</v>
      </c>
      <c r="E18">
        <v>435.45777777806308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29.639937467045321</v>
      </c>
      <c r="E19">
        <v>29.639937467045321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20.370401234663586</v>
      </c>
      <c r="E20">
        <v>20.370401234663589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3.1539410091554014</v>
      </c>
      <c r="E21">
        <v>3.153941009155389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1419.9</v>
      </c>
      <c r="E22">
        <v>1419.9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6.8223488949513902</v>
      </c>
      <c r="E23">
        <v>6.8223488949513893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946.1</v>
      </c>
      <c r="E24">
        <v>946.1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15.623699945915501</v>
      </c>
      <c r="E25">
        <v>15.623699945915501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599.1</v>
      </c>
      <c r="E26">
        <v>599.1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12.10555428076073</v>
      </c>
      <c r="E27">
        <v>12.10555428076073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5.3376677629166966</v>
      </c>
      <c r="E28">
        <v>5.3376677629166966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0.17628553013477707</v>
      </c>
      <c r="E29">
        <v>0.1762855301347771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112.3</v>
      </c>
      <c r="E30">
        <v>112.3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2.496664441476534</v>
      </c>
      <c r="E31">
        <v>2.496664441476534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0.18753467059211162</v>
      </c>
      <c r="E32">
        <v>0.1875346705921116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6.2916126374122543E-3</v>
      </c>
      <c r="E33">
        <v>6.2916126374122404E-3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9.3735739919392298</v>
      </c>
      <c r="E34">
        <v>9.3735739919392298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0.33887032943654422</v>
      </c>
      <c r="E35">
        <v>0.33887032943654422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1.189524545228474</v>
      </c>
      <c r="E36">
        <v>1.189524545228474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3.5017578956487584E-2</v>
      </c>
      <c r="E37">
        <v>3.5017578956487591E-2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830.78666666901313</v>
      </c>
      <c r="E38">
        <v>830.78666666901313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49.576436057924504</v>
      </c>
      <c r="E39">
        <v>49.576436057924496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1.4530555557027163</v>
      </c>
      <c r="E40">
        <v>1.4530555557027161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0.4713365833229603</v>
      </c>
      <c r="E41">
        <v>0.47133658332296141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1411.2</v>
      </c>
      <c r="E42">
        <v>1411.2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9.5777519979029169</v>
      </c>
      <c r="E43">
        <v>9.5777519979029169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919</v>
      </c>
      <c r="E44">
        <v>919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16.06237840420901</v>
      </c>
      <c r="E45">
        <v>16.06237840420901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634.5</v>
      </c>
      <c r="E46">
        <v>634.5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11.1280426550824</v>
      </c>
      <c r="E47">
        <v>11.1280426550824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3.2077988549914975</v>
      </c>
      <c r="E48">
        <v>3.207798854991498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0.16744751406418185</v>
      </c>
      <c r="E49">
        <v>0.16744751406418171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198.2</v>
      </c>
      <c r="E50">
        <v>198.2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9.0774445743281724</v>
      </c>
      <c r="E51">
        <v>9.0774445743281724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0.31249392608405624</v>
      </c>
      <c r="E52">
        <v>0.31249392608405641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1.6052892391854593E-2</v>
      </c>
      <c r="E53">
        <v>1.605289239185459E-2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15.059317270000355</v>
      </c>
      <c r="E54">
        <v>15.059317270000349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0.506206242998964</v>
      </c>
      <c r="E55">
        <v>0.50620624299896377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1.803536646705314</v>
      </c>
      <c r="E56">
        <v>1.803536646705314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6.8009030272531981E-2</v>
      </c>
      <c r="E57">
        <v>6.8009030272531981E-2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428.76000000104159</v>
      </c>
      <c r="E58">
        <v>428.76000000104159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29.732380727719296</v>
      </c>
      <c r="E59">
        <v>29.732380727719299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2.0536419754557773</v>
      </c>
      <c r="E60">
        <v>2.0536419754557769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0.67123026495171634</v>
      </c>
      <c r="E61">
        <v>0.67123026495171634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1428.7</v>
      </c>
      <c r="E62">
        <v>1428.7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2.263232692902394</v>
      </c>
      <c r="E63">
        <v>2.263232692902394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952.2</v>
      </c>
      <c r="E64">
        <v>952.2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16.45059944871986</v>
      </c>
      <c r="E65">
        <v>16.45059944871986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603.5</v>
      </c>
      <c r="E66">
        <v>603.5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11.067971810589327</v>
      </c>
      <c r="E67">
        <v>11.067971810589331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5.1175754795168205</v>
      </c>
      <c r="E68">
        <v>5.1175754795168196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0.15170876494723376</v>
      </c>
      <c r="E69">
        <v>0.15170876494723379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118</v>
      </c>
      <c r="E70">
        <v>118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3.39934634239519</v>
      </c>
      <c r="E71">
        <v>3.39934634239519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0.19556075634889752</v>
      </c>
      <c r="E72">
        <v>0.1955607563488975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5.8391886587596444E-3</v>
      </c>
      <c r="E73">
        <v>5.8391886587596644E-3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10.35040239595906</v>
      </c>
      <c r="E74">
        <v>10.35040239595906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0.27376433738760975</v>
      </c>
      <c r="E75">
        <v>0.27376433738760908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1.317185140231671</v>
      </c>
      <c r="E76">
        <v>1.317185140231671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2.9436940075360178E-2</v>
      </c>
      <c r="E77">
        <v>2.9436940075360182E-2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787.77777778006782</v>
      </c>
      <c r="E78">
        <v>787.77777778006782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40.322039707109951</v>
      </c>
      <c r="E79">
        <v>40.322039707109951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0.8557407408879818</v>
      </c>
      <c r="E80">
        <v>0.8557407408879818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0.15670302874636355</v>
      </c>
      <c r="E81">
        <v>0.15670302874636341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23.760132484964714</v>
      </c>
      <c r="E82">
        <v>23.760132484964711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1.3445878955806848E-8</v>
      </c>
      <c r="E83">
        <v>1.3445878955806909E-8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26.467049859644433</v>
      </c>
      <c r="E84">
        <v>26.46704985964443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3.5143717760854299E-8</v>
      </c>
      <c r="E85">
        <v>3.5143717760854332E-8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14.50688073394495</v>
      </c>
      <c r="E86">
        <v>14.50688073394495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1.1223431995377305E-5</v>
      </c>
      <c r="E87">
        <v>1.122343199537731E-5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73.146484167756896</v>
      </c>
      <c r="E88">
        <v>73.146484167756867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5.7009741523932133E-11</v>
      </c>
      <c r="E89">
        <v>5.7009741523932592E-11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-33.863368669022385</v>
      </c>
      <c r="E90">
        <v>-33.863368669022393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5.9664402527130838E-10</v>
      </c>
      <c r="E91">
        <v>5.9664402527131096E-10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-42.327324444232424</v>
      </c>
      <c r="E92">
        <v>-42.327324444232431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6.8395352998931563E-10</v>
      </c>
      <c r="E93">
        <v>6.8395352998931604E-10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-36.824218443395281</v>
      </c>
      <c r="E94">
        <v>-36.824218443395281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1.1257446254918947E-8</v>
      </c>
      <c r="E95">
        <v>1.125744625491884E-8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-31.857594282101115</v>
      </c>
      <c r="E96">
        <v>-31.857594282101111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1.0329044994072119E-7</v>
      </c>
      <c r="E97">
        <v>1.032904499407209E-7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90.784665945830142</v>
      </c>
      <c r="E98">
        <v>90.784665945830142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2.8133353854336475E-9</v>
      </c>
      <c r="E99">
        <v>2.81333538543365E-9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-92.86682898896413</v>
      </c>
      <c r="E100">
        <v>-92.86682898896413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1.2889516632555276E-8</v>
      </c>
      <c r="E101">
        <v>1.288951663255524E-8</v>
      </c>
    </row>
    <row r="102" spans="1:5">
      <c r="A102" t="s">
        <v>24</v>
      </c>
      <c r="B102" t="s">
        <v>27</v>
      </c>
      <c r="C102" t="s">
        <v>3</v>
      </c>
      <c r="D102">
        <f>(AVERAGE(per_seed!$D$32:$D$41)-AVERAGE(per_seed!$D$22:$D$31))/AVERAGE(per_seed!$D$22:$D$31)*100</f>
        <v>1.2400793650793651</v>
      </c>
      <c r="E102">
        <v>1.2400793650793649</v>
      </c>
    </row>
    <row r="103" spans="1:5">
      <c r="A103" t="s">
        <v>26</v>
      </c>
      <c r="B103" t="s">
        <v>27</v>
      </c>
      <c r="C103" t="s">
        <v>3</v>
      </c>
      <c r="D103">
        <f>_xlfn.T.TEST(per_seed!$D$22:$D$31,per_seed!$D$32:$D$41,2,1)</f>
        <v>1.7548524391491744E-4</v>
      </c>
      <c r="E103">
        <v>1.7548524391491739E-4</v>
      </c>
    </row>
    <row r="104" spans="1:5">
      <c r="A104" t="s">
        <v>24</v>
      </c>
      <c r="B104" t="s">
        <v>27</v>
      </c>
      <c r="C104" t="s">
        <v>4</v>
      </c>
      <c r="D104">
        <f>(AVERAGE(per_seed!$E$32:$E$41)-AVERAGE(per_seed!$E$22:$E$31))/AVERAGE(per_seed!$E$22:$E$31)*100</f>
        <v>3.6126224156692111</v>
      </c>
      <c r="E104">
        <v>3.6126224156692111</v>
      </c>
    </row>
    <row r="105" spans="1:5">
      <c r="A105" t="s">
        <v>26</v>
      </c>
      <c r="B105" t="s">
        <v>27</v>
      </c>
      <c r="C105" t="s">
        <v>4</v>
      </c>
      <c r="D105">
        <f>_xlfn.T.TEST(per_seed!$E$22:$E$31,per_seed!$E$32:$E$41,2,1)</f>
        <v>2.4683246479897579E-6</v>
      </c>
      <c r="E105">
        <v>2.4683246479897951E-6</v>
      </c>
    </row>
    <row r="106" spans="1:5">
      <c r="A106" t="s">
        <v>24</v>
      </c>
      <c r="B106" t="s">
        <v>27</v>
      </c>
      <c r="C106" t="s">
        <v>5</v>
      </c>
      <c r="D106">
        <f>(AVERAGE(per_seed!$F$32:$F$41)-AVERAGE(per_seed!$F$22:$F$31))/AVERAGE(per_seed!$F$22:$F$31)*100</f>
        <v>-4.8857368006304176</v>
      </c>
      <c r="E106">
        <v>-4.8857368006304176</v>
      </c>
    </row>
    <row r="107" spans="1:5">
      <c r="A107" t="s">
        <v>26</v>
      </c>
      <c r="B107" t="s">
        <v>27</v>
      </c>
      <c r="C107" t="s">
        <v>5</v>
      </c>
      <c r="D107">
        <f>_xlfn.T.TEST(per_seed!$F$22:$F$31,per_seed!$F$32:$F$41,2,1)</f>
        <v>9.8214573554824364E-7</v>
      </c>
      <c r="E107">
        <v>9.8214573554824449E-7</v>
      </c>
    </row>
    <row r="108" spans="1:5">
      <c r="A108" t="s">
        <v>24</v>
      </c>
      <c r="B108" t="s">
        <v>27</v>
      </c>
      <c r="C108" t="s">
        <v>6</v>
      </c>
      <c r="D108">
        <f>(AVERAGE(per_seed!$G$32:$G$41)-AVERAGE(per_seed!$G$22:$G$31))/AVERAGE(per_seed!$G$22:$G$31)*100</f>
        <v>59.535423224982253</v>
      </c>
      <c r="E108">
        <v>59.535423224982189</v>
      </c>
    </row>
    <row r="109" spans="1:5">
      <c r="A109" t="s">
        <v>26</v>
      </c>
      <c r="B109" t="s">
        <v>27</v>
      </c>
      <c r="C109" t="s">
        <v>6</v>
      </c>
      <c r="D109">
        <f>_xlfn.T.TEST(per_seed!$G$22:$G$31,per_seed!$G$32:$G$41,2,1)</f>
        <v>5.7637584115163137E-11</v>
      </c>
      <c r="E109">
        <v>5.7637584115163182E-11</v>
      </c>
    </row>
    <row r="110" spans="1:5">
      <c r="A110" t="s">
        <v>24</v>
      </c>
      <c r="B110" t="s">
        <v>27</v>
      </c>
      <c r="C110" t="s">
        <v>7</v>
      </c>
      <c r="D110">
        <f>(AVERAGE(per_seed!$H$32:$H$41)-AVERAGE(per_seed!$H$22:$H$31))/AVERAGE(per_seed!$H$22:$H$31)*100</f>
        <v>-40.464177598385461</v>
      </c>
      <c r="E110">
        <v>-40.464177598385461</v>
      </c>
    </row>
    <row r="111" spans="1:5">
      <c r="A111" t="s">
        <v>26</v>
      </c>
      <c r="B111" t="s">
        <v>27</v>
      </c>
      <c r="C111" t="s">
        <v>7</v>
      </c>
      <c r="D111">
        <f>_xlfn.T.TEST(per_seed!$H$22:$H$31,per_seed!$H$32:$H$41,2,1)</f>
        <v>9.4154538956896307E-10</v>
      </c>
      <c r="E111">
        <v>9.415453895689639E-10</v>
      </c>
    </row>
    <row r="112" spans="1:5">
      <c r="A112" t="s">
        <v>24</v>
      </c>
      <c r="B112" t="s">
        <v>27</v>
      </c>
      <c r="C112" t="s">
        <v>8</v>
      </c>
      <c r="D112">
        <f>(AVERAGE(per_seed!$I$32:$I$41)-AVERAGE(per_seed!$I$22:$I$31))/AVERAGE(per_seed!$I$22:$I$31)*100</f>
        <v>-37.419341617444886</v>
      </c>
      <c r="E112">
        <v>-37.419341617444907</v>
      </c>
    </row>
    <row r="113" spans="1:5">
      <c r="A113" t="s">
        <v>26</v>
      </c>
      <c r="B113" t="s">
        <v>27</v>
      </c>
      <c r="C113" t="s">
        <v>8</v>
      </c>
      <c r="D113">
        <f>_xlfn.T.TEST(per_seed!$I$22:$I$31,per_seed!$I$32:$I$41,2,1)</f>
        <v>9.8998181139809212E-10</v>
      </c>
      <c r="E113">
        <v>9.8998181139808963E-10</v>
      </c>
    </row>
    <row r="114" spans="1:5">
      <c r="A114" t="s">
        <v>24</v>
      </c>
      <c r="B114" t="s">
        <v>27</v>
      </c>
      <c r="C114" t="s">
        <v>9</v>
      </c>
      <c r="D114">
        <f>(AVERAGE(per_seed!$J$32:$J$41)-AVERAGE(per_seed!$J$22:$J$31))/AVERAGE(per_seed!$J$22:$J$31)*100</f>
        <v>-31.269112600621789</v>
      </c>
      <c r="E114">
        <v>-31.269112600621781</v>
      </c>
    </row>
    <row r="115" spans="1:5">
      <c r="A115" t="s">
        <v>26</v>
      </c>
      <c r="B115" t="s">
        <v>27</v>
      </c>
      <c r="C115" t="s">
        <v>9</v>
      </c>
      <c r="D115">
        <f>_xlfn.T.TEST(per_seed!$J$22:$J$31,per_seed!$J$32:$J$41,2,1)</f>
        <v>7.142767520315185E-11</v>
      </c>
      <c r="E115">
        <v>7.1427675203149886E-11</v>
      </c>
    </row>
    <row r="116" spans="1:5">
      <c r="A116" t="s">
        <v>24</v>
      </c>
      <c r="B116" t="s">
        <v>27</v>
      </c>
      <c r="C116" t="s">
        <v>10</v>
      </c>
      <c r="D116">
        <f>(AVERAGE(per_seed!$K$32:$K$41)-AVERAGE(per_seed!$K$22:$K$31))/AVERAGE(per_seed!$K$22:$K$31)*100</f>
        <v>-26.966544170982381</v>
      </c>
      <c r="E116">
        <v>-26.966544170982381</v>
      </c>
    </row>
    <row r="117" spans="1:5">
      <c r="A117" t="s">
        <v>26</v>
      </c>
      <c r="B117" t="s">
        <v>27</v>
      </c>
      <c r="C117" t="s">
        <v>10</v>
      </c>
      <c r="D117">
        <f>_xlfn.T.TEST(per_seed!$K$22:$K$31,per_seed!$K$32:$K$41,2,1)</f>
        <v>1.4537561830826161E-10</v>
      </c>
      <c r="E117">
        <v>1.453756183082622E-10</v>
      </c>
    </row>
    <row r="118" spans="1:5">
      <c r="A118" t="s">
        <v>24</v>
      </c>
      <c r="B118" t="s">
        <v>27</v>
      </c>
      <c r="C118" t="s">
        <v>11</v>
      </c>
      <c r="D118">
        <f>(AVERAGE(per_seed!$L$32:$L$41)-AVERAGE(per_seed!$L$22:$L$31))/AVERAGE(per_seed!$L$22:$L$31)*100</f>
        <v>83.733971867281014</v>
      </c>
      <c r="E118">
        <v>83.733971867281014</v>
      </c>
    </row>
    <row r="119" spans="1:5">
      <c r="A119" t="s">
        <v>26</v>
      </c>
      <c r="B119" t="s">
        <v>27</v>
      </c>
      <c r="C119" t="s">
        <v>11</v>
      </c>
      <c r="D119">
        <f>_xlfn.T.TEST(per_seed!$L$22:$L$31,per_seed!$L$32:$L$41,2,1)</f>
        <v>1.4000465311890428E-8</v>
      </c>
      <c r="E119">
        <v>1.4000465311890441E-8</v>
      </c>
    </row>
    <row r="120" spans="1:5">
      <c r="A120" t="s">
        <v>24</v>
      </c>
      <c r="B120" t="s">
        <v>27</v>
      </c>
      <c r="C120" t="s">
        <v>12</v>
      </c>
      <c r="D120">
        <f>(AVERAGE(per_seed!$M$32:$M$41)-AVERAGE(per_seed!$M$22:$M$31))/AVERAGE(per_seed!$M$22:$M$31)*100</f>
        <v>-58.330578011385747</v>
      </c>
      <c r="E120">
        <v>-58.33057801138574</v>
      </c>
    </row>
    <row r="121" spans="1:5">
      <c r="A121" t="s">
        <v>26</v>
      </c>
      <c r="B121" t="s">
        <v>27</v>
      </c>
      <c r="C121" t="s">
        <v>12</v>
      </c>
      <c r="D121">
        <f>_xlfn.T.TEST(per_seed!$M$22:$M$31,per_seed!$M$32:$M$41,2,1)</f>
        <v>2.1741556412643206E-4</v>
      </c>
      <c r="E121">
        <v>2.17415564126432E-4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2026-09-15T14:58:34Z</dcterms:created>
  <dcterms:modified xsi:type="dcterms:W3CDTF">2026-09-15T14:58:37Z</dcterms:modified>
</cp:coreProperties>
</file>