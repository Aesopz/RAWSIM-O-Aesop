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docs\experiments\2026-09-15-m1g-vs-m4g-small\"/>
    </mc:Choice>
  </mc:AlternateContent>
  <xr:revisionPtr revIDLastSave="0" documentId="13_ncr:1_{C4F70262-7FBD-41BB-AD65-725E6C847C02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1" i="2" l="1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<sst xmlns="http://schemas.openxmlformats.org/spreadsheetml/2006/main" count="418" uniqueCount="28">
  <si>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</si>
  <si>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</si>
  <si>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</si>
  <si>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</si>
  <si>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</si>
  <si>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</si>
  <si>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</si>
  <si>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</si>
  <si>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</si>
  <si>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</si>
  <si>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</si>
  <si>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</si>
  <si>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</si>
  <si>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M1G 6b</t>
  </si>
  <si>
    <t>M4G 6b</t>
  </si>
  <si>
    <t>M1G 10b</t>
  </si>
  <si>
    <t>M4G 10b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</si>
  <si>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</si>
  <si>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</si>
  <si>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</si>
  <si>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</si>
  <si>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</si>
  <si>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</si>
  <si>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</si>
  <si>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</si>
  <si>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M4G 6b vs M1G 6b</t>
  </si>
  <si>
    <t>p</t>
  </si>
  <si>
    <t>M4G 10b vs M1G 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</si>
</sst>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6</v>
      </c>
      <c r="C2">
        <v>0</v>
      </c>
      <c r="D2">
        <v>1224</v>
      </c>
      <c r="E2">
        <v>788</v>
      </c>
      <c r="F2">
        <v>578</v>
      </c>
      <c r="G2">
        <v>3.2655367231638421</v>
      </c>
      <c r="H2">
        <v>177</v>
      </c>
      <c r="I2">
        <v>0.30622837370242212</v>
      </c>
      <c r="J2">
        <v>14.69670050761421</v>
      </c>
      <c r="K2">
        <v>1.64242936099588</v>
      </c>
      <c r="L2">
        <v>321.46666666692198</v>
      </c>
      <c r="M2">
        <v>15.057716049456459</v>
      </c>
    </row>
    <row r="3" spans="1:13">
      <c r="A3" t="s">
        <v>13</v>
      </c>
      <c r="B3">
        <v>6</v>
      </c>
      <c r="C3">
        <v>1</v>
      </c>
      <c r="D3">
        <v>1263</v>
      </c>
      <c r="E3">
        <v>813</v>
      </c>
      <c r="F3">
        <v>564</v>
      </c>
      <c r="G3">
        <v>3.279069767441861</v>
      </c>
      <c r="H3">
        <v>172</v>
      </c>
      <c r="I3">
        <v>0.30496453900709219</v>
      </c>
      <c r="J3">
        <v>14.49077490774908</v>
      </c>
      <c r="K3">
        <v>1.70701758748049</v>
      </c>
      <c r="L3">
        <v>341.86666666665502</v>
      </c>
      <c r="M3">
        <v>12.412037037184559</v>
      </c>
    </row>
    <row r="4" spans="1:13">
      <c r="A4" t="s">
        <v>13</v>
      </c>
      <c r="B4">
        <v>6</v>
      </c>
      <c r="C4">
        <v>2</v>
      </c>
      <c r="D4">
        <v>1244</v>
      </c>
      <c r="E4">
        <v>833</v>
      </c>
      <c r="F4">
        <v>587</v>
      </c>
      <c r="G4">
        <v>3.243093922651934</v>
      </c>
      <c r="H4">
        <v>181</v>
      </c>
      <c r="I4">
        <v>0.30834752981260649</v>
      </c>
      <c r="J4">
        <v>15.087635054021611</v>
      </c>
      <c r="K4">
        <v>1.7439230310848199</v>
      </c>
      <c r="L4">
        <v>340.62222222249301</v>
      </c>
      <c r="M4">
        <v>13.62345679019694</v>
      </c>
    </row>
    <row r="5" spans="1:13">
      <c r="A5" t="s">
        <v>13</v>
      </c>
      <c r="B5">
        <v>6</v>
      </c>
      <c r="C5">
        <v>3</v>
      </c>
      <c r="D5">
        <v>1239</v>
      </c>
      <c r="E5">
        <v>808</v>
      </c>
      <c r="F5">
        <v>576</v>
      </c>
      <c r="G5">
        <v>3.2727272727272729</v>
      </c>
      <c r="H5">
        <v>176</v>
      </c>
      <c r="I5">
        <v>0.30555555555555558</v>
      </c>
      <c r="J5">
        <v>14.68968623464777</v>
      </c>
      <c r="K5">
        <v>1.69337299560711</v>
      </c>
      <c r="L5">
        <v>338.31111110965003</v>
      </c>
      <c r="M5">
        <v>13.985185185258761</v>
      </c>
    </row>
    <row r="6" spans="1:13">
      <c r="A6" t="s">
        <v>13</v>
      </c>
      <c r="B6">
        <v>6</v>
      </c>
      <c r="C6">
        <v>4</v>
      </c>
      <c r="D6">
        <v>1222</v>
      </c>
      <c r="E6">
        <v>787</v>
      </c>
      <c r="F6">
        <v>569</v>
      </c>
      <c r="G6">
        <v>3.2146892655367232</v>
      </c>
      <c r="H6">
        <v>177</v>
      </c>
      <c r="I6">
        <v>0.31107205623901579</v>
      </c>
      <c r="J6">
        <v>14.962433996881449</v>
      </c>
      <c r="K6">
        <v>1.6935606721330201</v>
      </c>
      <c r="L6">
        <v>322.04444444305301</v>
      </c>
      <c r="M6">
        <v>15.1802469136539</v>
      </c>
    </row>
    <row r="7" spans="1:13">
      <c r="A7" t="s">
        <v>13</v>
      </c>
      <c r="B7">
        <v>6</v>
      </c>
      <c r="C7">
        <v>5</v>
      </c>
      <c r="D7">
        <v>1280</v>
      </c>
      <c r="E7">
        <v>820</v>
      </c>
      <c r="F7">
        <v>585</v>
      </c>
      <c r="G7">
        <v>3.362068965517242</v>
      </c>
      <c r="H7">
        <v>174</v>
      </c>
      <c r="I7">
        <v>0.29743589743589738</v>
      </c>
      <c r="J7">
        <v>15.264476244873171</v>
      </c>
      <c r="K7">
        <v>1.72494127526053</v>
      </c>
      <c r="L7">
        <v>321.28888888895801</v>
      </c>
      <c r="M7">
        <v>11.13734567915934</v>
      </c>
    </row>
    <row r="8" spans="1:13">
      <c r="A8" t="s">
        <v>13</v>
      </c>
      <c r="B8">
        <v>6</v>
      </c>
      <c r="C8">
        <v>6</v>
      </c>
      <c r="D8">
        <v>1196</v>
      </c>
      <c r="E8">
        <v>773</v>
      </c>
      <c r="F8">
        <v>542</v>
      </c>
      <c r="G8">
        <v>3.1511627906976738</v>
      </c>
      <c r="H8">
        <v>172</v>
      </c>
      <c r="I8">
        <v>0.31734317343173429</v>
      </c>
      <c r="J8">
        <v>15.293245417213971</v>
      </c>
      <c r="K8">
        <v>1.75458335800288</v>
      </c>
      <c r="L8">
        <v>314.44444444469502</v>
      </c>
      <c r="M8">
        <v>16.969135802542709</v>
      </c>
    </row>
    <row r="9" spans="1:13">
      <c r="A9" t="s">
        <v>13</v>
      </c>
      <c r="B9">
        <v>6</v>
      </c>
      <c r="C9">
        <v>7</v>
      </c>
      <c r="D9">
        <v>1275</v>
      </c>
      <c r="E9">
        <v>840</v>
      </c>
      <c r="F9">
        <v>603</v>
      </c>
      <c r="G9">
        <v>3.387640449438202</v>
      </c>
      <c r="H9">
        <v>178</v>
      </c>
      <c r="I9">
        <v>0.29519071310116091</v>
      </c>
      <c r="J9">
        <v>14.517857142857141</v>
      </c>
      <c r="K9">
        <v>1.6245744242684299</v>
      </c>
      <c r="L9">
        <v>312.13333333517897</v>
      </c>
      <c r="M9">
        <v>11.515432098912591</v>
      </c>
    </row>
    <row r="10" spans="1:13">
      <c r="A10" t="s">
        <v>13</v>
      </c>
      <c r="B10">
        <v>6</v>
      </c>
      <c r="C10">
        <v>8</v>
      </c>
      <c r="D10">
        <v>1251</v>
      </c>
      <c r="E10">
        <v>820</v>
      </c>
      <c r="F10">
        <v>585</v>
      </c>
      <c r="G10">
        <v>3.2681564245810062</v>
      </c>
      <c r="H10">
        <v>179</v>
      </c>
      <c r="I10">
        <v>0.30598290598290601</v>
      </c>
      <c r="J10">
        <v>14.557021045022189</v>
      </c>
      <c r="K10">
        <v>1.6542766530206101</v>
      </c>
      <c r="L10">
        <v>304.04444444624198</v>
      </c>
      <c r="M10">
        <v>13.19475308656695</v>
      </c>
    </row>
    <row r="11" spans="1:13">
      <c r="A11" t="s">
        <v>13</v>
      </c>
      <c r="B11">
        <v>6</v>
      </c>
      <c r="C11">
        <v>9</v>
      </c>
      <c r="D11">
        <v>1229</v>
      </c>
      <c r="E11">
        <v>787</v>
      </c>
      <c r="F11">
        <v>560</v>
      </c>
      <c r="G11">
        <v>3.1638418079096051</v>
      </c>
      <c r="H11">
        <v>177</v>
      </c>
      <c r="I11">
        <v>0.31607142857142861</v>
      </c>
      <c r="J11">
        <v>15.036848792884371</v>
      </c>
      <c r="K11">
        <v>1.7195392349684999</v>
      </c>
      <c r="L11">
        <v>328.66666666860999</v>
      </c>
      <c r="M11">
        <v>14.69814814829528</v>
      </c>
    </row>
    <row r="12" spans="1:13">
      <c r="A12" t="s">
        <v>14</v>
      </c>
      <c r="B12">
        <v>6</v>
      </c>
      <c r="C12">
        <v>0</v>
      </c>
      <c r="D12">
        <v>1426</v>
      </c>
      <c r="E12">
        <v>945</v>
      </c>
      <c r="F12">
        <v>616</v>
      </c>
      <c r="G12">
        <v>5.5</v>
      </c>
      <c r="H12">
        <v>112</v>
      </c>
      <c r="I12">
        <v>0.1818181818181818</v>
      </c>
      <c r="J12">
        <v>9.8725978182668577</v>
      </c>
      <c r="K12">
        <v>1.1974569373233299</v>
      </c>
      <c r="L12">
        <v>803.95555555617</v>
      </c>
      <c r="M12">
        <v>1.0283950618755491</v>
      </c>
    </row>
    <row r="13" spans="1:13">
      <c r="A13" t="s">
        <v>14</v>
      </c>
      <c r="B13">
        <v>6</v>
      </c>
      <c r="C13">
        <v>1</v>
      </c>
      <c r="D13">
        <v>1412</v>
      </c>
      <c r="E13">
        <v>925</v>
      </c>
      <c r="F13">
        <v>580</v>
      </c>
      <c r="G13">
        <v>5.1785714285714288</v>
      </c>
      <c r="H13">
        <v>112</v>
      </c>
      <c r="I13">
        <v>0.19310344827586209</v>
      </c>
      <c r="J13">
        <v>9.5592068693461716</v>
      </c>
      <c r="K13">
        <v>1.21062116644577</v>
      </c>
      <c r="L13">
        <v>908.75555555162998</v>
      </c>
      <c r="M13">
        <v>1.996296296443431</v>
      </c>
    </row>
    <row r="14" spans="1:13">
      <c r="A14" t="s">
        <v>14</v>
      </c>
      <c r="B14">
        <v>6</v>
      </c>
      <c r="C14">
        <v>2</v>
      </c>
      <c r="D14">
        <v>1425</v>
      </c>
      <c r="E14">
        <v>976</v>
      </c>
      <c r="F14">
        <v>613</v>
      </c>
      <c r="G14">
        <v>5.4247787610619467</v>
      </c>
      <c r="H14">
        <v>113</v>
      </c>
      <c r="I14">
        <v>0.1843393148450245</v>
      </c>
      <c r="J14">
        <v>9.0215083888306253</v>
      </c>
      <c r="K14">
        <v>1.16862993264843</v>
      </c>
      <c r="L14">
        <v>809.86666667145403</v>
      </c>
      <c r="M14">
        <v>1.106790123603995</v>
      </c>
    </row>
    <row r="15" spans="1:13">
      <c r="A15" t="s">
        <v>14</v>
      </c>
      <c r="B15">
        <v>6</v>
      </c>
      <c r="C15">
        <v>3</v>
      </c>
      <c r="D15">
        <v>1410</v>
      </c>
      <c r="E15">
        <v>940</v>
      </c>
      <c r="F15">
        <v>599</v>
      </c>
      <c r="G15">
        <v>5.5462962962962967</v>
      </c>
      <c r="H15">
        <v>108</v>
      </c>
      <c r="I15">
        <v>0.18030050083472449</v>
      </c>
      <c r="J15">
        <v>8.9386356341706179</v>
      </c>
      <c r="K15">
        <v>1.1279478797790099</v>
      </c>
      <c r="L15">
        <v>901.33333333510495</v>
      </c>
      <c r="M15">
        <v>2.1598765433571532</v>
      </c>
    </row>
    <row r="16" spans="1:13">
      <c r="A16" t="s">
        <v>14</v>
      </c>
      <c r="B16">
        <v>6</v>
      </c>
      <c r="C16">
        <v>4</v>
      </c>
      <c r="D16">
        <v>1417</v>
      </c>
      <c r="E16">
        <v>940</v>
      </c>
      <c r="F16">
        <v>583</v>
      </c>
      <c r="G16">
        <v>5.1592920353982299</v>
      </c>
      <c r="H16">
        <v>113</v>
      </c>
      <c r="I16">
        <v>0.19382504288164659</v>
      </c>
      <c r="J16">
        <v>9.2539613704728616</v>
      </c>
      <c r="K16">
        <v>1.20812989813963</v>
      </c>
      <c r="L16">
        <v>783.20000000463006</v>
      </c>
      <c r="M16">
        <v>1.6629629631101741</v>
      </c>
    </row>
    <row r="17" spans="1:13">
      <c r="A17" t="s">
        <v>14</v>
      </c>
      <c r="B17">
        <v>6</v>
      </c>
      <c r="C17">
        <v>5</v>
      </c>
      <c r="D17">
        <v>1418</v>
      </c>
      <c r="E17">
        <v>929</v>
      </c>
      <c r="F17">
        <v>587</v>
      </c>
      <c r="G17">
        <v>5.017094017094017</v>
      </c>
      <c r="H17">
        <v>117</v>
      </c>
      <c r="I17">
        <v>0.19931856899488931</v>
      </c>
      <c r="J17">
        <v>9.9289558665231752</v>
      </c>
      <c r="K17">
        <v>1.2554113688972199</v>
      </c>
      <c r="L17">
        <v>763.42222222405405</v>
      </c>
      <c r="M17">
        <v>1.6024691359497361</v>
      </c>
    </row>
    <row r="18" spans="1:13">
      <c r="A18" t="s">
        <v>14</v>
      </c>
      <c r="B18">
        <v>6</v>
      </c>
      <c r="C18">
        <v>6</v>
      </c>
      <c r="D18">
        <v>1429</v>
      </c>
      <c r="E18">
        <v>964</v>
      </c>
      <c r="F18">
        <v>603</v>
      </c>
      <c r="G18">
        <v>5.5321100917431192</v>
      </c>
      <c r="H18">
        <v>109</v>
      </c>
      <c r="I18">
        <v>0.18076285240464349</v>
      </c>
      <c r="J18">
        <v>9.089077627922677</v>
      </c>
      <c r="K18">
        <v>1.1630018002040301</v>
      </c>
      <c r="L18">
        <v>844.75555555523499</v>
      </c>
      <c r="M18">
        <v>0.82870370385090908</v>
      </c>
    </row>
    <row r="19" spans="1:13">
      <c r="A19" t="s">
        <v>14</v>
      </c>
      <c r="B19">
        <v>6</v>
      </c>
      <c r="C19">
        <v>7</v>
      </c>
      <c r="D19">
        <v>1414</v>
      </c>
      <c r="E19">
        <v>937</v>
      </c>
      <c r="F19">
        <v>603</v>
      </c>
      <c r="G19">
        <v>5.3839285714285712</v>
      </c>
      <c r="H19">
        <v>112</v>
      </c>
      <c r="I19">
        <v>0.18573797678275289</v>
      </c>
      <c r="J19">
        <v>9.3416919023414184</v>
      </c>
      <c r="K19">
        <v>1.1725442354937201</v>
      </c>
      <c r="L19">
        <v>822.48888889375098</v>
      </c>
      <c r="M19">
        <v>1.822222222369138</v>
      </c>
    </row>
    <row r="20" spans="1:13">
      <c r="A20" t="s">
        <v>14</v>
      </c>
      <c r="B20">
        <v>6</v>
      </c>
      <c r="C20">
        <v>8</v>
      </c>
      <c r="D20">
        <v>1420</v>
      </c>
      <c r="E20">
        <v>954</v>
      </c>
      <c r="F20">
        <v>603</v>
      </c>
      <c r="G20">
        <v>5.2894736842105274</v>
      </c>
      <c r="H20">
        <v>114</v>
      </c>
      <c r="I20">
        <v>0.1890547263681592</v>
      </c>
      <c r="J20">
        <v>9.4916142557652297</v>
      </c>
      <c r="K20">
        <v>1.212232267933</v>
      </c>
      <c r="L20">
        <v>797.60000000439095</v>
      </c>
      <c r="M20">
        <v>1.4277777779248251</v>
      </c>
    </row>
    <row r="21" spans="1:13">
      <c r="A21" t="s">
        <v>14</v>
      </c>
      <c r="B21">
        <v>6</v>
      </c>
      <c r="C21">
        <v>9</v>
      </c>
      <c r="D21">
        <v>1428</v>
      </c>
      <c r="E21">
        <v>951</v>
      </c>
      <c r="F21">
        <v>604</v>
      </c>
      <c r="G21">
        <v>5.3451327433628322</v>
      </c>
      <c r="H21">
        <v>113</v>
      </c>
      <c r="I21">
        <v>0.1870860927152318</v>
      </c>
      <c r="J21">
        <v>9.23849018575266</v>
      </c>
      <c r="K21">
        <v>1.1792699654206</v>
      </c>
      <c r="L21">
        <v>872.48888889371096</v>
      </c>
      <c r="M21">
        <v>0.89506172854224864</v>
      </c>
    </row>
    <row r="22" spans="1:13">
      <c r="A22" t="s">
        <v>15</v>
      </c>
      <c r="B22">
        <v>10</v>
      </c>
      <c r="C22">
        <v>0</v>
      </c>
      <c r="D22">
        <v>1421</v>
      </c>
      <c r="E22">
        <v>912</v>
      </c>
      <c r="F22">
        <v>656</v>
      </c>
      <c r="G22">
        <v>2.9818181818181819</v>
      </c>
      <c r="H22">
        <v>220</v>
      </c>
      <c r="I22">
        <v>0.33536585365853661</v>
      </c>
      <c r="J22">
        <v>16.99577365846557</v>
      </c>
      <c r="K22">
        <v>1.94116153467863</v>
      </c>
      <c r="L22">
        <v>352.84444444338999</v>
      </c>
      <c r="M22">
        <v>1.383024691505224</v>
      </c>
    </row>
    <row r="23" spans="1:13">
      <c r="A23" t="s">
        <v>15</v>
      </c>
      <c r="B23">
        <v>10</v>
      </c>
      <c r="C23">
        <v>1</v>
      </c>
      <c r="D23">
        <v>1428</v>
      </c>
      <c r="E23">
        <v>907</v>
      </c>
      <c r="F23">
        <v>629</v>
      </c>
      <c r="G23">
        <v>3.083333333333333</v>
      </c>
      <c r="H23">
        <v>204</v>
      </c>
      <c r="I23">
        <v>0.32432432432432429</v>
      </c>
      <c r="J23">
        <v>16.52593613884223</v>
      </c>
      <c r="K23">
        <v>1.9659670136571901</v>
      </c>
      <c r="L23">
        <v>406.17777778017899</v>
      </c>
      <c r="M23">
        <v>0.91203703718432294</v>
      </c>
    </row>
    <row r="24" spans="1:13">
      <c r="A24" t="s">
        <v>15</v>
      </c>
      <c r="B24">
        <v>10</v>
      </c>
      <c r="C24">
        <v>2</v>
      </c>
      <c r="D24">
        <v>1415</v>
      </c>
      <c r="E24">
        <v>945</v>
      </c>
      <c r="F24">
        <v>655</v>
      </c>
      <c r="G24">
        <v>3.075117370892019</v>
      </c>
      <c r="H24">
        <v>213</v>
      </c>
      <c r="I24">
        <v>0.32519083969465651</v>
      </c>
      <c r="J24">
        <v>16.53951499113915</v>
      </c>
      <c r="K24">
        <v>1.9823049406889299</v>
      </c>
      <c r="L24">
        <v>382.26666666892697</v>
      </c>
      <c r="M24">
        <v>1.813580247060868</v>
      </c>
    </row>
    <row r="25" spans="1:13">
      <c r="A25" t="s">
        <v>15</v>
      </c>
      <c r="B25">
        <v>10</v>
      </c>
      <c r="C25">
        <v>3</v>
      </c>
      <c r="D25">
        <v>1411</v>
      </c>
      <c r="E25">
        <v>910</v>
      </c>
      <c r="F25">
        <v>632</v>
      </c>
      <c r="G25">
        <v>2.967136150234742</v>
      </c>
      <c r="H25">
        <v>213</v>
      </c>
      <c r="I25">
        <v>0.33702531645569622</v>
      </c>
      <c r="J25">
        <v>16.966275734261099</v>
      </c>
      <c r="K25">
        <v>2.0163228071356598</v>
      </c>
      <c r="L25">
        <v>383.82222222449099</v>
      </c>
      <c r="M25">
        <v>2.078086419900278</v>
      </c>
    </row>
    <row r="26" spans="1:13">
      <c r="A26" t="s">
        <v>15</v>
      </c>
      <c r="B26">
        <v>10</v>
      </c>
      <c r="C26">
        <v>4</v>
      </c>
      <c r="D26">
        <v>1419</v>
      </c>
      <c r="E26">
        <v>922</v>
      </c>
      <c r="F26">
        <v>648</v>
      </c>
      <c r="G26">
        <v>3</v>
      </c>
      <c r="H26">
        <v>216</v>
      </c>
      <c r="I26">
        <v>0.33333333333333331</v>
      </c>
      <c r="J26">
        <v>16.612296637726899</v>
      </c>
      <c r="K26">
        <v>1.9616677057202301</v>
      </c>
      <c r="L26">
        <v>401.15555555792702</v>
      </c>
      <c r="M26">
        <v>1.4808641976044119</v>
      </c>
    </row>
    <row r="27" spans="1:13">
      <c r="A27" t="s">
        <v>15</v>
      </c>
      <c r="B27">
        <v>10</v>
      </c>
      <c r="C27">
        <v>5</v>
      </c>
      <c r="D27">
        <v>1373</v>
      </c>
      <c r="E27">
        <v>883</v>
      </c>
      <c r="F27">
        <v>620</v>
      </c>
      <c r="G27">
        <v>2.805429864253393</v>
      </c>
      <c r="H27">
        <v>221</v>
      </c>
      <c r="I27">
        <v>0.3564516129032258</v>
      </c>
      <c r="J27">
        <v>18.215340694547791</v>
      </c>
      <c r="K27">
        <v>2.1410628888438499</v>
      </c>
      <c r="L27">
        <v>381.51111110966701</v>
      </c>
      <c r="M27">
        <v>4.7620370371844976</v>
      </c>
    </row>
    <row r="28" spans="1:13">
      <c r="A28" t="s">
        <v>15</v>
      </c>
      <c r="B28">
        <v>10</v>
      </c>
      <c r="C28">
        <v>6</v>
      </c>
      <c r="D28">
        <v>1421</v>
      </c>
      <c r="E28">
        <v>920</v>
      </c>
      <c r="F28">
        <v>641</v>
      </c>
      <c r="G28">
        <v>2.995327102803738</v>
      </c>
      <c r="H28">
        <v>214</v>
      </c>
      <c r="I28">
        <v>0.33385335413416539</v>
      </c>
      <c r="J28">
        <v>16.631573407303371</v>
      </c>
      <c r="K28">
        <v>1.9766889831076699</v>
      </c>
      <c r="L28">
        <v>372.22222222442298</v>
      </c>
      <c r="M28">
        <v>1.4179012347153039</v>
      </c>
    </row>
    <row r="29" spans="1:13">
      <c r="A29" t="s">
        <v>15</v>
      </c>
      <c r="B29">
        <v>10</v>
      </c>
      <c r="C29">
        <v>7</v>
      </c>
      <c r="D29">
        <v>1423</v>
      </c>
      <c r="E29">
        <v>936</v>
      </c>
      <c r="F29">
        <v>656</v>
      </c>
      <c r="G29">
        <v>3.0943396226415101</v>
      </c>
      <c r="H29">
        <v>212</v>
      </c>
      <c r="I29">
        <v>0.32317073170731708</v>
      </c>
      <c r="J29">
        <v>16.258547499027781</v>
      </c>
      <c r="K29">
        <v>1.91841138002889</v>
      </c>
      <c r="L29">
        <v>340.53333333360399</v>
      </c>
      <c r="M29">
        <v>1.267592592739927</v>
      </c>
    </row>
    <row r="30" spans="1:13">
      <c r="A30" t="s">
        <v>15</v>
      </c>
      <c r="B30">
        <v>10</v>
      </c>
      <c r="C30">
        <v>8</v>
      </c>
      <c r="D30">
        <v>1419</v>
      </c>
      <c r="E30">
        <v>923</v>
      </c>
      <c r="F30">
        <v>650</v>
      </c>
      <c r="G30">
        <v>3.066037735849056</v>
      </c>
      <c r="H30">
        <v>212</v>
      </c>
      <c r="I30">
        <v>0.32615384615384613</v>
      </c>
      <c r="J30">
        <v>16.925180570568799</v>
      </c>
      <c r="K30">
        <v>1.9695530510728301</v>
      </c>
      <c r="L30">
        <v>350.53333333361201</v>
      </c>
      <c r="M30">
        <v>1.503086419900173</v>
      </c>
    </row>
    <row r="31" spans="1:13">
      <c r="A31" t="s">
        <v>15</v>
      </c>
      <c r="B31">
        <v>10</v>
      </c>
      <c r="C31">
        <v>9</v>
      </c>
      <c r="D31">
        <v>1426</v>
      </c>
      <c r="E31">
        <v>921</v>
      </c>
      <c r="F31">
        <v>640</v>
      </c>
      <c r="G31">
        <v>3.1067961165048539</v>
      </c>
      <c r="H31">
        <v>206</v>
      </c>
      <c r="I31">
        <v>0.32187500000000002</v>
      </c>
      <c r="J31">
        <v>16.052093553873611</v>
      </c>
      <c r="K31">
        <v>1.9310365423097899</v>
      </c>
      <c r="L31">
        <v>364.97777777620098</v>
      </c>
      <c r="M31">
        <v>1.0293209878014771</v>
      </c>
    </row>
    <row r="32" spans="1:13">
      <c r="A32" t="s">
        <v>16</v>
      </c>
      <c r="B32">
        <v>10</v>
      </c>
      <c r="C32">
        <v>0</v>
      </c>
      <c r="D32">
        <v>1424</v>
      </c>
      <c r="E32">
        <v>944</v>
      </c>
      <c r="F32">
        <v>620</v>
      </c>
      <c r="G32">
        <v>5.081967213114754</v>
      </c>
      <c r="H32">
        <v>122</v>
      </c>
      <c r="I32">
        <v>0.1967741935483871</v>
      </c>
      <c r="J32">
        <v>10.591101694915301</v>
      </c>
      <c r="K32">
        <v>1.29946112931366</v>
      </c>
      <c r="L32">
        <v>795.73333332989603</v>
      </c>
      <c r="M32">
        <v>1.188888889036176</v>
      </c>
    </row>
    <row r="33" spans="1:13">
      <c r="A33" t="s">
        <v>16</v>
      </c>
      <c r="B33">
        <v>10</v>
      </c>
      <c r="C33">
        <v>1</v>
      </c>
      <c r="D33">
        <v>1430</v>
      </c>
      <c r="E33">
        <v>935</v>
      </c>
      <c r="F33">
        <v>584</v>
      </c>
      <c r="G33">
        <v>4.9075630252100844</v>
      </c>
      <c r="H33">
        <v>119</v>
      </c>
      <c r="I33">
        <v>0.20376712328767119</v>
      </c>
      <c r="J33">
        <v>10.34438502673801</v>
      </c>
      <c r="K33">
        <v>1.3347944831168801</v>
      </c>
      <c r="L33">
        <v>833.77777777938104</v>
      </c>
      <c r="M33">
        <v>0.71820987669017078</v>
      </c>
    </row>
    <row r="34" spans="1:13">
      <c r="A34" t="s">
        <v>16</v>
      </c>
      <c r="B34">
        <v>10</v>
      </c>
      <c r="C34">
        <v>2</v>
      </c>
      <c r="D34">
        <v>1430</v>
      </c>
      <c r="E34">
        <v>987</v>
      </c>
      <c r="F34">
        <v>617</v>
      </c>
      <c r="G34">
        <v>5.0991735537190079</v>
      </c>
      <c r="H34">
        <v>121</v>
      </c>
      <c r="I34">
        <v>0.19611021069692061</v>
      </c>
      <c r="J34">
        <v>10.13779128672746</v>
      </c>
      <c r="K34">
        <v>1.3103632125460101</v>
      </c>
      <c r="L34">
        <v>762.40000000450698</v>
      </c>
      <c r="M34">
        <v>0.73271604952975911</v>
      </c>
    </row>
    <row r="35" spans="1:13">
      <c r="A35" t="s">
        <v>16</v>
      </c>
      <c r="B35">
        <v>10</v>
      </c>
      <c r="C35">
        <v>3</v>
      </c>
      <c r="D35">
        <v>1428</v>
      </c>
      <c r="E35">
        <v>940</v>
      </c>
      <c r="F35">
        <v>607</v>
      </c>
      <c r="G35">
        <v>5.1880341880341883</v>
      </c>
      <c r="H35">
        <v>117</v>
      </c>
      <c r="I35">
        <v>0.1927512355848435</v>
      </c>
      <c r="J35">
        <v>10.42021276595751</v>
      </c>
      <c r="K35">
        <v>1.31301350242091</v>
      </c>
      <c r="L35">
        <v>766.48888889342004</v>
      </c>
      <c r="M35">
        <v>0.88580246928293405</v>
      </c>
    </row>
    <row r="36" spans="1:13">
      <c r="A36" t="s">
        <v>16</v>
      </c>
      <c r="B36">
        <v>10</v>
      </c>
      <c r="C36">
        <v>4</v>
      </c>
      <c r="D36">
        <v>1431</v>
      </c>
      <c r="E36">
        <v>950</v>
      </c>
      <c r="F36">
        <v>597</v>
      </c>
      <c r="G36">
        <v>5.0168067226890756</v>
      </c>
      <c r="H36">
        <v>119</v>
      </c>
      <c r="I36">
        <v>0.19932998324958121</v>
      </c>
      <c r="J36">
        <v>10.676155323210949</v>
      </c>
      <c r="K36">
        <v>1.3667976693759201</v>
      </c>
      <c r="L36">
        <v>772.00000000456396</v>
      </c>
      <c r="M36">
        <v>0.70154321002381459</v>
      </c>
    </row>
    <row r="37" spans="1:13">
      <c r="A37" t="s">
        <v>16</v>
      </c>
      <c r="B37">
        <v>10</v>
      </c>
      <c r="C37">
        <v>5</v>
      </c>
      <c r="D37">
        <v>1430</v>
      </c>
      <c r="E37">
        <v>953</v>
      </c>
      <c r="F37">
        <v>600</v>
      </c>
      <c r="G37">
        <v>4.8780487804878048</v>
      </c>
      <c r="H37">
        <v>123</v>
      </c>
      <c r="I37">
        <v>0.20499999999999999</v>
      </c>
      <c r="J37">
        <v>10.73377750814816</v>
      </c>
      <c r="K37">
        <v>1.3544387784605201</v>
      </c>
      <c r="L37">
        <v>781.99999999687202</v>
      </c>
      <c r="M37">
        <v>0.81388888903642154</v>
      </c>
    </row>
    <row r="38" spans="1:13">
      <c r="A38" t="s">
        <v>16</v>
      </c>
      <c r="B38">
        <v>10</v>
      </c>
      <c r="C38">
        <v>6</v>
      </c>
      <c r="D38">
        <v>1428</v>
      </c>
      <c r="E38">
        <v>966</v>
      </c>
      <c r="F38">
        <v>606</v>
      </c>
      <c r="G38">
        <v>5.1794871794871797</v>
      </c>
      <c r="H38">
        <v>117</v>
      </c>
      <c r="I38">
        <v>0.1930693069306931</v>
      </c>
      <c r="J38">
        <v>10.004140786749529</v>
      </c>
      <c r="K38">
        <v>1.2918463715397599</v>
      </c>
      <c r="L38">
        <v>772.04444444455703</v>
      </c>
      <c r="M38">
        <v>0.9370370371844674</v>
      </c>
    </row>
    <row r="39" spans="1:13">
      <c r="A39" t="s">
        <v>16</v>
      </c>
      <c r="B39">
        <v>10</v>
      </c>
      <c r="C39">
        <v>7</v>
      </c>
      <c r="D39">
        <v>1431</v>
      </c>
      <c r="E39">
        <v>958</v>
      </c>
      <c r="F39">
        <v>611</v>
      </c>
      <c r="G39">
        <v>5.3596491228070171</v>
      </c>
      <c r="H39">
        <v>114</v>
      </c>
      <c r="I39">
        <v>0.18657937806873981</v>
      </c>
      <c r="J39">
        <v>9.9624204070976212</v>
      </c>
      <c r="K39">
        <v>1.2660103568502099</v>
      </c>
      <c r="L39">
        <v>879.73333333853395</v>
      </c>
      <c r="M39">
        <v>0.70493827175223189</v>
      </c>
    </row>
    <row r="40" spans="1:13">
      <c r="A40" t="s">
        <v>16</v>
      </c>
      <c r="B40">
        <v>10</v>
      </c>
      <c r="C40">
        <v>8</v>
      </c>
      <c r="D40">
        <v>1429</v>
      </c>
      <c r="E40">
        <v>958</v>
      </c>
      <c r="F40">
        <v>601</v>
      </c>
      <c r="G40">
        <v>5.2260869565217387</v>
      </c>
      <c r="H40">
        <v>115</v>
      </c>
      <c r="I40">
        <v>0.1913477537437604</v>
      </c>
      <c r="J40">
        <v>10.174321503131569</v>
      </c>
      <c r="K40">
        <v>1.3178763564051901</v>
      </c>
      <c r="L40">
        <v>741.77777778216296</v>
      </c>
      <c r="M40">
        <v>0.87839506187589045</v>
      </c>
    </row>
    <row r="41" spans="1:13">
      <c r="A41" t="s">
        <v>16</v>
      </c>
      <c r="B41">
        <v>10</v>
      </c>
      <c r="C41">
        <v>9</v>
      </c>
      <c r="D41">
        <v>1426</v>
      </c>
      <c r="E41">
        <v>931</v>
      </c>
      <c r="F41">
        <v>592</v>
      </c>
      <c r="G41">
        <v>5.2389380530973453</v>
      </c>
      <c r="H41">
        <v>113</v>
      </c>
      <c r="I41">
        <v>0.1908783783783784</v>
      </c>
      <c r="J41">
        <v>10.459717656914499</v>
      </c>
      <c r="K41">
        <v>1.31724954228765</v>
      </c>
      <c r="L41">
        <v>771.82222222678502</v>
      </c>
      <c r="M41">
        <v>0.99598765446795334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workbookViewId="0"/>
  </sheetViews>
  <sheetFormatPr defaultRowHeight="15.75"/>
  <cols>
    <col min="1" max="5" width="18" customWidth="1"/>
  </cols>
  <sheetData>
    <row r="1" spans="1: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22</v>
      </c>
      <c r="B2" t="s">
        <v>13</v>
      </c>
      <c r="C2" t="s">
        <v>3</v>
      </c>
      <c r="D2">
        <f>AVERAGE(per_seed!$D$2:$D$11)</f>
        <v>1242.3</v>
      </c>
      <c r="E2">
        <v>1242.3</v>
      </c>
    </row>
    <row r="3" spans="1:5">
      <c r="A3" t="s">
        <v>23</v>
      </c>
      <c r="B3" t="s">
        <v>13</v>
      </c>
      <c r="C3" t="s">
        <v>3</v>
      </c>
      <c r="D3">
        <f>_xlfn.STDEV.S(per_seed!$D$2:$D$11)</f>
        <v>25.983114174829431</v>
      </c>
      <c r="E3">
        <v>25.983114174829431</v>
      </c>
    </row>
    <row r="4" spans="1:5">
      <c r="A4" t="s">
        <v>22</v>
      </c>
      <c r="B4" t="s">
        <v>13</v>
      </c>
      <c r="C4" t="s">
        <v>4</v>
      </c>
      <c r="D4">
        <f>AVERAGE(per_seed!$E$2:$E$11)</f>
        <v>806.9</v>
      </c>
      <c r="E4">
        <v>806.9</v>
      </c>
    </row>
    <row r="5" spans="1:5">
      <c r="A5" t="s">
        <v>23</v>
      </c>
      <c r="B5" t="s">
        <v>13</v>
      </c>
      <c r="C5" t="s">
        <v>4</v>
      </c>
      <c r="D5">
        <f>_xlfn.STDEV.S(per_seed!$E$2:$E$11)</f>
        <v>22.253339324944267</v>
      </c>
      <c r="E5">
        <v>22.253339324944271</v>
      </c>
    </row>
    <row r="6" spans="1:5">
      <c r="A6" t="s">
        <v>22</v>
      </c>
      <c r="B6" t="s">
        <v>13</v>
      </c>
      <c r="C6" t="s">
        <v>5</v>
      </c>
      <c r="D6">
        <f>AVERAGE(per_seed!$F$2:$F$11)</f>
        <v>574.9</v>
      </c>
      <c r="E6">
        <v>574.9</v>
      </c>
    </row>
    <row r="7" spans="1:5">
      <c r="A7" t="s">
        <v>23</v>
      </c>
      <c r="B7" t="s">
        <v>13</v>
      </c>
      <c r="C7" t="s">
        <v>5</v>
      </c>
      <c r="D7">
        <f>_xlfn.STDEV.S(per_seed!$F$2:$F$11)</f>
        <v>17.025797419732733</v>
      </c>
      <c r="E7">
        <v>17.025797419732729</v>
      </c>
    </row>
    <row r="8" spans="1:5">
      <c r="A8" t="s">
        <v>22</v>
      </c>
      <c r="B8" t="s">
        <v>13</v>
      </c>
      <c r="C8" t="s">
        <v>6</v>
      </c>
      <c r="D8">
        <f>AVERAGE(per_seed!$G$2:$G$11)</f>
        <v>3.2607987389665363</v>
      </c>
      <c r="E8">
        <v>3.2607987389665358</v>
      </c>
    </row>
    <row r="9" spans="1:5">
      <c r="A9" t="s">
        <v>23</v>
      </c>
      <c r="B9" t="s">
        <v>13</v>
      </c>
      <c r="C9" t="s">
        <v>6</v>
      </c>
      <c r="D9">
        <f>_xlfn.STDEV.S(per_seed!$G$2:$G$11)</f>
        <v>7.509802070597188E-2</v>
      </c>
      <c r="E9">
        <v>7.5098020705971866E-2</v>
      </c>
    </row>
    <row r="10" spans="1:5">
      <c r="A10" t="s">
        <v>22</v>
      </c>
      <c r="B10" t="s">
        <v>13</v>
      </c>
      <c r="C10" t="s">
        <v>7</v>
      </c>
      <c r="D10">
        <f>AVERAGE(per_seed!$H$2:$H$11)</f>
        <v>176.3</v>
      </c>
      <c r="E10">
        <v>176.3</v>
      </c>
    </row>
    <row r="11" spans="1:5">
      <c r="A11" t="s">
        <v>23</v>
      </c>
      <c r="B11" t="s">
        <v>13</v>
      </c>
      <c r="C11" t="s">
        <v>7</v>
      </c>
      <c r="D11">
        <f>_xlfn.STDEV.S(per_seed!$H$2:$H$11)</f>
        <v>2.9078437983419181</v>
      </c>
      <c r="E11">
        <v>2.907843798341919</v>
      </c>
    </row>
    <row r="12" spans="1:5">
      <c r="A12" t="s">
        <v>22</v>
      </c>
      <c r="B12" t="s">
        <v>13</v>
      </c>
      <c r="C12" t="s">
        <v>8</v>
      </c>
      <c r="D12">
        <f>AVERAGE(per_seed!$I$2:$I$11)</f>
        <v>0.30681921728398198</v>
      </c>
      <c r="E12">
        <v>0.30681921728398193</v>
      </c>
    </row>
    <row r="13" spans="1:5">
      <c r="A13" t="s">
        <v>23</v>
      </c>
      <c r="B13" t="s">
        <v>13</v>
      </c>
      <c r="C13" t="s">
        <v>8</v>
      </c>
      <c r="D13">
        <f>_xlfn.STDEV.S(per_seed!$I$2:$I$11)</f>
        <v>7.0406236401184454E-3</v>
      </c>
      <c r="E13">
        <v>7.0406236401184394E-3</v>
      </c>
    </row>
    <row r="14" spans="1:5">
      <c r="A14" t="s">
        <v>22</v>
      </c>
      <c r="B14" t="s">
        <v>13</v>
      </c>
      <c r="C14" t="s">
        <v>9</v>
      </c>
      <c r="D14">
        <f>AVERAGE(per_seed!$J$2:$J$11)</f>
        <v>14.859667934376494</v>
      </c>
      <c r="E14">
        <v>14.8596679343765</v>
      </c>
    </row>
    <row r="15" spans="1:5">
      <c r="A15" t="s">
        <v>23</v>
      </c>
      <c r="B15" t="s">
        <v>13</v>
      </c>
      <c r="C15" t="s">
        <v>9</v>
      </c>
      <c r="D15">
        <f>_xlfn.STDEV.S(per_seed!$J$2:$J$11)</f>
        <v>0.30654818582473975</v>
      </c>
      <c r="E15">
        <v>0.30654818582473869</v>
      </c>
    </row>
    <row r="16" spans="1:5">
      <c r="A16" t="s">
        <v>22</v>
      </c>
      <c r="B16" t="s">
        <v>13</v>
      </c>
      <c r="C16" t="s">
        <v>10</v>
      </c>
      <c r="D16">
        <f>AVERAGE(per_seed!$K$2:$K$11)</f>
        <v>1.6958218592822267</v>
      </c>
      <c r="E16">
        <v>1.695821859282227</v>
      </c>
    </row>
    <row r="17" spans="1:5">
      <c r="A17" t="s">
        <v>23</v>
      </c>
      <c r="B17" t="s">
        <v>13</v>
      </c>
      <c r="C17" t="s">
        <v>10</v>
      </c>
      <c r="D17">
        <f>_xlfn.STDEV.S(per_seed!$K$2:$K$11)</f>
        <v>4.3418512462589882E-2</v>
      </c>
      <c r="E17">
        <v>4.3418512462589882E-2</v>
      </c>
    </row>
    <row r="18" spans="1:5">
      <c r="A18" t="s">
        <v>22</v>
      </c>
      <c r="B18" t="s">
        <v>13</v>
      </c>
      <c r="C18" t="s">
        <v>11</v>
      </c>
      <c r="D18">
        <f>AVERAGE(per_seed!$L$2:$L$11)</f>
        <v>324.48888888924569</v>
      </c>
      <c r="E18">
        <v>324.48888888924569</v>
      </c>
    </row>
    <row r="19" spans="1:5">
      <c r="A19" t="s">
        <v>23</v>
      </c>
      <c r="B19" t="s">
        <v>13</v>
      </c>
      <c r="C19" t="s">
        <v>11</v>
      </c>
      <c r="D19">
        <f>_xlfn.STDEV.S(per_seed!$L$2:$L$11)</f>
        <v>12.769992259862397</v>
      </c>
      <c r="E19">
        <v>12.7699922598624</v>
      </c>
    </row>
    <row r="20" spans="1:5">
      <c r="A20" t="s">
        <v>22</v>
      </c>
      <c r="B20" t="s">
        <v>13</v>
      </c>
      <c r="C20" t="s">
        <v>12</v>
      </c>
      <c r="D20">
        <f>AVERAGE(per_seed!$M$2:$M$11)</f>
        <v>13.77734567912275</v>
      </c>
      <c r="E20">
        <v>13.77734567912275</v>
      </c>
    </row>
    <row r="21" spans="1:5">
      <c r="A21" t="s">
        <v>23</v>
      </c>
      <c r="B21" t="s">
        <v>13</v>
      </c>
      <c r="C21" t="s">
        <v>12</v>
      </c>
      <c r="D21">
        <f>_xlfn.STDEV.S(per_seed!$M$2:$M$11)</f>
        <v>1.7950269403585484</v>
      </c>
      <c r="E21">
        <v>1.795026940358541</v>
      </c>
    </row>
    <row r="22" spans="1:5">
      <c r="A22" t="s">
        <v>22</v>
      </c>
      <c r="B22" t="s">
        <v>14</v>
      </c>
      <c r="C22" t="s">
        <v>3</v>
      </c>
      <c r="D22">
        <f>AVERAGE(per_seed!$D$12:$D$21)</f>
        <v>1419.9</v>
      </c>
      <c r="E22">
        <v>1419.9</v>
      </c>
    </row>
    <row r="23" spans="1:5">
      <c r="A23" t="s">
        <v>23</v>
      </c>
      <c r="B23" t="s">
        <v>14</v>
      </c>
      <c r="C23" t="s">
        <v>3</v>
      </c>
      <c r="D23">
        <f>_xlfn.STDEV.S(per_seed!$D$12:$D$21)</f>
        <v>6.8223488949513902</v>
      </c>
      <c r="E23">
        <v>6.8223488949513893</v>
      </c>
    </row>
    <row r="24" spans="1:5">
      <c r="A24" t="s">
        <v>22</v>
      </c>
      <c r="B24" t="s">
        <v>14</v>
      </c>
      <c r="C24" t="s">
        <v>4</v>
      </c>
      <c r="D24">
        <f>AVERAGE(per_seed!$E$12:$E$21)</f>
        <v>946.1</v>
      </c>
      <c r="E24">
        <v>946.1</v>
      </c>
    </row>
    <row r="25" spans="1:5">
      <c r="A25" t="s">
        <v>23</v>
      </c>
      <c r="B25" t="s">
        <v>14</v>
      </c>
      <c r="C25" t="s">
        <v>4</v>
      </c>
      <c r="D25">
        <f>_xlfn.STDEV.S(per_seed!$E$12:$E$21)</f>
        <v>15.623699945915501</v>
      </c>
      <c r="E25">
        <v>15.623699945915501</v>
      </c>
    </row>
    <row r="26" spans="1:5">
      <c r="A26" t="s">
        <v>22</v>
      </c>
      <c r="B26" t="s">
        <v>14</v>
      </c>
      <c r="C26" t="s">
        <v>5</v>
      </c>
      <c r="D26">
        <f>AVERAGE(per_seed!$F$12:$F$21)</f>
        <v>599.1</v>
      </c>
      <c r="E26">
        <v>599.1</v>
      </c>
    </row>
    <row r="27" spans="1:5">
      <c r="A27" t="s">
        <v>23</v>
      </c>
      <c r="B27" t="s">
        <v>14</v>
      </c>
      <c r="C27" t="s">
        <v>5</v>
      </c>
      <c r="D27">
        <f>_xlfn.STDEV.S(per_seed!$F$12:$F$21)</f>
        <v>12.10555428076073</v>
      </c>
      <c r="E27">
        <v>12.10555428076073</v>
      </c>
    </row>
    <row r="28" spans="1:5">
      <c r="A28" t="s">
        <v>22</v>
      </c>
      <c r="B28" t="s">
        <v>14</v>
      </c>
      <c r="C28" t="s">
        <v>6</v>
      </c>
      <c r="D28">
        <f>AVERAGE(per_seed!$G$12:$G$21)</f>
        <v>5.3376677629166966</v>
      </c>
      <c r="E28">
        <v>5.3376677629166966</v>
      </c>
    </row>
    <row r="29" spans="1:5">
      <c r="A29" t="s">
        <v>23</v>
      </c>
      <c r="B29" t="s">
        <v>14</v>
      </c>
      <c r="C29" t="s">
        <v>6</v>
      </c>
      <c r="D29">
        <f>_xlfn.STDEV.S(per_seed!$G$12:$G$21)</f>
        <v>0.17628553013477707</v>
      </c>
      <c r="E29">
        <v>0.1762855301347771</v>
      </c>
    </row>
    <row r="30" spans="1:5">
      <c r="A30" t="s">
        <v>22</v>
      </c>
      <c r="B30" t="s">
        <v>14</v>
      </c>
      <c r="C30" t="s">
        <v>7</v>
      </c>
      <c r="D30">
        <f>AVERAGE(per_seed!$H$12:$H$21)</f>
        <v>112.3</v>
      </c>
      <c r="E30">
        <v>112.3</v>
      </c>
    </row>
    <row r="31" spans="1:5">
      <c r="A31" t="s">
        <v>23</v>
      </c>
      <c r="B31" t="s">
        <v>14</v>
      </c>
      <c r="C31" t="s">
        <v>7</v>
      </c>
      <c r="D31">
        <f>_xlfn.STDEV.S(per_seed!$H$12:$H$21)</f>
        <v>2.496664441476534</v>
      </c>
      <c r="E31">
        <v>2.496664441476534</v>
      </c>
    </row>
    <row r="32" spans="1:5">
      <c r="A32" t="s">
        <v>22</v>
      </c>
      <c r="B32" t="s">
        <v>14</v>
      </c>
      <c r="C32" t="s">
        <v>8</v>
      </c>
      <c r="D32">
        <f>AVERAGE(per_seed!$I$12:$I$21)</f>
        <v>0.18753467059211162</v>
      </c>
      <c r="E32">
        <v>0.1875346705921116</v>
      </c>
    </row>
    <row r="33" spans="1:5">
      <c r="A33" t="s">
        <v>23</v>
      </c>
      <c r="B33" t="s">
        <v>14</v>
      </c>
      <c r="C33" t="s">
        <v>8</v>
      </c>
      <c r="D33">
        <f>_xlfn.STDEV.S(per_seed!$I$12:$I$21)</f>
        <v>6.2916126374122543E-3</v>
      </c>
      <c r="E33">
        <v>6.2916126374122404E-3</v>
      </c>
    </row>
    <row r="34" spans="1:5">
      <c r="A34" t="s">
        <v>22</v>
      </c>
      <c r="B34" t="s">
        <v>14</v>
      </c>
      <c r="C34" t="s">
        <v>9</v>
      </c>
      <c r="D34">
        <f>AVERAGE(per_seed!$J$12:$J$21)</f>
        <v>9.3735739919392298</v>
      </c>
      <c r="E34">
        <v>9.3735739919392298</v>
      </c>
    </row>
    <row r="35" spans="1:5">
      <c r="A35" t="s">
        <v>23</v>
      </c>
      <c r="B35" t="s">
        <v>14</v>
      </c>
      <c r="C35" t="s">
        <v>9</v>
      </c>
      <c r="D35">
        <f>_xlfn.STDEV.S(per_seed!$J$12:$J$21)</f>
        <v>0.33887032943654422</v>
      </c>
      <c r="E35">
        <v>0.33887032943654422</v>
      </c>
    </row>
    <row r="36" spans="1:5">
      <c r="A36" t="s">
        <v>22</v>
      </c>
      <c r="B36" t="s">
        <v>14</v>
      </c>
      <c r="C36" t="s">
        <v>10</v>
      </c>
      <c r="D36">
        <f>AVERAGE(per_seed!$K$12:$K$21)</f>
        <v>1.189524545228474</v>
      </c>
      <c r="E36">
        <v>1.189524545228474</v>
      </c>
    </row>
    <row r="37" spans="1:5">
      <c r="A37" t="s">
        <v>23</v>
      </c>
      <c r="B37" t="s">
        <v>14</v>
      </c>
      <c r="C37" t="s">
        <v>10</v>
      </c>
      <c r="D37">
        <f>_xlfn.STDEV.S(per_seed!$K$12:$K$21)</f>
        <v>3.5017578956487584E-2</v>
      </c>
      <c r="E37">
        <v>3.5017578956487591E-2</v>
      </c>
    </row>
    <row r="38" spans="1:5">
      <c r="A38" t="s">
        <v>22</v>
      </c>
      <c r="B38" t="s">
        <v>14</v>
      </c>
      <c r="C38" t="s">
        <v>11</v>
      </c>
      <c r="D38">
        <f>AVERAGE(per_seed!$L$12:$L$21)</f>
        <v>830.78666666901313</v>
      </c>
      <c r="E38">
        <v>830.78666666901313</v>
      </c>
    </row>
    <row r="39" spans="1:5">
      <c r="A39" t="s">
        <v>23</v>
      </c>
      <c r="B39" t="s">
        <v>14</v>
      </c>
      <c r="C39" t="s">
        <v>11</v>
      </c>
      <c r="D39">
        <f>_xlfn.STDEV.S(per_seed!$L$12:$L$21)</f>
        <v>49.576436057924504</v>
      </c>
      <c r="E39">
        <v>49.576436057924496</v>
      </c>
    </row>
    <row r="40" spans="1:5">
      <c r="A40" t="s">
        <v>22</v>
      </c>
      <c r="B40" t="s">
        <v>14</v>
      </c>
      <c r="C40" t="s">
        <v>12</v>
      </c>
      <c r="D40">
        <f>AVERAGE(per_seed!$M$12:$M$21)</f>
        <v>1.4530555557027163</v>
      </c>
      <c r="E40">
        <v>1.4530555557027161</v>
      </c>
    </row>
    <row r="41" spans="1:5">
      <c r="A41" t="s">
        <v>23</v>
      </c>
      <c r="B41" t="s">
        <v>14</v>
      </c>
      <c r="C41" t="s">
        <v>12</v>
      </c>
      <c r="D41">
        <f>_xlfn.STDEV.S(per_seed!$M$12:$M$21)</f>
        <v>0.4713365833229603</v>
      </c>
      <c r="E41">
        <v>0.47133658332296141</v>
      </c>
    </row>
    <row r="42" spans="1:5">
      <c r="A42" t="s">
        <v>22</v>
      </c>
      <c r="B42" t="s">
        <v>15</v>
      </c>
      <c r="C42" t="s">
        <v>3</v>
      </c>
      <c r="D42">
        <f>AVERAGE(per_seed!$D$22:$D$31)</f>
        <v>1415.6</v>
      </c>
      <c r="E42">
        <v>1415.6</v>
      </c>
    </row>
    <row r="43" spans="1:5">
      <c r="A43" t="s">
        <v>23</v>
      </c>
      <c r="B43" t="s">
        <v>15</v>
      </c>
      <c r="C43" t="s">
        <v>3</v>
      </c>
      <c r="D43">
        <f>_xlfn.STDEV.S(per_seed!$D$22:$D$31)</f>
        <v>15.756480148391853</v>
      </c>
      <c r="E43">
        <v>15.75648014839186</v>
      </c>
    </row>
    <row r="44" spans="1:5">
      <c r="A44" t="s">
        <v>22</v>
      </c>
      <c r="B44" t="s">
        <v>15</v>
      </c>
      <c r="C44" t="s">
        <v>4</v>
      </c>
      <c r="D44">
        <f>AVERAGE(per_seed!$E$22:$E$31)</f>
        <v>917.9</v>
      </c>
      <c r="E44">
        <v>917.9</v>
      </c>
    </row>
    <row r="45" spans="1:5">
      <c r="A45" t="s">
        <v>23</v>
      </c>
      <c r="B45" t="s">
        <v>15</v>
      </c>
      <c r="C45" t="s">
        <v>4</v>
      </c>
      <c r="D45">
        <f>_xlfn.STDEV.S(per_seed!$E$22:$E$31)</f>
        <v>16.842076937110683</v>
      </c>
      <c r="E45">
        <v>16.842076937110679</v>
      </c>
    </row>
    <row r="46" spans="1:5">
      <c r="A46" t="s">
        <v>22</v>
      </c>
      <c r="B46" t="s">
        <v>15</v>
      </c>
      <c r="C46" t="s">
        <v>5</v>
      </c>
      <c r="D46">
        <f>AVERAGE(per_seed!$F$22:$F$31)</f>
        <v>642.70000000000005</v>
      </c>
      <c r="E46">
        <v>642.70000000000005</v>
      </c>
    </row>
    <row r="47" spans="1:5">
      <c r="A47" t="s">
        <v>23</v>
      </c>
      <c r="B47" t="s">
        <v>15</v>
      </c>
      <c r="C47" t="s">
        <v>5</v>
      </c>
      <c r="D47">
        <f>_xlfn.STDEV.S(per_seed!$F$22:$F$31)</f>
        <v>12.534840334931362</v>
      </c>
      <c r="E47">
        <v>12.53484033493136</v>
      </c>
    </row>
    <row r="48" spans="1:5">
      <c r="A48" t="s">
        <v>22</v>
      </c>
      <c r="B48" t="s">
        <v>15</v>
      </c>
      <c r="C48" t="s">
        <v>6</v>
      </c>
      <c r="D48">
        <f>AVERAGE(per_seed!$G$22:$G$31)</f>
        <v>3.0175335478330823</v>
      </c>
      <c r="E48">
        <v>3.0175335478330831</v>
      </c>
    </row>
    <row r="49" spans="1:5">
      <c r="A49" t="s">
        <v>23</v>
      </c>
      <c r="B49" t="s">
        <v>15</v>
      </c>
      <c r="C49" t="s">
        <v>6</v>
      </c>
      <c r="D49">
        <f>_xlfn.STDEV.S(per_seed!$G$22:$G$31)</f>
        <v>9.0350646029298376E-2</v>
      </c>
      <c r="E49">
        <v>9.035064602929832E-2</v>
      </c>
    </row>
    <row r="50" spans="1:5">
      <c r="A50" t="s">
        <v>22</v>
      </c>
      <c r="B50" t="s">
        <v>15</v>
      </c>
      <c r="C50" t="s">
        <v>7</v>
      </c>
      <c r="D50">
        <f>AVERAGE(per_seed!$H$22:$H$31)</f>
        <v>213.1</v>
      </c>
      <c r="E50">
        <v>213.1</v>
      </c>
    </row>
    <row r="51" spans="1:5">
      <c r="A51" t="s">
        <v>23</v>
      </c>
      <c r="B51" t="s">
        <v>15</v>
      </c>
      <c r="C51" t="s">
        <v>7</v>
      </c>
      <c r="D51">
        <f>_xlfn.STDEV.S(per_seed!$H$22:$H$31)</f>
        <v>5.3218626647276626</v>
      </c>
      <c r="E51">
        <v>5.3218626647276626</v>
      </c>
    </row>
    <row r="52" spans="1:5">
      <c r="A52" t="s">
        <v>22</v>
      </c>
      <c r="B52" t="s">
        <v>15</v>
      </c>
      <c r="C52" t="s">
        <v>8</v>
      </c>
      <c r="D52">
        <f>AVERAGE(per_seed!$I$22:$I$31)</f>
        <v>0.33167442123651014</v>
      </c>
      <c r="E52">
        <v>0.33167442123651009</v>
      </c>
    </row>
    <row r="53" spans="1:5">
      <c r="A53" t="s">
        <v>23</v>
      </c>
      <c r="B53" t="s">
        <v>15</v>
      </c>
      <c r="C53" t="s">
        <v>8</v>
      </c>
      <c r="D53">
        <f>_xlfn.STDEV.S(per_seed!$I$22:$I$31)</f>
        <v>1.0320134653680771E-2</v>
      </c>
      <c r="E53">
        <v>1.0320134653680769E-2</v>
      </c>
    </row>
    <row r="54" spans="1:5">
      <c r="A54" t="s">
        <v>22</v>
      </c>
      <c r="B54" t="s">
        <v>15</v>
      </c>
      <c r="C54" t="s">
        <v>9</v>
      </c>
      <c r="D54">
        <f>AVERAGE(per_seed!$J$22:$J$31)</f>
        <v>16.77225328857563</v>
      </c>
      <c r="E54">
        <v>16.77225328857563</v>
      </c>
    </row>
    <row r="55" spans="1:5">
      <c r="A55" t="s">
        <v>23</v>
      </c>
      <c r="B55" t="s">
        <v>15</v>
      </c>
      <c r="C55" t="s">
        <v>9</v>
      </c>
      <c r="D55">
        <f>_xlfn.STDEV.S(per_seed!$J$22:$J$31)</f>
        <v>0.59031385006732584</v>
      </c>
      <c r="E55">
        <v>0.59031385006732584</v>
      </c>
    </row>
    <row r="56" spans="1:5">
      <c r="A56" t="s">
        <v>22</v>
      </c>
      <c r="B56" t="s">
        <v>15</v>
      </c>
      <c r="C56" t="s">
        <v>10</v>
      </c>
      <c r="D56">
        <f>AVERAGE(per_seed!$K$22:$K$31)</f>
        <v>1.9804176847243666</v>
      </c>
      <c r="E56">
        <v>1.9804176847243671</v>
      </c>
    </row>
    <row r="57" spans="1:5">
      <c r="A57" t="s">
        <v>23</v>
      </c>
      <c r="B57" t="s">
        <v>15</v>
      </c>
      <c r="C57" t="s">
        <v>10</v>
      </c>
      <c r="D57">
        <f>_xlfn.STDEV.S(per_seed!$K$22:$K$31)</f>
        <v>6.2907580013754474E-2</v>
      </c>
      <c r="E57">
        <v>6.2907580013754488E-2</v>
      </c>
    </row>
    <row r="58" spans="1:5">
      <c r="A58" t="s">
        <v>22</v>
      </c>
      <c r="B58" t="s">
        <v>15</v>
      </c>
      <c r="C58" t="s">
        <v>11</v>
      </c>
      <c r="D58">
        <f>AVERAGE(per_seed!$L$22:$L$31)</f>
        <v>373.60444444524211</v>
      </c>
      <c r="E58">
        <v>373.60444444524211</v>
      </c>
    </row>
    <row r="59" spans="1:5">
      <c r="A59" t="s">
        <v>23</v>
      </c>
      <c r="B59" t="s">
        <v>15</v>
      </c>
      <c r="C59" t="s">
        <v>11</v>
      </c>
      <c r="D59">
        <f>_xlfn.STDEV.S(per_seed!$L$22:$L$31)</f>
        <v>21.590430742139823</v>
      </c>
      <c r="E59">
        <v>21.590430742139819</v>
      </c>
    </row>
    <row r="60" spans="1:5">
      <c r="A60" t="s">
        <v>22</v>
      </c>
      <c r="B60" t="s">
        <v>15</v>
      </c>
      <c r="C60" t="s">
        <v>12</v>
      </c>
      <c r="D60">
        <f>AVERAGE(per_seed!$M$22:$M$31)</f>
        <v>1.7647530865596484</v>
      </c>
      <c r="E60">
        <v>1.7647530865596479</v>
      </c>
    </row>
    <row r="61" spans="1:5">
      <c r="A61" t="s">
        <v>23</v>
      </c>
      <c r="B61" t="s">
        <v>15</v>
      </c>
      <c r="C61" t="s">
        <v>12</v>
      </c>
      <c r="D61">
        <f>_xlfn.STDEV.S(per_seed!$M$22:$M$31)</f>
        <v>1.1062705947788449</v>
      </c>
      <c r="E61">
        <v>1.1062705947788449</v>
      </c>
    </row>
    <row r="62" spans="1:5">
      <c r="A62" t="s">
        <v>22</v>
      </c>
      <c r="B62" t="s">
        <v>16</v>
      </c>
      <c r="C62" t="s">
        <v>3</v>
      </c>
      <c r="D62">
        <f>AVERAGE(per_seed!$D$32:$D$41)</f>
        <v>1428.7</v>
      </c>
      <c r="E62">
        <v>1428.7</v>
      </c>
    </row>
    <row r="63" spans="1:5">
      <c r="A63" t="s">
        <v>23</v>
      </c>
      <c r="B63" t="s">
        <v>16</v>
      </c>
      <c r="C63" t="s">
        <v>3</v>
      </c>
      <c r="D63">
        <f>_xlfn.STDEV.S(per_seed!$D$32:$D$41)</f>
        <v>2.263232692902394</v>
      </c>
      <c r="E63">
        <v>2.263232692902394</v>
      </c>
    </row>
    <row r="64" spans="1:5">
      <c r="A64" t="s">
        <v>22</v>
      </c>
      <c r="B64" t="s">
        <v>16</v>
      </c>
      <c r="C64" t="s">
        <v>4</v>
      </c>
      <c r="D64">
        <f>AVERAGE(per_seed!$E$32:$E$41)</f>
        <v>952.2</v>
      </c>
      <c r="E64">
        <v>952.2</v>
      </c>
    </row>
    <row r="65" spans="1:5">
      <c r="A65" t="s">
        <v>23</v>
      </c>
      <c r="B65" t="s">
        <v>16</v>
      </c>
      <c r="C65" t="s">
        <v>4</v>
      </c>
      <c r="D65">
        <f>_xlfn.STDEV.S(per_seed!$E$32:$E$41)</f>
        <v>16.45059944871986</v>
      </c>
      <c r="E65">
        <v>16.45059944871986</v>
      </c>
    </row>
    <row r="66" spans="1:5">
      <c r="A66" t="s">
        <v>22</v>
      </c>
      <c r="B66" t="s">
        <v>16</v>
      </c>
      <c r="C66" t="s">
        <v>5</v>
      </c>
      <c r="D66">
        <f>AVERAGE(per_seed!$F$32:$F$41)</f>
        <v>603.5</v>
      </c>
      <c r="E66">
        <v>603.5</v>
      </c>
    </row>
    <row r="67" spans="1:5">
      <c r="A67" t="s">
        <v>23</v>
      </c>
      <c r="B67" t="s">
        <v>16</v>
      </c>
      <c r="C67" t="s">
        <v>5</v>
      </c>
      <c r="D67">
        <f>_xlfn.STDEV.S(per_seed!$F$32:$F$41)</f>
        <v>11.067971810589327</v>
      </c>
      <c r="E67">
        <v>11.067971810589331</v>
      </c>
    </row>
    <row r="68" spans="1:5">
      <c r="A68" t="s">
        <v>22</v>
      </c>
      <c r="B68" t="s">
        <v>16</v>
      </c>
      <c r="C68" t="s">
        <v>6</v>
      </c>
      <c r="D68">
        <f>AVERAGE(per_seed!$G$32:$G$41)</f>
        <v>5.1175754795168205</v>
      </c>
      <c r="E68">
        <v>5.1175754795168196</v>
      </c>
    </row>
    <row r="69" spans="1:5">
      <c r="A69" t="s">
        <v>23</v>
      </c>
      <c r="B69" t="s">
        <v>16</v>
      </c>
      <c r="C69" t="s">
        <v>6</v>
      </c>
      <c r="D69">
        <f>_xlfn.STDEV.S(per_seed!$G$32:$G$41)</f>
        <v>0.15170876494723376</v>
      </c>
      <c r="E69">
        <v>0.15170876494723379</v>
      </c>
    </row>
    <row r="70" spans="1:5">
      <c r="A70" t="s">
        <v>22</v>
      </c>
      <c r="B70" t="s">
        <v>16</v>
      </c>
      <c r="C70" t="s">
        <v>7</v>
      </c>
      <c r="D70">
        <f>AVERAGE(per_seed!$H$32:$H$41)</f>
        <v>118</v>
      </c>
      <c r="E70">
        <v>118</v>
      </c>
    </row>
    <row r="71" spans="1:5">
      <c r="A71" t="s">
        <v>23</v>
      </c>
      <c r="B71" t="s">
        <v>16</v>
      </c>
      <c r="C71" t="s">
        <v>7</v>
      </c>
      <c r="D71">
        <f>_xlfn.STDEV.S(per_seed!$H$32:$H$41)</f>
        <v>3.39934634239519</v>
      </c>
      <c r="E71">
        <v>3.39934634239519</v>
      </c>
    </row>
    <row r="72" spans="1:5">
      <c r="A72" t="s">
        <v>22</v>
      </c>
      <c r="B72" t="s">
        <v>16</v>
      </c>
      <c r="C72" t="s">
        <v>8</v>
      </c>
      <c r="D72">
        <f>AVERAGE(per_seed!$I$32:$I$41)</f>
        <v>0.19556075634889752</v>
      </c>
      <c r="E72">
        <v>0.1955607563488975</v>
      </c>
    </row>
    <row r="73" spans="1:5">
      <c r="A73" t="s">
        <v>23</v>
      </c>
      <c r="B73" t="s">
        <v>16</v>
      </c>
      <c r="C73" t="s">
        <v>8</v>
      </c>
      <c r="D73">
        <f>_xlfn.STDEV.S(per_seed!$I$32:$I$41)</f>
        <v>5.8391886587596444E-3</v>
      </c>
      <c r="E73">
        <v>5.8391886587596644E-3</v>
      </c>
    </row>
    <row r="74" spans="1:5">
      <c r="A74" t="s">
        <v>22</v>
      </c>
      <c r="B74" t="s">
        <v>16</v>
      </c>
      <c r="C74" t="s">
        <v>9</v>
      </c>
      <c r="D74">
        <f>AVERAGE(per_seed!$J$32:$J$41)</f>
        <v>10.35040239595906</v>
      </c>
      <c r="E74">
        <v>10.35040239595906</v>
      </c>
    </row>
    <row r="75" spans="1:5">
      <c r="A75" t="s">
        <v>23</v>
      </c>
      <c r="B75" t="s">
        <v>16</v>
      </c>
      <c r="C75" t="s">
        <v>9</v>
      </c>
      <c r="D75">
        <f>_xlfn.STDEV.S(per_seed!$J$32:$J$41)</f>
        <v>0.27376433738760975</v>
      </c>
      <c r="E75">
        <v>0.27376433738760908</v>
      </c>
    </row>
    <row r="76" spans="1:5">
      <c r="A76" t="s">
        <v>22</v>
      </c>
      <c r="B76" t="s">
        <v>16</v>
      </c>
      <c r="C76" t="s">
        <v>10</v>
      </c>
      <c r="D76">
        <f>AVERAGE(per_seed!$K$32:$K$41)</f>
        <v>1.317185140231671</v>
      </c>
      <c r="E76">
        <v>1.317185140231671</v>
      </c>
    </row>
    <row r="77" spans="1:5">
      <c r="A77" t="s">
        <v>23</v>
      </c>
      <c r="B77" t="s">
        <v>16</v>
      </c>
      <c r="C77" t="s">
        <v>10</v>
      </c>
      <c r="D77">
        <f>_xlfn.STDEV.S(per_seed!$K$32:$K$41)</f>
        <v>2.9436940075360178E-2</v>
      </c>
      <c r="E77">
        <v>2.9436940075360182E-2</v>
      </c>
    </row>
    <row r="78" spans="1:5">
      <c r="A78" t="s">
        <v>22</v>
      </c>
      <c r="B78" t="s">
        <v>16</v>
      </c>
      <c r="C78" t="s">
        <v>11</v>
      </c>
      <c r="D78">
        <f>AVERAGE(per_seed!$L$32:$L$41)</f>
        <v>787.77777778006782</v>
      </c>
      <c r="E78">
        <v>787.77777778006782</v>
      </c>
    </row>
    <row r="79" spans="1:5">
      <c r="A79" t="s">
        <v>23</v>
      </c>
      <c r="B79" t="s">
        <v>16</v>
      </c>
      <c r="C79" t="s">
        <v>11</v>
      </c>
      <c r="D79">
        <f>_xlfn.STDEV.S(per_seed!$L$32:$L$41)</f>
        <v>40.322039707109951</v>
      </c>
      <c r="E79">
        <v>40.322039707109951</v>
      </c>
    </row>
    <row r="80" spans="1:5">
      <c r="A80" t="s">
        <v>22</v>
      </c>
      <c r="B80" t="s">
        <v>16</v>
      </c>
      <c r="C80" t="s">
        <v>12</v>
      </c>
      <c r="D80">
        <f>AVERAGE(per_seed!$M$32:$M$41)</f>
        <v>0.8557407408879818</v>
      </c>
      <c r="E80">
        <v>0.8557407408879818</v>
      </c>
    </row>
    <row r="81" spans="1:5">
      <c r="A81" t="s">
        <v>23</v>
      </c>
      <c r="B81" t="s">
        <v>16</v>
      </c>
      <c r="C81" t="s">
        <v>12</v>
      </c>
      <c r="D81">
        <f>_xlfn.STDEV.S(per_seed!$M$32:$M$41)</f>
        <v>0.15670302874636355</v>
      </c>
      <c r="E81">
        <v>0.15670302874636341</v>
      </c>
    </row>
    <row r="82" spans="1:5">
      <c r="A82" t="s">
        <v>24</v>
      </c>
      <c r="B82" t="s">
        <v>25</v>
      </c>
      <c r="C82" t="s">
        <v>3</v>
      </c>
      <c r="D82">
        <f>(AVERAGE(per_seed!$D$12:$D$21)-AVERAGE(per_seed!$D$2:$D$11))/AVERAGE(per_seed!$D$2:$D$11)*100</f>
        <v>14.296063752716748</v>
      </c>
      <c r="E82">
        <v>14.29606375271675</v>
      </c>
    </row>
    <row r="83" spans="1:5">
      <c r="A83" t="s">
        <v>26</v>
      </c>
      <c r="B83" t="s">
        <v>25</v>
      </c>
      <c r="C83" t="s">
        <v>3</v>
      </c>
      <c r="D83">
        <f>_xlfn.T.TEST(per_seed!$D$2:$D$11,per_seed!$D$12:$D$21,2,1)</f>
        <v>1.9374854607807913E-8</v>
      </c>
      <c r="E83">
        <v>1.9374854607808131E-8</v>
      </c>
    </row>
    <row r="84" spans="1:5">
      <c r="A84" t="s">
        <v>24</v>
      </c>
      <c r="B84" t="s">
        <v>25</v>
      </c>
      <c r="C84" t="s">
        <v>4</v>
      </c>
      <c r="D84">
        <f>(AVERAGE(per_seed!$E$12:$E$21)-AVERAGE(per_seed!$E$2:$E$11))/AVERAGE(per_seed!$E$2:$E$11)*100</f>
        <v>17.251208328169543</v>
      </c>
      <c r="E84">
        <v>17.25120832816954</v>
      </c>
    </row>
    <row r="85" spans="1:5">
      <c r="A85" t="s">
        <v>26</v>
      </c>
      <c r="B85" t="s">
        <v>25</v>
      </c>
      <c r="C85" t="s">
        <v>4</v>
      </c>
      <c r="D85">
        <f>_xlfn.T.TEST(per_seed!$E$2:$E$11,per_seed!$E$12:$E$21,2,1)</f>
        <v>8.8597244229708196E-8</v>
      </c>
      <c r="E85">
        <v>8.8597244229708778E-8</v>
      </c>
    </row>
    <row r="86" spans="1:5">
      <c r="A86" t="s">
        <v>24</v>
      </c>
      <c r="B86" t="s">
        <v>25</v>
      </c>
      <c r="C86" t="s">
        <v>5</v>
      </c>
      <c r="D86">
        <f>(AVERAGE(per_seed!$F$12:$F$21)-AVERAGE(per_seed!$F$2:$F$11))/AVERAGE(per_seed!$F$2:$F$11)*100</f>
        <v>4.2094277265611488</v>
      </c>
      <c r="E86">
        <v>4.2094277265611488</v>
      </c>
    </row>
    <row r="87" spans="1:5">
      <c r="A87" t="s">
        <v>26</v>
      </c>
      <c r="B87" t="s">
        <v>25</v>
      </c>
      <c r="C87" t="s">
        <v>5</v>
      </c>
      <c r="D87">
        <f>_xlfn.T.TEST(per_seed!$F$2:$F$11,per_seed!$F$12:$F$21,2,1)</f>
        <v>2.9293822096316227E-3</v>
      </c>
      <c r="E87">
        <v>2.9293822096316592E-3</v>
      </c>
    </row>
    <row r="88" spans="1:5">
      <c r="A88" t="s">
        <v>24</v>
      </c>
      <c r="B88" t="s">
        <v>25</v>
      </c>
      <c r="C88" t="s">
        <v>6</v>
      </c>
      <c r="D88">
        <f>(AVERAGE(per_seed!$G$12:$G$21)-AVERAGE(per_seed!$G$2:$G$11))/AVERAGE(per_seed!$G$2:$G$11)*100</f>
        <v>63.692033461973018</v>
      </c>
      <c r="E88">
        <v>63.692033461973018</v>
      </c>
    </row>
    <row r="89" spans="1:5">
      <c r="A89" t="s">
        <v>26</v>
      </c>
      <c r="B89" t="s">
        <v>25</v>
      </c>
      <c r="C89" t="s">
        <v>6</v>
      </c>
      <c r="D89">
        <f>_xlfn.T.TEST(per_seed!$G$2:$G$11,per_seed!$G$12:$G$21,2,1)</f>
        <v>2.076530720374744E-10</v>
      </c>
      <c r="E89">
        <v>2.0765307203747461E-10</v>
      </c>
    </row>
    <row r="90" spans="1:5">
      <c r="A90" t="s">
        <v>24</v>
      </c>
      <c r="B90" t="s">
        <v>25</v>
      </c>
      <c r="C90" t="s">
        <v>7</v>
      </c>
      <c r="D90">
        <f>(AVERAGE(per_seed!$H$12:$H$21)-AVERAGE(per_seed!$H$2:$H$11))/AVERAGE(per_seed!$H$2:$H$11)*100</f>
        <v>-36.301758366420877</v>
      </c>
      <c r="E90">
        <v>-36.301758366420877</v>
      </c>
    </row>
    <row r="91" spans="1:5">
      <c r="A91" t="s">
        <v>26</v>
      </c>
      <c r="B91" t="s">
        <v>25</v>
      </c>
      <c r="C91" t="s">
        <v>7</v>
      </c>
      <c r="D91">
        <f>_xlfn.T.TEST(per_seed!$H$2:$H$11,per_seed!$H$12:$H$21,2,1)</f>
        <v>5.3617231825814243E-13</v>
      </c>
      <c r="E91">
        <v>5.3617231825814505E-13</v>
      </c>
    </row>
    <row r="92" spans="1:5">
      <c r="A92" t="s">
        <v>24</v>
      </c>
      <c r="B92" t="s">
        <v>25</v>
      </c>
      <c r="C92" t="s">
        <v>8</v>
      </c>
      <c r="D92">
        <f>(AVERAGE(per_seed!$I$12:$I$21)-AVERAGE(per_seed!$I$2:$I$11))/AVERAGE(per_seed!$I$2:$I$11)*100</f>
        <v>-38.877795122417133</v>
      </c>
      <c r="E92">
        <v>-38.877795122417119</v>
      </c>
    </row>
    <row r="93" spans="1:5">
      <c r="A93" t="s">
        <v>26</v>
      </c>
      <c r="B93" t="s">
        <v>25</v>
      </c>
      <c r="C93" t="s">
        <v>8</v>
      </c>
      <c r="D93">
        <f>_xlfn.T.TEST(per_seed!$I$2:$I$11,per_seed!$I$12:$I$21,2,1)</f>
        <v>7.4653220137034378E-11</v>
      </c>
      <c r="E93">
        <v>7.465322013703337E-11</v>
      </c>
    </row>
    <row r="94" spans="1:5">
      <c r="A94" t="s">
        <v>24</v>
      </c>
      <c r="B94" t="s">
        <v>25</v>
      </c>
      <c r="C94" t="s">
        <v>9</v>
      </c>
      <c r="D94">
        <f>(AVERAGE(per_seed!$J$12:$J$21)-AVERAGE(per_seed!$J$2:$J$11))/AVERAGE(per_seed!$J$2:$J$11)*100</f>
        <v>-36.919357597121561</v>
      </c>
      <c r="E94">
        <v>-36.919357597121582</v>
      </c>
    </row>
    <row r="95" spans="1:5">
      <c r="A95" t="s">
        <v>26</v>
      </c>
      <c r="B95" t="s">
        <v>25</v>
      </c>
      <c r="C95" t="s">
        <v>9</v>
      </c>
      <c r="D95">
        <f>_xlfn.T.TEST(per_seed!$J$2:$J$11,per_seed!$J$12:$J$21,2,1)</f>
        <v>5.0919515144561058E-11</v>
      </c>
      <c r="E95">
        <v>5.0919515144559843E-11</v>
      </c>
    </row>
    <row r="96" spans="1:5">
      <c r="A96" t="s">
        <v>24</v>
      </c>
      <c r="B96" t="s">
        <v>25</v>
      </c>
      <c r="C96" t="s">
        <v>10</v>
      </c>
      <c r="D96">
        <f>(AVERAGE(per_seed!$K$12:$K$21)-AVERAGE(per_seed!$K$2:$K$11))/AVERAGE(per_seed!$K$2:$K$11)*100</f>
        <v>-29.855571874043896</v>
      </c>
      <c r="E96">
        <v>-29.85557187404391</v>
      </c>
    </row>
    <row r="97" spans="1:5">
      <c r="A97" t="s">
        <v>26</v>
      </c>
      <c r="B97" t="s">
        <v>25</v>
      </c>
      <c r="C97" t="s">
        <v>10</v>
      </c>
      <c r="D97">
        <f>_xlfn.T.TEST(per_seed!$K$2:$K$11,per_seed!$K$12:$K$21,2,1)</f>
        <v>4.5777560319706205E-10</v>
      </c>
      <c r="E97">
        <v>4.5777560319706252E-10</v>
      </c>
    </row>
    <row r="98" spans="1:5">
      <c r="A98" t="s">
        <v>24</v>
      </c>
      <c r="B98" t="s">
        <v>25</v>
      </c>
      <c r="C98" t="s">
        <v>11</v>
      </c>
      <c r="D98">
        <f>(AVERAGE(per_seed!$L$12:$L$21)-AVERAGE(per_seed!$L$2:$L$11))/AVERAGE(per_seed!$L$2:$L$11)*100</f>
        <v>156.02931105372198</v>
      </c>
      <c r="E98">
        <v>156.02931105372201</v>
      </c>
    </row>
    <row r="99" spans="1:5">
      <c r="A99" t="s">
        <v>26</v>
      </c>
      <c r="B99" t="s">
        <v>25</v>
      </c>
      <c r="C99" t="s">
        <v>11</v>
      </c>
      <c r="D99">
        <f>_xlfn.T.TEST(per_seed!$L$2:$L$11,per_seed!$L$12:$L$21,2,1)</f>
        <v>4.1223999675947397E-11</v>
      </c>
      <c r="E99">
        <v>4.1223999675947442E-11</v>
      </c>
    </row>
    <row r="100" spans="1:5">
      <c r="A100" t="s">
        <v>24</v>
      </c>
      <c r="B100" t="s">
        <v>25</v>
      </c>
      <c r="C100" t="s">
        <v>12</v>
      </c>
      <c r="D100">
        <f>(AVERAGE(per_seed!$M$12:$M$21)-AVERAGE(per_seed!$M$2:$M$11))/AVERAGE(per_seed!$M$2:$M$11)*100</f>
        <v>-89.453298265539075</v>
      </c>
      <c r="E100">
        <v>-89.45329826553909</v>
      </c>
    </row>
    <row r="101" spans="1:5">
      <c r="A101" t="s">
        <v>26</v>
      </c>
      <c r="B101" t="s">
        <v>25</v>
      </c>
      <c r="C101" t="s">
        <v>12</v>
      </c>
      <c r="D101">
        <f>_xlfn.T.TEST(per_seed!$M$2:$M$11,per_seed!$M$12:$M$21,2,1)</f>
        <v>1.8200523283100836E-8</v>
      </c>
      <c r="E101">
        <v>1.820052328310079E-8</v>
      </c>
    </row>
    <row r="102" spans="1:5">
      <c r="A102" t="s">
        <v>24</v>
      </c>
      <c r="B102" t="s">
        <v>27</v>
      </c>
      <c r="C102" t="s">
        <v>3</v>
      </c>
      <c r="D102">
        <f>(AVERAGE(per_seed!$D$32:$D$41)-AVERAGE(per_seed!$D$22:$D$31))/AVERAGE(per_seed!$D$22:$D$31)*100</f>
        <v>0.92540265611755701</v>
      </c>
      <c r="E102">
        <v>0.92540265611755701</v>
      </c>
    </row>
    <row r="103" spans="1:5">
      <c r="A103" t="s">
        <v>26</v>
      </c>
      <c r="B103" t="s">
        <v>27</v>
      </c>
      <c r="C103" t="s">
        <v>3</v>
      </c>
      <c r="D103">
        <f>_xlfn.T.TEST(per_seed!$D$22:$D$31,per_seed!$D$32:$D$41,2,1)</f>
        <v>3.2345609401250051E-2</v>
      </c>
      <c r="E103">
        <v>3.2345609401251529E-2</v>
      </c>
    </row>
    <row r="104" spans="1:5">
      <c r="A104" t="s">
        <v>24</v>
      </c>
      <c r="B104" t="s">
        <v>27</v>
      </c>
      <c r="C104" t="s">
        <v>4</v>
      </c>
      <c r="D104">
        <f>(AVERAGE(per_seed!$E$32:$E$41)-AVERAGE(per_seed!$E$22:$E$31))/AVERAGE(per_seed!$E$22:$E$31)*100</f>
        <v>3.7367905000544801</v>
      </c>
      <c r="E104">
        <v>3.7367905000544801</v>
      </c>
    </row>
    <row r="105" spans="1:5">
      <c r="A105" t="s">
        <v>26</v>
      </c>
      <c r="B105" t="s">
        <v>27</v>
      </c>
      <c r="C105" t="s">
        <v>4</v>
      </c>
      <c r="D105">
        <f>_xlfn.T.TEST(per_seed!$E$22:$E$31,per_seed!$E$32:$E$41,2,1)</f>
        <v>8.2576026450878899E-5</v>
      </c>
      <c r="E105">
        <v>8.2576026450880362E-5</v>
      </c>
    </row>
    <row r="106" spans="1:5">
      <c r="A106" t="s">
        <v>24</v>
      </c>
      <c r="B106" t="s">
        <v>27</v>
      </c>
      <c r="C106" t="s">
        <v>5</v>
      </c>
      <c r="D106">
        <f>(AVERAGE(per_seed!$F$32:$F$41)-AVERAGE(per_seed!$F$22:$F$31))/AVERAGE(per_seed!$F$22:$F$31)*100</f>
        <v>-6.0992687101291496</v>
      </c>
      <c r="E106">
        <v>-6.0992687101291496</v>
      </c>
    </row>
    <row r="107" spans="1:5">
      <c r="A107" t="s">
        <v>26</v>
      </c>
      <c r="B107" t="s">
        <v>27</v>
      </c>
      <c r="C107" t="s">
        <v>5</v>
      </c>
      <c r="D107">
        <f>_xlfn.T.TEST(per_seed!$F$22:$F$31,per_seed!$F$32:$F$41,2,1)</f>
        <v>8.3768207622309634E-7</v>
      </c>
      <c r="E107">
        <v>8.3768207622310438E-7</v>
      </c>
    </row>
    <row r="108" spans="1:5">
      <c r="A108" t="s">
        <v>24</v>
      </c>
      <c r="B108" t="s">
        <v>27</v>
      </c>
      <c r="C108" t="s">
        <v>6</v>
      </c>
      <c r="D108">
        <f>(AVERAGE(per_seed!$G$32:$G$41)-AVERAGE(per_seed!$G$22:$G$31))/AVERAGE(per_seed!$G$22:$G$31)*100</f>
        <v>69.594650677265776</v>
      </c>
      <c r="E108">
        <v>69.594650677265705</v>
      </c>
    </row>
    <row r="109" spans="1:5">
      <c r="A109" t="s">
        <v>26</v>
      </c>
      <c r="B109" t="s">
        <v>27</v>
      </c>
      <c r="C109" t="s">
        <v>6</v>
      </c>
      <c r="D109">
        <f>_xlfn.T.TEST(per_seed!$G$22:$G$31,per_seed!$G$32:$G$41,2,1)</f>
        <v>1.614630361594627E-12</v>
      </c>
      <c r="E109">
        <v>1.614630361594657E-12</v>
      </c>
    </row>
    <row r="110" spans="1:5">
      <c r="A110" t="s">
        <v>24</v>
      </c>
      <c r="B110" t="s">
        <v>27</v>
      </c>
      <c r="C110" t="s">
        <v>7</v>
      </c>
      <c r="D110">
        <f>(AVERAGE(per_seed!$H$32:$H$41)-AVERAGE(per_seed!$H$22:$H$31))/AVERAGE(per_seed!$H$22:$H$31)*100</f>
        <v>-44.626935710933836</v>
      </c>
      <c r="E110">
        <v>-44.626935710933843</v>
      </c>
    </row>
    <row r="111" spans="1:5">
      <c r="A111" t="s">
        <v>26</v>
      </c>
      <c r="B111" t="s">
        <v>27</v>
      </c>
      <c r="C111" t="s">
        <v>7</v>
      </c>
      <c r="D111">
        <f>_xlfn.T.TEST(per_seed!$H$22:$H$31,per_seed!$H$32:$H$41,2,1)</f>
        <v>8.6295353613349987E-14</v>
      </c>
      <c r="E111">
        <v>8.6295353613350063E-14</v>
      </c>
    </row>
    <row r="112" spans="1:5">
      <c r="A112" t="s">
        <v>24</v>
      </c>
      <c r="B112" t="s">
        <v>27</v>
      </c>
      <c r="C112" t="s">
        <v>8</v>
      </c>
      <c r="D112">
        <f>(AVERAGE(per_seed!$I$32:$I$41)-AVERAGE(per_seed!$I$22:$I$31))/AVERAGE(per_seed!$I$22:$I$31)*100</f>
        <v>-41.038336444567967</v>
      </c>
      <c r="E112">
        <v>-41.038336444567967</v>
      </c>
    </row>
    <row r="113" spans="1:5">
      <c r="A113" t="s">
        <v>26</v>
      </c>
      <c r="B113" t="s">
        <v>27</v>
      </c>
      <c r="C113" t="s">
        <v>8</v>
      </c>
      <c r="D113">
        <f>_xlfn.T.TEST(per_seed!$I$22:$I$31,per_seed!$I$32:$I$41,2,1)</f>
        <v>2.3497862173610441E-12</v>
      </c>
      <c r="E113">
        <v>2.349786217361038E-12</v>
      </c>
    </row>
    <row r="114" spans="1:5">
      <c r="A114" t="s">
        <v>24</v>
      </c>
      <c r="B114" t="s">
        <v>27</v>
      </c>
      <c r="C114" t="s">
        <v>9</v>
      </c>
      <c r="D114">
        <f>(AVERAGE(per_seed!$J$32:$J$41)-AVERAGE(per_seed!$J$22:$J$31))/AVERAGE(per_seed!$J$22:$J$31)*100</f>
        <v>-38.288539900543924</v>
      </c>
      <c r="E114">
        <v>-38.28853990054391</v>
      </c>
    </row>
    <row r="115" spans="1:5">
      <c r="A115" t="s">
        <v>26</v>
      </c>
      <c r="B115" t="s">
        <v>27</v>
      </c>
      <c r="C115" t="s">
        <v>9</v>
      </c>
      <c r="D115">
        <f>_xlfn.T.TEST(per_seed!$J$22:$J$31,per_seed!$J$32:$J$41,2,1)</f>
        <v>1.7816136196262357E-11</v>
      </c>
      <c r="E115">
        <v>1.7816136196261869E-11</v>
      </c>
    </row>
    <row r="116" spans="1:5">
      <c r="A116" t="s">
        <v>24</v>
      </c>
      <c r="B116" t="s">
        <v>27</v>
      </c>
      <c r="C116" t="s">
        <v>10</v>
      </c>
      <c r="D116">
        <f>(AVERAGE(per_seed!$K$32:$K$41)-AVERAGE(per_seed!$K$22:$K$31))/AVERAGE(per_seed!$K$22:$K$31)*100</f>
        <v>-33.489528477170914</v>
      </c>
      <c r="E116">
        <v>-33.489528477170929</v>
      </c>
    </row>
    <row r="117" spans="1:5">
      <c r="A117" t="s">
        <v>26</v>
      </c>
      <c r="B117" t="s">
        <v>27</v>
      </c>
      <c r="C117" t="s">
        <v>10</v>
      </c>
      <c r="D117">
        <f>_xlfn.T.TEST(per_seed!$K$22:$K$31,per_seed!$K$32:$K$41,2,1)</f>
        <v>2.467142095424823E-11</v>
      </c>
      <c r="E117">
        <v>2.4671420954248159E-11</v>
      </c>
    </row>
    <row r="118" spans="1:5">
      <c r="A118" t="s">
        <v>24</v>
      </c>
      <c r="B118" t="s">
        <v>27</v>
      </c>
      <c r="C118" t="s">
        <v>11</v>
      </c>
      <c r="D118">
        <f>(AVERAGE(per_seed!$L$32:$L$41)-AVERAGE(per_seed!$L$22:$L$31))/AVERAGE(per_seed!$L$22:$L$31)*100</f>
        <v>110.85878112339471</v>
      </c>
      <c r="E118">
        <v>110.85878112339471</v>
      </c>
    </row>
    <row r="119" spans="1:5">
      <c r="A119" t="s">
        <v>26</v>
      </c>
      <c r="B119" t="s">
        <v>27</v>
      </c>
      <c r="C119" t="s">
        <v>11</v>
      </c>
      <c r="D119">
        <f>_xlfn.T.TEST(per_seed!$L$22:$L$31,per_seed!$L$32:$L$41,2,1)</f>
        <v>6.9878338784509984E-10</v>
      </c>
      <c r="E119">
        <v>6.9878338784510046E-10</v>
      </c>
    </row>
    <row r="120" spans="1:5">
      <c r="A120" t="s">
        <v>24</v>
      </c>
      <c r="B120" t="s">
        <v>27</v>
      </c>
      <c r="C120" t="s">
        <v>12</v>
      </c>
      <c r="D120">
        <f>(AVERAGE(per_seed!$M$32:$M$41)-AVERAGE(per_seed!$M$22:$M$31))/AVERAGE(per_seed!$M$22:$M$31)*100</f>
        <v>-51.509321762613737</v>
      </c>
      <c r="E120">
        <v>-51.509321762613737</v>
      </c>
    </row>
    <row r="121" spans="1:5">
      <c r="A121" t="s">
        <v>26</v>
      </c>
      <c r="B121" t="s">
        <v>27</v>
      </c>
      <c r="C121" t="s">
        <v>12</v>
      </c>
      <c r="D121">
        <f>_xlfn.T.TEST(per_seed!$M$22:$M$31,per_seed!$M$32:$M$41,2,1)</f>
        <v>3.1764973164460412E-2</v>
      </c>
      <c r="E121">
        <v>3.1764973164460378E-2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2026-09-15T14:35:57Z</dcterms:created>
  <dcterms:modified xsi:type="dcterms:W3CDTF">2026-09-15T14:35:59Z</dcterms:modified>
</cp:coreProperties>
</file>