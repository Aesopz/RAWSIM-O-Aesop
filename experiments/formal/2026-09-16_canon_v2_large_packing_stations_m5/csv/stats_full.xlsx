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esop\Desktop\EE-RAWSim-O_PP\experiments\formal\2026-09-16_canon_v2_large_packing_stations_m5\"/>
    </mc:Choice>
  </mc:AlternateContent>
  <xr:revisionPtr revIDLastSave="0" documentId="13_ncr:1_{C7C4DABA-45FA-459F-A732-CD06E5D970F8}" xr6:coauthVersionLast="47" xr6:coauthVersionMax="47" xr10:uidLastSave="{00000000-0000-0000-0000-000000000000}"/>
  <bookViews>
    <workbookView xWindow="28680" yWindow="-12645" windowWidth="16440" windowHeight="28320" xr2:uid="{00000000-000D-0000-FFFF-FFFF00000000}"/>
  </bookViews>
  <sheets>
    <sheet name="per_seed" sheetId="1" r:id="rId1"/>
    <sheet name="excel_che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1" i="2" l="1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<sst xmlns="http://schemas.openxmlformats.org/spreadsheetml/2006/main" count="478" uniqueCount="29">
  <si>
    <t>arm</t>
  </si>
  <si>
    <t>bots</t>
  </si>
  <si>
    <t>seed</t>
  </si>
  <si>
    <t>Items</t>
  </si>
  <si>
    <t>Lines</t>
  </si>
  <si>
    <t>Orders</t>
  </si>
  <si>
    <t>Pile-on</t>
  </si>
  <si>
    <t>Trips</t>
  </si>
  <si>
    <t>Trips/Orders</t>
  </si>
  <si>
    <t>m/Line</t>
  </si>
  <si>
    <t>EOR(kJ/order)</t>
  </si>
  <si>
    <t>TurnoverMedian(s)</t>
  </si>
  <si>
    <t>StationIdle(%)</t>
  </si>
  <si>
    <t>m5_45b</t>
  </si>
  <si>
    <t>m5_pk3_45b</t>
  </si>
  <si>
    <t>m5_pk1_45b</t>
  </si>
  <si>
    <t>m5_pk2_45b</t>
  </si>
  <si>
    <t>kind</t>
  </si>
  <si>
    <t>arm_or_comparison</t>
  </si>
  <si>
    <t>metric</t>
  </si>
  <si>
    <t>excel_value</t>
  </si>
  <si>
    <t>python_value</t>
  </si>
  <si>
    <t>mean</t>
  </si>
  <si>
    <t>sd</t>
  </si>
  <si>
    <t>pct</t>
  </si>
  <si>
    <t>m5_pk1_45b vs m5_45b</t>
  </si>
  <si>
    <t>p</t>
  </si>
  <si>
    <t>m5_pk2_45b vs m5_45b</t>
  </si>
  <si>
    <t>m5_pk3_45b vs m5_45b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</si>
</sst>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workbookViewId="0"/>
  </sheetViews>
  <sheetFormatPr defaultRowHeight="15.75"/>
  <cols>
    <col min="1" max="13" width="1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45</v>
      </c>
      <c r="C2">
        <v>0</v>
      </c>
      <c r="D2">
        <v>8328</v>
      </c>
      <c r="E2">
        <v>5381</v>
      </c>
      <c r="F2">
        <v>3409</v>
      </c>
      <c r="G2">
        <v>7.4758771929824563</v>
      </c>
      <c r="H2">
        <v>456</v>
      </c>
      <c r="I2">
        <v>0.1337635670284541</v>
      </c>
      <c r="J2">
        <v>20.777516014337479</v>
      </c>
      <c r="K2">
        <v>3.62290037798555</v>
      </c>
      <c r="L2">
        <v>381.92491340152202</v>
      </c>
      <c r="M2">
        <v>3.6891342240970459</v>
      </c>
    </row>
    <row r="3" spans="1:13">
      <c r="A3" t="s">
        <v>13</v>
      </c>
      <c r="B3">
        <v>45</v>
      </c>
      <c r="C3">
        <v>1</v>
      </c>
      <c r="D3">
        <v>8316</v>
      </c>
      <c r="E3">
        <v>5405</v>
      </c>
      <c r="F3">
        <v>3324</v>
      </c>
      <c r="G3">
        <v>7.6064073226544622</v>
      </c>
      <c r="H3">
        <v>437</v>
      </c>
      <c r="I3">
        <v>0.13146811070998801</v>
      </c>
      <c r="J3">
        <v>20.25337948345717</v>
      </c>
      <c r="K3">
        <v>3.6466145182048701</v>
      </c>
      <c r="L3">
        <v>412.02314575051702</v>
      </c>
      <c r="M3">
        <v>3.8320109822279629</v>
      </c>
    </row>
    <row r="4" spans="1:13">
      <c r="A4" t="s">
        <v>13</v>
      </c>
      <c r="B4">
        <v>45</v>
      </c>
      <c r="C4">
        <v>2</v>
      </c>
      <c r="D4">
        <v>8324</v>
      </c>
      <c r="E4">
        <v>5371</v>
      </c>
      <c r="F4">
        <v>3380</v>
      </c>
      <c r="G4">
        <v>7.7168949771689501</v>
      </c>
      <c r="H4">
        <v>438</v>
      </c>
      <c r="I4">
        <v>0.12958579881656801</v>
      </c>
      <c r="J4">
        <v>20.70861694183634</v>
      </c>
      <c r="K4">
        <v>3.6464953569353198</v>
      </c>
      <c r="L4">
        <v>402.07129869396101</v>
      </c>
      <c r="M4">
        <v>3.7022262137774171</v>
      </c>
    </row>
    <row r="5" spans="1:13">
      <c r="A5" t="s">
        <v>13</v>
      </c>
      <c r="B5">
        <v>45</v>
      </c>
      <c r="C5">
        <v>3</v>
      </c>
      <c r="D5">
        <v>8332</v>
      </c>
      <c r="E5">
        <v>5397</v>
      </c>
      <c r="F5">
        <v>3441</v>
      </c>
      <c r="G5">
        <v>7.6636971046770599</v>
      </c>
      <c r="H5">
        <v>449</v>
      </c>
      <c r="I5">
        <v>0.1304853240337111</v>
      </c>
      <c r="J5">
        <v>20.256725259566242</v>
      </c>
      <c r="K5">
        <v>3.49217952698026</v>
      </c>
      <c r="L5">
        <v>376.89028137424202</v>
      </c>
      <c r="M5">
        <v>3.6058670362805039</v>
      </c>
    </row>
    <row r="6" spans="1:13">
      <c r="A6" t="s">
        <v>13</v>
      </c>
      <c r="B6">
        <v>45</v>
      </c>
      <c r="C6">
        <v>4</v>
      </c>
      <c r="D6">
        <v>8298</v>
      </c>
      <c r="E6">
        <v>5357</v>
      </c>
      <c r="F6">
        <v>3340</v>
      </c>
      <c r="G6">
        <v>7.5225225225225234</v>
      </c>
      <c r="H6">
        <v>444</v>
      </c>
      <c r="I6">
        <v>0.13293413173652691</v>
      </c>
      <c r="J6">
        <v>20.386417143956511</v>
      </c>
      <c r="K6">
        <v>3.5784393916667199</v>
      </c>
      <c r="L6">
        <v>414.97870849900102</v>
      </c>
      <c r="M6">
        <v>4.015729166666735</v>
      </c>
    </row>
    <row r="7" spans="1:13">
      <c r="A7" t="s">
        <v>13</v>
      </c>
      <c r="B7">
        <v>45</v>
      </c>
      <c r="C7">
        <v>5</v>
      </c>
      <c r="D7">
        <v>8329</v>
      </c>
      <c r="E7">
        <v>5479</v>
      </c>
      <c r="F7">
        <v>3451</v>
      </c>
      <c r="G7">
        <v>7.634955752212389</v>
      </c>
      <c r="H7">
        <v>452</v>
      </c>
      <c r="I7">
        <v>0.13097652854245151</v>
      </c>
      <c r="J7">
        <v>20.329890075804158</v>
      </c>
      <c r="K7">
        <v>3.5526807515351599</v>
      </c>
      <c r="L7">
        <v>386.33694804091999</v>
      </c>
      <c r="M7">
        <v>3.6676713224782902</v>
      </c>
    </row>
    <row r="8" spans="1:13">
      <c r="A8" t="s">
        <v>13</v>
      </c>
      <c r="B8">
        <v>45</v>
      </c>
      <c r="C8">
        <v>6</v>
      </c>
      <c r="D8">
        <v>8289</v>
      </c>
      <c r="E8">
        <v>5420</v>
      </c>
      <c r="F8">
        <v>3405</v>
      </c>
      <c r="G8">
        <v>7.6862302483069973</v>
      </c>
      <c r="H8">
        <v>443</v>
      </c>
      <c r="I8">
        <v>0.13010279001468431</v>
      </c>
      <c r="J8">
        <v>20.33808467334207</v>
      </c>
      <c r="K8">
        <v>3.5732713590898899</v>
      </c>
      <c r="L8">
        <v>403.588708499002</v>
      </c>
      <c r="M8">
        <v>4.1389554513199176</v>
      </c>
    </row>
    <row r="9" spans="1:13">
      <c r="A9" t="s">
        <v>13</v>
      </c>
      <c r="B9">
        <v>45</v>
      </c>
      <c r="C9">
        <v>7</v>
      </c>
      <c r="D9">
        <v>8325</v>
      </c>
      <c r="E9">
        <v>5409</v>
      </c>
      <c r="F9">
        <v>3369</v>
      </c>
      <c r="G9">
        <v>7.4370860927152318</v>
      </c>
      <c r="H9">
        <v>453</v>
      </c>
      <c r="I9">
        <v>0.13446126447016921</v>
      </c>
      <c r="J9">
        <v>20.991225874092439</v>
      </c>
      <c r="K9">
        <v>3.7265996726082999</v>
      </c>
      <c r="L9">
        <v>395.85156568238898</v>
      </c>
      <c r="M9">
        <v>3.6889030429773508</v>
      </c>
    </row>
    <row r="10" spans="1:13">
      <c r="A10" t="s">
        <v>13</v>
      </c>
      <c r="B10">
        <v>45</v>
      </c>
      <c r="C10">
        <v>8</v>
      </c>
      <c r="D10">
        <v>8298</v>
      </c>
      <c r="E10">
        <v>5357</v>
      </c>
      <c r="F10">
        <v>3344</v>
      </c>
      <c r="G10">
        <v>7.8867924528301883</v>
      </c>
      <c r="H10">
        <v>424</v>
      </c>
      <c r="I10">
        <v>0.12679425837320571</v>
      </c>
      <c r="J10">
        <v>20.03182673472709</v>
      </c>
      <c r="K10">
        <v>3.5493354020071699</v>
      </c>
      <c r="L10">
        <v>406.16166666668801</v>
      </c>
      <c r="M10">
        <v>4.039065814922945</v>
      </c>
    </row>
    <row r="11" spans="1:13">
      <c r="A11" t="s">
        <v>13</v>
      </c>
      <c r="B11">
        <v>45</v>
      </c>
      <c r="C11">
        <v>9</v>
      </c>
      <c r="D11">
        <v>8343</v>
      </c>
      <c r="E11">
        <v>5393</v>
      </c>
      <c r="F11">
        <v>3390</v>
      </c>
      <c r="G11">
        <v>7.617977528089888</v>
      </c>
      <c r="H11">
        <v>445</v>
      </c>
      <c r="I11">
        <v>0.13126843657817111</v>
      </c>
      <c r="J11">
        <v>20.40824645247821</v>
      </c>
      <c r="K11">
        <v>3.6211016582943398</v>
      </c>
      <c r="L11">
        <v>371.95342712475099</v>
      </c>
      <c r="M11">
        <v>3.502566362629723</v>
      </c>
    </row>
    <row r="12" spans="1:13">
      <c r="A12" t="s">
        <v>14</v>
      </c>
      <c r="B12">
        <v>45</v>
      </c>
      <c r="C12">
        <v>0</v>
      </c>
      <c r="D12">
        <v>8328</v>
      </c>
      <c r="E12">
        <v>5381</v>
      </c>
      <c r="F12">
        <v>3409</v>
      </c>
      <c r="G12">
        <v>7.4758771929824563</v>
      </c>
      <c r="H12">
        <v>456</v>
      </c>
      <c r="I12">
        <v>0.1337635670284541</v>
      </c>
      <c r="J12">
        <v>20.777516014337479</v>
      </c>
      <c r="K12">
        <v>3.62290037798555</v>
      </c>
      <c r="L12">
        <v>381.92491340152202</v>
      </c>
      <c r="M12">
        <v>3.6891342240970459</v>
      </c>
    </row>
    <row r="13" spans="1:13">
      <c r="A13" t="s">
        <v>14</v>
      </c>
      <c r="B13">
        <v>45</v>
      </c>
      <c r="C13">
        <v>1</v>
      </c>
      <c r="D13">
        <v>8316</v>
      </c>
      <c r="E13">
        <v>5405</v>
      </c>
      <c r="F13">
        <v>3324</v>
      </c>
      <c r="G13">
        <v>7.6064073226544622</v>
      </c>
      <c r="H13">
        <v>437</v>
      </c>
      <c r="I13">
        <v>0.13146811070998801</v>
      </c>
      <c r="J13">
        <v>20.25337948345717</v>
      </c>
      <c r="K13">
        <v>3.6466145182048701</v>
      </c>
      <c r="L13">
        <v>412.02314575051702</v>
      </c>
      <c r="M13">
        <v>3.8320109822279629</v>
      </c>
    </row>
    <row r="14" spans="1:13">
      <c r="A14" t="s">
        <v>14</v>
      </c>
      <c r="B14">
        <v>45</v>
      </c>
      <c r="C14">
        <v>2</v>
      </c>
      <c r="D14">
        <v>8324</v>
      </c>
      <c r="E14">
        <v>5371</v>
      </c>
      <c r="F14">
        <v>3380</v>
      </c>
      <c r="G14">
        <v>7.7168949771689501</v>
      </c>
      <c r="H14">
        <v>438</v>
      </c>
      <c r="I14">
        <v>0.12958579881656801</v>
      </c>
      <c r="J14">
        <v>20.70861694183634</v>
      </c>
      <c r="K14">
        <v>3.6464953569353198</v>
      </c>
      <c r="L14">
        <v>402.07129869396101</v>
      </c>
      <c r="M14">
        <v>3.7022262137774171</v>
      </c>
    </row>
    <row r="15" spans="1:13">
      <c r="A15" t="s">
        <v>14</v>
      </c>
      <c r="B15">
        <v>45</v>
      </c>
      <c r="C15">
        <v>3</v>
      </c>
      <c r="D15">
        <v>8332</v>
      </c>
      <c r="E15">
        <v>5397</v>
      </c>
      <c r="F15">
        <v>3441</v>
      </c>
      <c r="G15">
        <v>7.6636971046770599</v>
      </c>
      <c r="H15">
        <v>449</v>
      </c>
      <c r="I15">
        <v>0.1304853240337111</v>
      </c>
      <c r="J15">
        <v>20.256725259566242</v>
      </c>
      <c r="K15">
        <v>3.49217952698026</v>
      </c>
      <c r="L15">
        <v>376.89028137424202</v>
      </c>
      <c r="M15">
        <v>3.6058670362805039</v>
      </c>
    </row>
    <row r="16" spans="1:13">
      <c r="A16" t="s">
        <v>14</v>
      </c>
      <c r="B16">
        <v>45</v>
      </c>
      <c r="C16">
        <v>4</v>
      </c>
      <c r="D16">
        <v>8298</v>
      </c>
      <c r="E16">
        <v>5357</v>
      </c>
      <c r="F16">
        <v>3340</v>
      </c>
      <c r="G16">
        <v>7.5225225225225234</v>
      </c>
      <c r="H16">
        <v>444</v>
      </c>
      <c r="I16">
        <v>0.13293413173652691</v>
      </c>
      <c r="J16">
        <v>20.386417143956511</v>
      </c>
      <c r="K16">
        <v>3.5784393916667199</v>
      </c>
      <c r="L16">
        <v>414.97870849900102</v>
      </c>
      <c r="M16">
        <v>4.015729166666735</v>
      </c>
    </row>
    <row r="17" spans="1:13">
      <c r="A17" t="s">
        <v>14</v>
      </c>
      <c r="B17">
        <v>45</v>
      </c>
      <c r="C17">
        <v>5</v>
      </c>
      <c r="D17">
        <v>8329</v>
      </c>
      <c r="E17">
        <v>5479</v>
      </c>
      <c r="F17">
        <v>3451</v>
      </c>
      <c r="G17">
        <v>7.634955752212389</v>
      </c>
      <c r="H17">
        <v>452</v>
      </c>
      <c r="I17">
        <v>0.13097652854245151</v>
      </c>
      <c r="J17">
        <v>20.329890075804158</v>
      </c>
      <c r="K17">
        <v>3.5526807515351599</v>
      </c>
      <c r="L17">
        <v>386.33694804091999</v>
      </c>
      <c r="M17">
        <v>3.6676713224782902</v>
      </c>
    </row>
    <row r="18" spans="1:13">
      <c r="A18" t="s">
        <v>14</v>
      </c>
      <c r="B18">
        <v>45</v>
      </c>
      <c r="C18">
        <v>6</v>
      </c>
      <c r="D18">
        <v>8289</v>
      </c>
      <c r="E18">
        <v>5420</v>
      </c>
      <c r="F18">
        <v>3405</v>
      </c>
      <c r="G18">
        <v>7.6862302483069973</v>
      </c>
      <c r="H18">
        <v>443</v>
      </c>
      <c r="I18">
        <v>0.13010279001468431</v>
      </c>
      <c r="J18">
        <v>20.33808467334207</v>
      </c>
      <c r="K18">
        <v>3.5732713590898899</v>
      </c>
      <c r="L18">
        <v>403.588708499002</v>
      </c>
      <c r="M18">
        <v>4.1389554513199176</v>
      </c>
    </row>
    <row r="19" spans="1:13">
      <c r="A19" t="s">
        <v>14</v>
      </c>
      <c r="B19">
        <v>45</v>
      </c>
      <c r="C19">
        <v>7</v>
      </c>
      <c r="D19">
        <v>8325</v>
      </c>
      <c r="E19">
        <v>5409</v>
      </c>
      <c r="F19">
        <v>3369</v>
      </c>
      <c r="G19">
        <v>7.4370860927152318</v>
      </c>
      <c r="H19">
        <v>453</v>
      </c>
      <c r="I19">
        <v>0.13446126447016921</v>
      </c>
      <c r="J19">
        <v>20.991225874092439</v>
      </c>
      <c r="K19">
        <v>3.7265996726082999</v>
      </c>
      <c r="L19">
        <v>395.85156568238898</v>
      </c>
      <c r="M19">
        <v>3.6889030429773508</v>
      </c>
    </row>
    <row r="20" spans="1:13">
      <c r="A20" t="s">
        <v>14</v>
      </c>
      <c r="B20">
        <v>45</v>
      </c>
      <c r="C20">
        <v>8</v>
      </c>
      <c r="D20">
        <v>8250</v>
      </c>
      <c r="E20">
        <v>5336</v>
      </c>
      <c r="F20">
        <v>3326</v>
      </c>
      <c r="G20">
        <v>7.9190476190476193</v>
      </c>
      <c r="H20">
        <v>420</v>
      </c>
      <c r="I20">
        <v>0.1262778111846061</v>
      </c>
      <c r="J20">
        <v>20.161375774736129</v>
      </c>
      <c r="K20">
        <v>3.55217150256256</v>
      </c>
      <c r="L20">
        <v>407.94629869395601</v>
      </c>
      <c r="M20">
        <v>4.5790955263151556</v>
      </c>
    </row>
    <row r="21" spans="1:13">
      <c r="A21" t="s">
        <v>14</v>
      </c>
      <c r="B21">
        <v>45</v>
      </c>
      <c r="C21">
        <v>9</v>
      </c>
      <c r="D21">
        <v>8343</v>
      </c>
      <c r="E21">
        <v>5393</v>
      </c>
      <c r="F21">
        <v>3390</v>
      </c>
      <c r="G21">
        <v>7.617977528089888</v>
      </c>
      <c r="H21">
        <v>445</v>
      </c>
      <c r="I21">
        <v>0.13126843657817111</v>
      </c>
      <c r="J21">
        <v>20.40824645247821</v>
      </c>
      <c r="K21">
        <v>3.6211016582943398</v>
      </c>
      <c r="L21">
        <v>371.95342712475099</v>
      </c>
      <c r="M21">
        <v>3.502566362629723</v>
      </c>
    </row>
    <row r="22" spans="1:13">
      <c r="A22" t="s">
        <v>15</v>
      </c>
      <c r="B22">
        <v>45</v>
      </c>
      <c r="C22">
        <v>0</v>
      </c>
      <c r="D22">
        <v>7815</v>
      </c>
      <c r="E22">
        <v>5073</v>
      </c>
      <c r="F22">
        <v>3305</v>
      </c>
      <c r="G22">
        <v>3.31494483450351</v>
      </c>
      <c r="H22">
        <v>997</v>
      </c>
      <c r="I22">
        <v>0.3016641452344932</v>
      </c>
      <c r="J22">
        <v>29.65064989209403</v>
      </c>
      <c r="K22">
        <v>5.3725668487398703</v>
      </c>
      <c r="L22">
        <v>287.38370849898899</v>
      </c>
      <c r="M22">
        <v>9.6105516555778348</v>
      </c>
    </row>
    <row r="23" spans="1:13">
      <c r="A23" t="s">
        <v>15</v>
      </c>
      <c r="B23">
        <v>45</v>
      </c>
      <c r="C23">
        <v>1</v>
      </c>
      <c r="D23">
        <v>7722</v>
      </c>
      <c r="E23">
        <v>4997</v>
      </c>
      <c r="F23">
        <v>3207</v>
      </c>
      <c r="G23">
        <v>3.3581151832460732</v>
      </c>
      <c r="H23">
        <v>955</v>
      </c>
      <c r="I23">
        <v>0.29778609292173369</v>
      </c>
      <c r="J23">
        <v>30.669994019237741</v>
      </c>
      <c r="K23">
        <v>5.5812595855982003</v>
      </c>
      <c r="L23">
        <v>305.57158006812801</v>
      </c>
      <c r="M23">
        <v>10.67758015807731</v>
      </c>
    </row>
    <row r="24" spans="1:13">
      <c r="A24" t="s">
        <v>15</v>
      </c>
      <c r="B24">
        <v>45</v>
      </c>
      <c r="C24">
        <v>2</v>
      </c>
      <c r="D24">
        <v>7880</v>
      </c>
      <c r="E24">
        <v>5101</v>
      </c>
      <c r="F24">
        <v>3256</v>
      </c>
      <c r="G24">
        <v>3.4675186368477098</v>
      </c>
      <c r="H24">
        <v>939</v>
      </c>
      <c r="I24">
        <v>0.28839066339066338</v>
      </c>
      <c r="J24">
        <v>29.855211152752791</v>
      </c>
      <c r="K24">
        <v>5.4621734212977602</v>
      </c>
      <c r="L24">
        <v>312.89342712475701</v>
      </c>
      <c r="M24">
        <v>8.839911406960379</v>
      </c>
    </row>
    <row r="25" spans="1:13">
      <c r="A25" t="s">
        <v>15</v>
      </c>
      <c r="B25">
        <v>45</v>
      </c>
      <c r="C25">
        <v>3</v>
      </c>
      <c r="D25">
        <v>7831</v>
      </c>
      <c r="E25">
        <v>5109</v>
      </c>
      <c r="F25">
        <v>3314</v>
      </c>
      <c r="G25">
        <v>3.4094650205761319</v>
      </c>
      <c r="H25">
        <v>972</v>
      </c>
      <c r="I25">
        <v>0.29330114665057327</v>
      </c>
      <c r="J25">
        <v>29.897133586856331</v>
      </c>
      <c r="K25">
        <v>5.36288398562374</v>
      </c>
      <c r="L25">
        <v>303.69758300201897</v>
      </c>
      <c r="M25">
        <v>9.4366308319537264</v>
      </c>
    </row>
    <row r="26" spans="1:13">
      <c r="A26" t="s">
        <v>15</v>
      </c>
      <c r="B26">
        <v>45</v>
      </c>
      <c r="C26">
        <v>4</v>
      </c>
      <c r="D26">
        <v>7835</v>
      </c>
      <c r="E26">
        <v>5069</v>
      </c>
      <c r="F26">
        <v>3261</v>
      </c>
      <c r="G26">
        <v>3.300607287449393</v>
      </c>
      <c r="H26">
        <v>988</v>
      </c>
      <c r="I26">
        <v>0.30297454768475929</v>
      </c>
      <c r="J26">
        <v>29.943193118666599</v>
      </c>
      <c r="K26">
        <v>5.5160346798323703</v>
      </c>
      <c r="L26">
        <v>295.90212843082298</v>
      </c>
      <c r="M26">
        <v>9.3691629002198535</v>
      </c>
    </row>
    <row r="27" spans="1:13">
      <c r="A27" t="s">
        <v>15</v>
      </c>
      <c r="B27">
        <v>45</v>
      </c>
      <c r="C27">
        <v>5</v>
      </c>
      <c r="D27">
        <v>7680</v>
      </c>
      <c r="E27">
        <v>5100</v>
      </c>
      <c r="F27">
        <v>3279</v>
      </c>
      <c r="G27">
        <v>3.2562065541211518</v>
      </c>
      <c r="H27">
        <v>1007</v>
      </c>
      <c r="I27">
        <v>0.30710582494663008</v>
      </c>
      <c r="J27">
        <v>30.054176077151769</v>
      </c>
      <c r="K27">
        <v>5.5996353853865903</v>
      </c>
      <c r="L27">
        <v>289.88704183234802</v>
      </c>
      <c r="M27">
        <v>11.162522221106039</v>
      </c>
    </row>
    <row r="28" spans="1:13">
      <c r="A28" t="s">
        <v>15</v>
      </c>
      <c r="B28">
        <v>45</v>
      </c>
      <c r="C28">
        <v>6</v>
      </c>
      <c r="D28">
        <v>7683</v>
      </c>
      <c r="E28">
        <v>5008</v>
      </c>
      <c r="F28">
        <v>3212</v>
      </c>
      <c r="G28">
        <v>3.1865079365079358</v>
      </c>
      <c r="H28">
        <v>1008</v>
      </c>
      <c r="I28">
        <v>0.31382316313823161</v>
      </c>
      <c r="J28">
        <v>30.853697454006792</v>
      </c>
      <c r="K28">
        <v>5.6969187556776602</v>
      </c>
      <c r="L28">
        <v>304.35212843080899</v>
      </c>
      <c r="M28">
        <v>11.144300170091681</v>
      </c>
    </row>
    <row r="29" spans="1:13">
      <c r="A29" t="s">
        <v>15</v>
      </c>
      <c r="B29">
        <v>45</v>
      </c>
      <c r="C29">
        <v>7</v>
      </c>
      <c r="D29">
        <v>7768</v>
      </c>
      <c r="E29">
        <v>5021</v>
      </c>
      <c r="F29">
        <v>3195</v>
      </c>
      <c r="G29">
        <v>3.2502543234994912</v>
      </c>
      <c r="H29">
        <v>983</v>
      </c>
      <c r="I29">
        <v>0.30766823161189361</v>
      </c>
      <c r="J29">
        <v>30.39639091341127</v>
      </c>
      <c r="K29">
        <v>5.6721072909361903</v>
      </c>
      <c r="L29">
        <v>304.785930721211</v>
      </c>
      <c r="M29">
        <v>10.13990297232534</v>
      </c>
    </row>
    <row r="30" spans="1:13">
      <c r="A30" t="s">
        <v>15</v>
      </c>
      <c r="B30">
        <v>45</v>
      </c>
      <c r="C30">
        <v>8</v>
      </c>
      <c r="D30">
        <v>7938</v>
      </c>
      <c r="E30">
        <v>5113</v>
      </c>
      <c r="F30">
        <v>3288</v>
      </c>
      <c r="G30">
        <v>3.5354838709677421</v>
      </c>
      <c r="H30">
        <v>930</v>
      </c>
      <c r="I30">
        <v>0.28284671532846722</v>
      </c>
      <c r="J30">
        <v>29.416348479470951</v>
      </c>
      <c r="K30">
        <v>5.3344674868444804</v>
      </c>
      <c r="L30">
        <v>295.78528137424701</v>
      </c>
      <c r="M30">
        <v>8.1558508193222483</v>
      </c>
    </row>
    <row r="31" spans="1:13">
      <c r="A31" t="s">
        <v>15</v>
      </c>
      <c r="B31">
        <v>45</v>
      </c>
      <c r="C31">
        <v>9</v>
      </c>
      <c r="D31">
        <v>7820</v>
      </c>
      <c r="E31">
        <v>5024</v>
      </c>
      <c r="F31">
        <v>3253</v>
      </c>
      <c r="G31">
        <v>3.3570691434468518</v>
      </c>
      <c r="H31">
        <v>969</v>
      </c>
      <c r="I31">
        <v>0.29787888103289267</v>
      </c>
      <c r="J31">
        <v>30.493083922327429</v>
      </c>
      <c r="K31">
        <v>5.4988319126295204</v>
      </c>
      <c r="L31">
        <v>312.63</v>
      </c>
      <c r="M31">
        <v>9.5697608104666099</v>
      </c>
    </row>
    <row r="32" spans="1:13">
      <c r="A32" t="s">
        <v>16</v>
      </c>
      <c r="B32">
        <v>45</v>
      </c>
      <c r="C32">
        <v>0</v>
      </c>
      <c r="D32">
        <v>8286</v>
      </c>
      <c r="E32">
        <v>5370</v>
      </c>
      <c r="F32">
        <v>3445</v>
      </c>
      <c r="G32">
        <v>6.2750455373406204</v>
      </c>
      <c r="H32">
        <v>549</v>
      </c>
      <c r="I32">
        <v>0.15936139332365751</v>
      </c>
      <c r="J32">
        <v>23.098621825825141</v>
      </c>
      <c r="K32">
        <v>3.9321923242975099</v>
      </c>
      <c r="L32">
        <v>363.46340554603199</v>
      </c>
      <c r="M32">
        <v>4.1669152591786132</v>
      </c>
    </row>
    <row r="33" spans="1:13">
      <c r="A33" t="s">
        <v>16</v>
      </c>
      <c r="B33">
        <v>45</v>
      </c>
      <c r="C33">
        <v>1</v>
      </c>
      <c r="D33">
        <v>8325</v>
      </c>
      <c r="E33">
        <v>5416</v>
      </c>
      <c r="F33">
        <v>3394</v>
      </c>
      <c r="G33">
        <v>5.9858906525573188</v>
      </c>
      <c r="H33">
        <v>567</v>
      </c>
      <c r="I33">
        <v>0.167059516794343</v>
      </c>
      <c r="J33">
        <v>22.609509375728582</v>
      </c>
      <c r="K33">
        <v>3.9939282902117599</v>
      </c>
      <c r="L33">
        <v>375.30731601363601</v>
      </c>
      <c r="M33">
        <v>3.704711532911392</v>
      </c>
    </row>
    <row r="34" spans="1:13">
      <c r="A34" t="s">
        <v>16</v>
      </c>
      <c r="B34">
        <v>45</v>
      </c>
      <c r="C34">
        <v>2</v>
      </c>
      <c r="D34">
        <v>8301</v>
      </c>
      <c r="E34">
        <v>5383</v>
      </c>
      <c r="F34">
        <v>3411</v>
      </c>
      <c r="G34">
        <v>6.2358318098720291</v>
      </c>
      <c r="H34">
        <v>547</v>
      </c>
      <c r="I34">
        <v>0.16036352975666959</v>
      </c>
      <c r="J34">
        <v>22.399373650951141</v>
      </c>
      <c r="K34">
        <v>3.8893675772430498</v>
      </c>
      <c r="L34">
        <v>367.34009379139599</v>
      </c>
      <c r="M34">
        <v>3.9869488525853618</v>
      </c>
    </row>
    <row r="35" spans="1:13">
      <c r="A35" t="s">
        <v>16</v>
      </c>
      <c r="B35">
        <v>45</v>
      </c>
      <c r="C35">
        <v>3</v>
      </c>
      <c r="D35">
        <v>8334</v>
      </c>
      <c r="E35">
        <v>5384</v>
      </c>
      <c r="F35">
        <v>3435</v>
      </c>
      <c r="G35">
        <v>6.2454545454545451</v>
      </c>
      <c r="H35">
        <v>550</v>
      </c>
      <c r="I35">
        <v>0.16011644832605529</v>
      </c>
      <c r="J35">
        <v>22.30699434323143</v>
      </c>
      <c r="K35">
        <v>3.89498469778145</v>
      </c>
      <c r="L35">
        <v>381.67342712474903</v>
      </c>
      <c r="M35">
        <v>3.6242536646858579</v>
      </c>
    </row>
    <row r="36" spans="1:13">
      <c r="A36" t="s">
        <v>16</v>
      </c>
      <c r="B36">
        <v>45</v>
      </c>
      <c r="C36">
        <v>4</v>
      </c>
      <c r="D36">
        <v>8353</v>
      </c>
      <c r="E36">
        <v>5391</v>
      </c>
      <c r="F36">
        <v>3412</v>
      </c>
      <c r="G36">
        <v>6.2605504587155956</v>
      </c>
      <c r="H36">
        <v>545</v>
      </c>
      <c r="I36">
        <v>0.1597303634232122</v>
      </c>
      <c r="J36">
        <v>22.563465350444261</v>
      </c>
      <c r="K36">
        <v>3.9721360857872798</v>
      </c>
      <c r="L36">
        <v>378.77231601365497</v>
      </c>
      <c r="M36">
        <v>3.3966094716180288</v>
      </c>
    </row>
    <row r="37" spans="1:13">
      <c r="A37" t="s">
        <v>16</v>
      </c>
      <c r="B37">
        <v>45</v>
      </c>
      <c r="C37">
        <v>5</v>
      </c>
      <c r="D37">
        <v>8310</v>
      </c>
      <c r="E37">
        <v>5461</v>
      </c>
      <c r="F37">
        <v>3476</v>
      </c>
      <c r="G37">
        <v>5.9418803418803421</v>
      </c>
      <c r="H37">
        <v>585</v>
      </c>
      <c r="I37">
        <v>0.16829689298043729</v>
      </c>
      <c r="J37">
        <v>23.396477528437469</v>
      </c>
      <c r="K37">
        <v>4.0093017037394301</v>
      </c>
      <c r="L37">
        <v>354.82990620858902</v>
      </c>
      <c r="M37">
        <v>3.884615625067557</v>
      </c>
    </row>
    <row r="38" spans="1:13">
      <c r="A38" t="s">
        <v>16</v>
      </c>
      <c r="B38">
        <v>45</v>
      </c>
      <c r="C38">
        <v>6</v>
      </c>
      <c r="D38">
        <v>8322</v>
      </c>
      <c r="E38">
        <v>5388</v>
      </c>
      <c r="F38">
        <v>3422</v>
      </c>
      <c r="G38">
        <v>6.396261682242991</v>
      </c>
      <c r="H38">
        <v>535</v>
      </c>
      <c r="I38">
        <v>0.1563413208649912</v>
      </c>
      <c r="J38">
        <v>22.51658725067335</v>
      </c>
      <c r="K38">
        <v>3.9488257477263602</v>
      </c>
      <c r="L38">
        <v>379.33823954191098</v>
      </c>
      <c r="M38">
        <v>3.7355163086332439</v>
      </c>
    </row>
    <row r="39" spans="1:13">
      <c r="A39" t="s">
        <v>16</v>
      </c>
      <c r="B39">
        <v>45</v>
      </c>
      <c r="C39">
        <v>7</v>
      </c>
      <c r="D39">
        <v>8268</v>
      </c>
      <c r="E39">
        <v>5345</v>
      </c>
      <c r="F39">
        <v>3374</v>
      </c>
      <c r="G39">
        <v>6.0250000000000004</v>
      </c>
      <c r="H39">
        <v>560</v>
      </c>
      <c r="I39">
        <v>0.1659751037344398</v>
      </c>
      <c r="J39">
        <v>23.30341961402339</v>
      </c>
      <c r="K39">
        <v>4.0964162436242697</v>
      </c>
      <c r="L39">
        <v>381.20128430809001</v>
      </c>
      <c r="M39">
        <v>4.3882944510871216</v>
      </c>
    </row>
    <row r="40" spans="1:13">
      <c r="A40" t="s">
        <v>16</v>
      </c>
      <c r="B40">
        <v>45</v>
      </c>
      <c r="C40">
        <v>8</v>
      </c>
      <c r="D40">
        <v>8299</v>
      </c>
      <c r="E40">
        <v>5393</v>
      </c>
      <c r="F40">
        <v>3413</v>
      </c>
      <c r="G40">
        <v>6.273897058823529</v>
      </c>
      <c r="H40">
        <v>544</v>
      </c>
      <c r="I40">
        <v>0.1593905654849106</v>
      </c>
      <c r="J40">
        <v>22.80266697590006</v>
      </c>
      <c r="K40">
        <v>4.0006909371634798</v>
      </c>
      <c r="L40">
        <v>381.522503596447</v>
      </c>
      <c r="M40">
        <v>3.9826573019211291</v>
      </c>
    </row>
    <row r="41" spans="1:13">
      <c r="A41" t="s">
        <v>16</v>
      </c>
      <c r="B41">
        <v>45</v>
      </c>
      <c r="C41">
        <v>9</v>
      </c>
      <c r="D41">
        <v>8324</v>
      </c>
      <c r="E41">
        <v>5402</v>
      </c>
      <c r="F41">
        <v>3469</v>
      </c>
      <c r="G41">
        <v>6.2730560578661843</v>
      </c>
      <c r="H41">
        <v>553</v>
      </c>
      <c r="I41">
        <v>0.15941193427500719</v>
      </c>
      <c r="J41">
        <v>22.709847929717881</v>
      </c>
      <c r="K41">
        <v>3.89628076569148</v>
      </c>
      <c r="L41">
        <v>356.17499999998898</v>
      </c>
      <c r="M41">
        <v>3.737883396628829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1"/>
  <sheetViews>
    <sheetView workbookViewId="0"/>
  </sheetViews>
  <sheetFormatPr defaultRowHeight="15.75"/>
  <cols>
    <col min="1" max="5" width="18" customWidth="1"/>
  </cols>
  <sheetData>
    <row r="1" spans="1:5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13</v>
      </c>
      <c r="C2" t="s">
        <v>3</v>
      </c>
      <c r="D2">
        <f>AVERAGE(per_seed!$D$2:$D$11)</f>
        <v>8318.2000000000007</v>
      </c>
      <c r="E2">
        <v>8318.2000000000007</v>
      </c>
    </row>
    <row r="3" spans="1:5">
      <c r="A3" t="s">
        <v>23</v>
      </c>
      <c r="B3" t="s">
        <v>13</v>
      </c>
      <c r="C3" t="s">
        <v>3</v>
      </c>
      <c r="D3">
        <f>_xlfn.STDEV.S(per_seed!$D$2:$D$11)</f>
        <v>17.548662500474375</v>
      </c>
      <c r="E3">
        <v>17.548662500474379</v>
      </c>
    </row>
    <row r="4" spans="1:5">
      <c r="A4" t="s">
        <v>22</v>
      </c>
      <c r="B4" t="s">
        <v>13</v>
      </c>
      <c r="C4" t="s">
        <v>4</v>
      </c>
      <c r="D4">
        <f>AVERAGE(per_seed!$E$2:$E$11)</f>
        <v>5396.9</v>
      </c>
      <c r="E4">
        <v>5396.9</v>
      </c>
    </row>
    <row r="5" spans="1:5">
      <c r="A5" t="s">
        <v>23</v>
      </c>
      <c r="B5" t="s">
        <v>13</v>
      </c>
      <c r="C5" t="s">
        <v>4</v>
      </c>
      <c r="D5">
        <f>_xlfn.STDEV.S(per_seed!$E$2:$E$11)</f>
        <v>35.914868477801477</v>
      </c>
      <c r="E5">
        <v>35.914868477801477</v>
      </c>
    </row>
    <row r="6" spans="1:5">
      <c r="A6" t="s">
        <v>22</v>
      </c>
      <c r="B6" t="s">
        <v>13</v>
      </c>
      <c r="C6" t="s">
        <v>5</v>
      </c>
      <c r="D6">
        <f>AVERAGE(per_seed!$F$2:$F$11)</f>
        <v>3385.3</v>
      </c>
      <c r="E6">
        <v>3385.3</v>
      </c>
    </row>
    <row r="7" spans="1:5">
      <c r="A7" t="s">
        <v>23</v>
      </c>
      <c r="B7" t="s">
        <v>13</v>
      </c>
      <c r="C7" t="s">
        <v>5</v>
      </c>
      <c r="D7">
        <f>_xlfn.STDEV.S(per_seed!$F$2:$F$11)</f>
        <v>42.426537816690995</v>
      </c>
      <c r="E7">
        <v>42.426537816691003</v>
      </c>
    </row>
    <row r="8" spans="1:5">
      <c r="A8" t="s">
        <v>22</v>
      </c>
      <c r="B8" t="s">
        <v>13</v>
      </c>
      <c r="C8" t="s">
        <v>6</v>
      </c>
      <c r="D8">
        <f>AVERAGE(per_seed!$G$2:$G$11)</f>
        <v>7.6248441194160161</v>
      </c>
      <c r="E8">
        <v>7.6248441194160126</v>
      </c>
    </row>
    <row r="9" spans="1:5">
      <c r="A9" t="s">
        <v>23</v>
      </c>
      <c r="B9" t="s">
        <v>13</v>
      </c>
      <c r="C9" t="s">
        <v>6</v>
      </c>
      <c r="D9">
        <f>_xlfn.STDEV.S(per_seed!$G$2:$G$11)</f>
        <v>0.12943095229030302</v>
      </c>
      <c r="E9">
        <v>0.1294309522903031</v>
      </c>
    </row>
    <row r="10" spans="1:5">
      <c r="A10" t="s">
        <v>22</v>
      </c>
      <c r="B10" t="s">
        <v>13</v>
      </c>
      <c r="C10" t="s">
        <v>7</v>
      </c>
      <c r="D10">
        <f>AVERAGE(per_seed!$H$2:$H$11)</f>
        <v>444.1</v>
      </c>
      <c r="E10">
        <v>444.1</v>
      </c>
    </row>
    <row r="11" spans="1:5">
      <c r="A11" t="s">
        <v>23</v>
      </c>
      <c r="B11" t="s">
        <v>13</v>
      </c>
      <c r="C11" t="s">
        <v>7</v>
      </c>
      <c r="D11">
        <f>_xlfn.STDEV.S(per_seed!$H$2:$H$11)</f>
        <v>9.4333922259645746</v>
      </c>
      <c r="E11">
        <v>9.4333922259645746</v>
      </c>
    </row>
    <row r="12" spans="1:5">
      <c r="A12" t="s">
        <v>22</v>
      </c>
      <c r="B12" t="s">
        <v>13</v>
      </c>
      <c r="C12" t="s">
        <v>8</v>
      </c>
      <c r="D12">
        <f>AVERAGE(per_seed!$I$2:$I$11)</f>
        <v>0.13118402103039301</v>
      </c>
      <c r="E12">
        <v>0.13118402103039301</v>
      </c>
    </row>
    <row r="13" spans="1:5">
      <c r="A13" t="s">
        <v>23</v>
      </c>
      <c r="B13" t="s">
        <v>13</v>
      </c>
      <c r="C13" t="s">
        <v>8</v>
      </c>
      <c r="D13">
        <f>_xlfn.STDEV.S(per_seed!$I$2:$I$11)</f>
        <v>2.2128343840324737E-3</v>
      </c>
      <c r="E13">
        <v>2.2128343840324628E-3</v>
      </c>
    </row>
    <row r="14" spans="1:5">
      <c r="A14" t="s">
        <v>22</v>
      </c>
      <c r="B14" t="s">
        <v>13</v>
      </c>
      <c r="C14" t="s">
        <v>9</v>
      </c>
      <c r="D14">
        <f>AVERAGE(per_seed!$J$2:$J$11)</f>
        <v>20.448192865359768</v>
      </c>
      <c r="E14">
        <v>20.448192865359768</v>
      </c>
    </row>
    <row r="15" spans="1:5">
      <c r="A15" t="s">
        <v>23</v>
      </c>
      <c r="B15" t="s">
        <v>13</v>
      </c>
      <c r="C15" t="s">
        <v>9</v>
      </c>
      <c r="D15">
        <f>_xlfn.STDEV.S(per_seed!$J$2:$J$11)</f>
        <v>0.28880278869695281</v>
      </c>
      <c r="E15">
        <v>0.28880278869695442</v>
      </c>
    </row>
    <row r="16" spans="1:5">
      <c r="A16" t="s">
        <v>22</v>
      </c>
      <c r="B16" t="s">
        <v>13</v>
      </c>
      <c r="C16" t="s">
        <v>10</v>
      </c>
      <c r="D16">
        <f>AVERAGE(per_seed!$K$2:$K$11)</f>
        <v>3.600961801530759</v>
      </c>
      <c r="E16">
        <v>3.600961801530759</v>
      </c>
    </row>
    <row r="17" spans="1:5">
      <c r="A17" t="s">
        <v>23</v>
      </c>
      <c r="B17" t="s">
        <v>13</v>
      </c>
      <c r="C17" t="s">
        <v>10</v>
      </c>
      <c r="D17">
        <f>_xlfn.STDEV.S(per_seed!$K$2:$K$11)</f>
        <v>6.5771669471154939E-2</v>
      </c>
      <c r="E17">
        <v>6.5771669471154939E-2</v>
      </c>
    </row>
    <row r="18" spans="1:5">
      <c r="A18" t="s">
        <v>22</v>
      </c>
      <c r="B18" t="s">
        <v>13</v>
      </c>
      <c r="C18" t="s">
        <v>11</v>
      </c>
      <c r="D18">
        <f>AVERAGE(per_seed!$L$2:$L$11)</f>
        <v>395.17806637329932</v>
      </c>
      <c r="E18">
        <v>395.17806637329932</v>
      </c>
    </row>
    <row r="19" spans="1:5">
      <c r="A19" t="s">
        <v>23</v>
      </c>
      <c r="B19" t="s">
        <v>13</v>
      </c>
      <c r="C19" t="s">
        <v>11</v>
      </c>
      <c r="D19">
        <f>_xlfn.STDEV.S(per_seed!$L$2:$L$11)</f>
        <v>15.065815399218005</v>
      </c>
      <c r="E19">
        <v>15.06581539921801</v>
      </c>
    </row>
    <row r="20" spans="1:5">
      <c r="A20" t="s">
        <v>22</v>
      </c>
      <c r="B20" t="s">
        <v>13</v>
      </c>
      <c r="C20" t="s">
        <v>12</v>
      </c>
      <c r="D20">
        <f>AVERAGE(per_seed!$M$2:$M$11)</f>
        <v>3.7882129617377891</v>
      </c>
      <c r="E20">
        <v>3.7882129617377891</v>
      </c>
    </row>
    <row r="21" spans="1:5">
      <c r="A21" t="s">
        <v>23</v>
      </c>
      <c r="B21" t="s">
        <v>13</v>
      </c>
      <c r="C21" t="s">
        <v>12</v>
      </c>
      <c r="D21">
        <f>_xlfn.STDEV.S(per_seed!$M$2:$M$11)</f>
        <v>0.20978200802083008</v>
      </c>
      <c r="E21">
        <v>0.20978200802083</v>
      </c>
    </row>
    <row r="22" spans="1:5">
      <c r="A22" t="s">
        <v>22</v>
      </c>
      <c r="B22" t="s">
        <v>14</v>
      </c>
      <c r="C22" t="s">
        <v>3</v>
      </c>
      <c r="D22">
        <f>AVERAGE(per_seed!$D$12:$D$21)</f>
        <v>8313.4</v>
      </c>
      <c r="E22">
        <v>8313.4</v>
      </c>
    </row>
    <row r="23" spans="1:5">
      <c r="A23" t="s">
        <v>23</v>
      </c>
      <c r="B23" t="s">
        <v>14</v>
      </c>
      <c r="C23" t="s">
        <v>3</v>
      </c>
      <c r="D23">
        <f>_xlfn.STDEV.S(per_seed!$D$12:$D$21)</f>
        <v>27.455823102253234</v>
      </c>
      <c r="E23">
        <v>27.45582310225323</v>
      </c>
    </row>
    <row r="24" spans="1:5">
      <c r="A24" t="s">
        <v>22</v>
      </c>
      <c r="B24" t="s">
        <v>14</v>
      </c>
      <c r="C24" t="s">
        <v>4</v>
      </c>
      <c r="D24">
        <f>AVERAGE(per_seed!$E$12:$E$21)</f>
        <v>5394.8</v>
      </c>
      <c r="E24">
        <v>5394.8</v>
      </c>
    </row>
    <row r="25" spans="1:5">
      <c r="A25" t="s">
        <v>23</v>
      </c>
      <c r="B25" t="s">
        <v>14</v>
      </c>
      <c r="C25" t="s">
        <v>4</v>
      </c>
      <c r="D25">
        <f>_xlfn.STDEV.S(per_seed!$E$12:$E$21)</f>
        <v>38.989457264468015</v>
      </c>
      <c r="E25">
        <v>38.989457264468022</v>
      </c>
    </row>
    <row r="26" spans="1:5">
      <c r="A26" t="s">
        <v>22</v>
      </c>
      <c r="B26" t="s">
        <v>14</v>
      </c>
      <c r="C26" t="s">
        <v>5</v>
      </c>
      <c r="D26">
        <f>AVERAGE(per_seed!$F$12:$F$21)</f>
        <v>3383.5</v>
      </c>
      <c r="E26">
        <v>3383.5</v>
      </c>
    </row>
    <row r="27" spans="1:5">
      <c r="A27" t="s">
        <v>23</v>
      </c>
      <c r="B27" t="s">
        <v>14</v>
      </c>
      <c r="C27" t="s">
        <v>5</v>
      </c>
      <c r="D27">
        <f>_xlfn.STDEV.S(per_seed!$F$12:$F$21)</f>
        <v>44.694642980016198</v>
      </c>
      <c r="E27">
        <v>44.694642980016198</v>
      </c>
    </row>
    <row r="28" spans="1:5">
      <c r="A28" t="s">
        <v>22</v>
      </c>
      <c r="B28" t="s">
        <v>14</v>
      </c>
      <c r="C28" t="s">
        <v>6</v>
      </c>
      <c r="D28">
        <f>AVERAGE(per_seed!$G$12:$G$21)</f>
        <v>7.6280696360377593</v>
      </c>
      <c r="E28">
        <v>7.6280696360377558</v>
      </c>
    </row>
    <row r="29" spans="1:5">
      <c r="A29" t="s">
        <v>23</v>
      </c>
      <c r="B29" t="s">
        <v>14</v>
      </c>
      <c r="C29" t="s">
        <v>6</v>
      </c>
      <c r="D29">
        <f>_xlfn.STDEV.S(per_seed!$G$12:$G$21)</f>
        <v>0.13687223277333477</v>
      </c>
      <c r="E29">
        <v>0.1368722327733348</v>
      </c>
    </row>
    <row r="30" spans="1:5">
      <c r="A30" t="s">
        <v>22</v>
      </c>
      <c r="B30" t="s">
        <v>14</v>
      </c>
      <c r="C30" t="s">
        <v>7</v>
      </c>
      <c r="D30">
        <f>AVERAGE(per_seed!$H$12:$H$21)</f>
        <v>443.7</v>
      </c>
      <c r="E30">
        <v>443.7</v>
      </c>
    </row>
    <row r="31" spans="1:5">
      <c r="A31" t="s">
        <v>23</v>
      </c>
      <c r="B31" t="s">
        <v>14</v>
      </c>
      <c r="C31" t="s">
        <v>7</v>
      </c>
      <c r="D31">
        <f>_xlfn.STDEV.S(per_seed!$H$12:$H$21)</f>
        <v>10.414199707877488</v>
      </c>
      <c r="E31">
        <v>10.41419970787749</v>
      </c>
    </row>
    <row r="32" spans="1:5">
      <c r="A32" t="s">
        <v>22</v>
      </c>
      <c r="B32" t="s">
        <v>14</v>
      </c>
      <c r="C32" t="s">
        <v>8</v>
      </c>
      <c r="D32">
        <f>AVERAGE(per_seed!$I$12:$I$21)</f>
        <v>0.13113237631153304</v>
      </c>
      <c r="E32">
        <v>0.13113237631153299</v>
      </c>
    </row>
    <row r="33" spans="1:5">
      <c r="A33" t="s">
        <v>23</v>
      </c>
      <c r="B33" t="s">
        <v>14</v>
      </c>
      <c r="C33" t="s">
        <v>8</v>
      </c>
      <c r="D33">
        <f>_xlfn.STDEV.S(per_seed!$I$12:$I$21)</f>
        <v>2.3296144458068223E-3</v>
      </c>
      <c r="E33">
        <v>2.3296144458068119E-3</v>
      </c>
    </row>
    <row r="34" spans="1:5">
      <c r="A34" t="s">
        <v>22</v>
      </c>
      <c r="B34" t="s">
        <v>14</v>
      </c>
      <c r="C34" t="s">
        <v>9</v>
      </c>
      <c r="D34">
        <f>AVERAGE(per_seed!$J$12:$J$21)</f>
        <v>20.461147769360675</v>
      </c>
      <c r="E34">
        <v>20.461147769360679</v>
      </c>
    </row>
    <row r="35" spans="1:5">
      <c r="A35" t="s">
        <v>23</v>
      </c>
      <c r="B35" t="s">
        <v>14</v>
      </c>
      <c r="C35" t="s">
        <v>9</v>
      </c>
      <c r="D35">
        <f>_xlfn.STDEV.S(per_seed!$J$12:$J$21)</f>
        <v>0.27036774343090653</v>
      </c>
      <c r="E35">
        <v>0.27036774343090758</v>
      </c>
    </row>
    <row r="36" spans="1:5">
      <c r="A36" t="s">
        <v>22</v>
      </c>
      <c r="B36" t="s">
        <v>14</v>
      </c>
      <c r="C36" t="s">
        <v>10</v>
      </c>
      <c r="D36">
        <f>AVERAGE(per_seed!$K$12:$K$21)</f>
        <v>3.6012454115862971</v>
      </c>
      <c r="E36">
        <v>3.6012454115862971</v>
      </c>
    </row>
    <row r="37" spans="1:5">
      <c r="A37" t="s">
        <v>23</v>
      </c>
      <c r="B37" t="s">
        <v>14</v>
      </c>
      <c r="C37" t="s">
        <v>10</v>
      </c>
      <c r="D37">
        <f>_xlfn.STDEV.S(per_seed!$K$12:$K$21)</f>
        <v>6.5529990033577318E-2</v>
      </c>
      <c r="E37">
        <v>6.5529990033577304E-2</v>
      </c>
    </row>
    <row r="38" spans="1:5">
      <c r="A38" t="s">
        <v>22</v>
      </c>
      <c r="B38" t="s">
        <v>14</v>
      </c>
      <c r="C38" t="s">
        <v>11</v>
      </c>
      <c r="D38">
        <f>AVERAGE(per_seed!$L$12:$L$21)</f>
        <v>395.35652957602605</v>
      </c>
      <c r="E38">
        <v>395.35652957602622</v>
      </c>
    </row>
    <row r="39" spans="1:5">
      <c r="A39" t="s">
        <v>23</v>
      </c>
      <c r="B39" t="s">
        <v>14</v>
      </c>
      <c r="C39" t="s">
        <v>11</v>
      </c>
      <c r="D39">
        <f>_xlfn.STDEV.S(per_seed!$L$12:$L$21)</f>
        <v>15.220158171290425</v>
      </c>
      <c r="E39">
        <v>15.22015817129042</v>
      </c>
    </row>
    <row r="40" spans="1:5">
      <c r="A40" t="s">
        <v>22</v>
      </c>
      <c r="B40" t="s">
        <v>14</v>
      </c>
      <c r="C40" t="s">
        <v>12</v>
      </c>
      <c r="D40">
        <f>AVERAGE(per_seed!$M$12:$M$21)</f>
        <v>3.8422159328770107</v>
      </c>
      <c r="E40">
        <v>3.8422159328770098</v>
      </c>
    </row>
    <row r="41" spans="1:5">
      <c r="A41" t="s">
        <v>23</v>
      </c>
      <c r="B41" t="s">
        <v>14</v>
      </c>
      <c r="C41" t="s">
        <v>12</v>
      </c>
      <c r="D41">
        <f>_xlfn.STDEV.S(per_seed!$M$12:$M$21)</f>
        <v>0.32136536598394738</v>
      </c>
      <c r="E41">
        <v>0.3213653659839476</v>
      </c>
    </row>
    <row r="42" spans="1:5">
      <c r="A42" t="s">
        <v>22</v>
      </c>
      <c r="B42" t="s">
        <v>15</v>
      </c>
      <c r="C42" t="s">
        <v>3</v>
      </c>
      <c r="D42">
        <f>AVERAGE(per_seed!$D$22:$D$31)</f>
        <v>7797.2</v>
      </c>
      <c r="E42">
        <v>7797.2</v>
      </c>
    </row>
    <row r="43" spans="1:5">
      <c r="A43" t="s">
        <v>23</v>
      </c>
      <c r="B43" t="s">
        <v>15</v>
      </c>
      <c r="C43" t="s">
        <v>3</v>
      </c>
      <c r="D43">
        <f>_xlfn.STDEV.S(per_seed!$D$22:$D$31)</f>
        <v>83.91371229489917</v>
      </c>
      <c r="E43">
        <v>83.913712294899156</v>
      </c>
    </row>
    <row r="44" spans="1:5">
      <c r="A44" t="s">
        <v>22</v>
      </c>
      <c r="B44" t="s">
        <v>15</v>
      </c>
      <c r="C44" t="s">
        <v>4</v>
      </c>
      <c r="D44">
        <f>AVERAGE(per_seed!$E$22:$E$31)</f>
        <v>5061.5</v>
      </c>
      <c r="E44">
        <v>5061.5</v>
      </c>
    </row>
    <row r="45" spans="1:5">
      <c r="A45" t="s">
        <v>23</v>
      </c>
      <c r="B45" t="s">
        <v>15</v>
      </c>
      <c r="C45" t="s">
        <v>4</v>
      </c>
      <c r="D45">
        <f>_xlfn.STDEV.S(per_seed!$E$22:$E$31)</f>
        <v>44.979625016963702</v>
      </c>
      <c r="E45">
        <v>44.979625016963702</v>
      </c>
    </row>
    <row r="46" spans="1:5">
      <c r="A46" t="s">
        <v>22</v>
      </c>
      <c r="B46" t="s">
        <v>15</v>
      </c>
      <c r="C46" t="s">
        <v>5</v>
      </c>
      <c r="D46">
        <f>AVERAGE(per_seed!$F$22:$F$31)</f>
        <v>3257</v>
      </c>
      <c r="E46">
        <v>3257</v>
      </c>
    </row>
    <row r="47" spans="1:5">
      <c r="A47" t="s">
        <v>23</v>
      </c>
      <c r="B47" t="s">
        <v>15</v>
      </c>
      <c r="C47" t="s">
        <v>5</v>
      </c>
      <c r="D47">
        <f>_xlfn.STDEV.S(per_seed!$F$22:$F$31)</f>
        <v>41.365578819969521</v>
      </c>
      <c r="E47">
        <v>41.365578819969521</v>
      </c>
    </row>
    <row r="48" spans="1:5">
      <c r="A48" t="s">
        <v>22</v>
      </c>
      <c r="B48" t="s">
        <v>15</v>
      </c>
      <c r="C48" t="s">
        <v>6</v>
      </c>
      <c r="D48">
        <f>AVERAGE(per_seed!$G$22:$G$31)</f>
        <v>3.3436172791165988</v>
      </c>
      <c r="E48">
        <v>3.3436172791165988</v>
      </c>
    </row>
    <row r="49" spans="1:5">
      <c r="A49" t="s">
        <v>23</v>
      </c>
      <c r="B49" t="s">
        <v>15</v>
      </c>
      <c r="C49" t="s">
        <v>6</v>
      </c>
      <c r="D49">
        <f>_xlfn.STDEV.S(per_seed!$G$22:$G$31)</f>
        <v>0.10572710825182394</v>
      </c>
      <c r="E49">
        <v>0.1057271082518239</v>
      </c>
    </row>
    <row r="50" spans="1:5">
      <c r="A50" t="s">
        <v>22</v>
      </c>
      <c r="B50" t="s">
        <v>15</v>
      </c>
      <c r="C50" t="s">
        <v>7</v>
      </c>
      <c r="D50">
        <f>AVERAGE(per_seed!$H$22:$H$31)</f>
        <v>974.8</v>
      </c>
      <c r="E50">
        <v>974.8</v>
      </c>
    </row>
    <row r="51" spans="1:5">
      <c r="A51" t="s">
        <v>23</v>
      </c>
      <c r="B51" t="s">
        <v>15</v>
      </c>
      <c r="C51" t="s">
        <v>7</v>
      </c>
      <c r="D51">
        <f>_xlfn.STDEV.S(per_seed!$H$22:$H$31)</f>
        <v>27.071099801161466</v>
      </c>
      <c r="E51">
        <v>27.07109980116147</v>
      </c>
    </row>
    <row r="52" spans="1:5">
      <c r="A52" t="s">
        <v>22</v>
      </c>
      <c r="B52" t="s">
        <v>15</v>
      </c>
      <c r="C52" t="s">
        <v>8</v>
      </c>
      <c r="D52">
        <f>AVERAGE(per_seed!$I$22:$I$31)</f>
        <v>0.29934394119403385</v>
      </c>
      <c r="E52">
        <v>0.29934394119403379</v>
      </c>
    </row>
    <row r="53" spans="1:5">
      <c r="A53" t="s">
        <v>23</v>
      </c>
      <c r="B53" t="s">
        <v>15</v>
      </c>
      <c r="C53" t="s">
        <v>8</v>
      </c>
      <c r="D53">
        <f>_xlfn.STDEV.S(per_seed!$I$22:$I$31)</f>
        <v>9.374756785265689E-3</v>
      </c>
      <c r="E53">
        <v>9.3747567852656942E-3</v>
      </c>
    </row>
    <row r="54" spans="1:5">
      <c r="A54" t="s">
        <v>22</v>
      </c>
      <c r="B54" t="s">
        <v>15</v>
      </c>
      <c r="C54" t="s">
        <v>9</v>
      </c>
      <c r="D54">
        <f>AVERAGE(per_seed!$J$22:$J$31)</f>
        <v>30.122987861597572</v>
      </c>
      <c r="E54">
        <v>30.122987861597569</v>
      </c>
    </row>
    <row r="55" spans="1:5">
      <c r="A55" t="s">
        <v>23</v>
      </c>
      <c r="B55" t="s">
        <v>15</v>
      </c>
      <c r="C55" t="s">
        <v>9</v>
      </c>
      <c r="D55">
        <f>_xlfn.STDEV.S(per_seed!$J$22:$J$31)</f>
        <v>0.46273230467803322</v>
      </c>
      <c r="E55">
        <v>0.46273230467803339</v>
      </c>
    </row>
    <row r="56" spans="1:5">
      <c r="A56" t="s">
        <v>22</v>
      </c>
      <c r="B56" t="s">
        <v>15</v>
      </c>
      <c r="C56" t="s">
        <v>10</v>
      </c>
      <c r="D56">
        <f>AVERAGE(per_seed!$K$22:$K$31)</f>
        <v>5.5096879352566379</v>
      </c>
      <c r="E56">
        <v>5.5096879352566379</v>
      </c>
    </row>
    <row r="57" spans="1:5">
      <c r="A57" t="s">
        <v>23</v>
      </c>
      <c r="B57" t="s">
        <v>15</v>
      </c>
      <c r="C57" t="s">
        <v>10</v>
      </c>
      <c r="D57">
        <f>_xlfn.STDEV.S(per_seed!$K$22:$K$31)</f>
        <v>0.12828788506940961</v>
      </c>
      <c r="E57">
        <v>0.12828788506940961</v>
      </c>
    </row>
    <row r="58" spans="1:5">
      <c r="A58" t="s">
        <v>22</v>
      </c>
      <c r="B58" t="s">
        <v>15</v>
      </c>
      <c r="C58" t="s">
        <v>11</v>
      </c>
      <c r="D58">
        <f>AVERAGE(per_seed!$L$22:$L$31)</f>
        <v>301.28888094833314</v>
      </c>
      <c r="E58">
        <v>301.28888094833309</v>
      </c>
    </row>
    <row r="59" spans="1:5">
      <c r="A59" t="s">
        <v>23</v>
      </c>
      <c r="B59" t="s">
        <v>15</v>
      </c>
      <c r="C59" t="s">
        <v>11</v>
      </c>
      <c r="D59">
        <f>_xlfn.STDEV.S(per_seed!$L$22:$L$31)</f>
        <v>8.7667626098769436</v>
      </c>
      <c r="E59">
        <v>8.7667626098769436</v>
      </c>
    </row>
    <row r="60" spans="1:5">
      <c r="A60" t="s">
        <v>22</v>
      </c>
      <c r="B60" t="s">
        <v>15</v>
      </c>
      <c r="C60" t="s">
        <v>12</v>
      </c>
      <c r="D60">
        <f>AVERAGE(per_seed!$M$22:$M$31)</f>
        <v>9.8106173946101016</v>
      </c>
      <c r="E60">
        <v>9.8106173946101016</v>
      </c>
    </row>
    <row r="61" spans="1:5">
      <c r="A61" t="s">
        <v>23</v>
      </c>
      <c r="B61" t="s">
        <v>15</v>
      </c>
      <c r="C61" t="s">
        <v>12</v>
      </c>
      <c r="D61">
        <f>_xlfn.STDEV.S(per_seed!$M$22:$M$31)</f>
        <v>0.97637188824083765</v>
      </c>
      <c r="E61">
        <v>0.9763718882408382</v>
      </c>
    </row>
    <row r="62" spans="1:5">
      <c r="A62" t="s">
        <v>22</v>
      </c>
      <c r="B62" t="s">
        <v>16</v>
      </c>
      <c r="C62" t="s">
        <v>3</v>
      </c>
      <c r="D62">
        <f>AVERAGE(per_seed!$D$32:$D$41)</f>
        <v>8312.2000000000007</v>
      </c>
      <c r="E62">
        <v>8312.2000000000007</v>
      </c>
    </row>
    <row r="63" spans="1:5">
      <c r="A63" t="s">
        <v>23</v>
      </c>
      <c r="B63" t="s">
        <v>16</v>
      </c>
      <c r="C63" t="s">
        <v>3</v>
      </c>
      <c r="D63">
        <f>_xlfn.STDEV.S(per_seed!$D$32:$D$41)</f>
        <v>24.683777848799579</v>
      </c>
      <c r="E63">
        <v>24.683777848799579</v>
      </c>
    </row>
    <row r="64" spans="1:5">
      <c r="A64" t="s">
        <v>22</v>
      </c>
      <c r="B64" t="s">
        <v>16</v>
      </c>
      <c r="C64" t="s">
        <v>4</v>
      </c>
      <c r="D64">
        <f>AVERAGE(per_seed!$E$32:$E$41)</f>
        <v>5393.3</v>
      </c>
      <c r="E64">
        <v>5393.3</v>
      </c>
    </row>
    <row r="65" spans="1:5">
      <c r="A65" t="s">
        <v>23</v>
      </c>
      <c r="B65" t="s">
        <v>16</v>
      </c>
      <c r="C65" t="s">
        <v>4</v>
      </c>
      <c r="D65">
        <f>_xlfn.STDEV.S(per_seed!$E$32:$E$41)</f>
        <v>30.324357646398163</v>
      </c>
      <c r="E65">
        <v>30.324357646398159</v>
      </c>
    </row>
    <row r="66" spans="1:5">
      <c r="A66" t="s">
        <v>22</v>
      </c>
      <c r="B66" t="s">
        <v>16</v>
      </c>
      <c r="C66" t="s">
        <v>5</v>
      </c>
      <c r="D66">
        <f>AVERAGE(per_seed!$F$32:$F$41)</f>
        <v>3425.1</v>
      </c>
      <c r="E66">
        <v>3425.1</v>
      </c>
    </row>
    <row r="67" spans="1:5">
      <c r="A67" t="s">
        <v>23</v>
      </c>
      <c r="B67" t="s">
        <v>16</v>
      </c>
      <c r="C67" t="s">
        <v>5</v>
      </c>
      <c r="D67">
        <f>_xlfn.STDEV.S(per_seed!$F$32:$F$41)</f>
        <v>31.827486374027227</v>
      </c>
      <c r="E67">
        <v>31.827486374027231</v>
      </c>
    </row>
    <row r="68" spans="1:5">
      <c r="A68" t="s">
        <v>22</v>
      </c>
      <c r="B68" t="s">
        <v>16</v>
      </c>
      <c r="C68" t="s">
        <v>6</v>
      </c>
      <c r="D68">
        <f>AVERAGE(per_seed!$G$32:$G$41)</f>
        <v>6.1912868144753164</v>
      </c>
      <c r="E68">
        <v>6.1912868144753146</v>
      </c>
    </row>
    <row r="69" spans="1:5">
      <c r="A69" t="s">
        <v>23</v>
      </c>
      <c r="B69" t="s">
        <v>16</v>
      </c>
      <c r="C69" t="s">
        <v>6</v>
      </c>
      <c r="D69">
        <f>_xlfn.STDEV.S(per_seed!$G$32:$G$41)</f>
        <v>0.1506649005749825</v>
      </c>
      <c r="E69">
        <v>0.1506649005749825</v>
      </c>
    </row>
    <row r="70" spans="1:5">
      <c r="A70" t="s">
        <v>22</v>
      </c>
      <c r="B70" t="s">
        <v>16</v>
      </c>
      <c r="C70" t="s">
        <v>7</v>
      </c>
      <c r="D70">
        <f>AVERAGE(per_seed!$H$32:$H$41)</f>
        <v>553.5</v>
      </c>
      <c r="E70">
        <v>553.5</v>
      </c>
    </row>
    <row r="71" spans="1:5">
      <c r="A71" t="s">
        <v>23</v>
      </c>
      <c r="B71" t="s">
        <v>16</v>
      </c>
      <c r="C71" t="s">
        <v>7</v>
      </c>
      <c r="D71">
        <f>_xlfn.STDEV.S(per_seed!$H$32:$H$41)</f>
        <v>14.128379635015161</v>
      </c>
      <c r="E71">
        <v>14.128379635015159</v>
      </c>
    </row>
    <row r="72" spans="1:5">
      <c r="A72" t="s">
        <v>22</v>
      </c>
      <c r="B72" t="s">
        <v>16</v>
      </c>
      <c r="C72" t="s">
        <v>8</v>
      </c>
      <c r="D72">
        <f>AVERAGE(per_seed!$I$32:$I$41)</f>
        <v>0.16160470689637235</v>
      </c>
      <c r="E72">
        <v>0.16160470689637241</v>
      </c>
    </row>
    <row r="73" spans="1:5">
      <c r="A73" t="s">
        <v>23</v>
      </c>
      <c r="B73" t="s">
        <v>16</v>
      </c>
      <c r="C73" t="s">
        <v>8</v>
      </c>
      <c r="D73">
        <f>_xlfn.STDEV.S(per_seed!$I$32:$I$41)</f>
        <v>3.9910404395120565E-3</v>
      </c>
      <c r="E73">
        <v>3.9910404395120487E-3</v>
      </c>
    </row>
    <row r="74" spans="1:5">
      <c r="A74" t="s">
        <v>22</v>
      </c>
      <c r="B74" t="s">
        <v>16</v>
      </c>
      <c r="C74" t="s">
        <v>9</v>
      </c>
      <c r="D74">
        <f>AVERAGE(per_seed!$J$32:$J$41)</f>
        <v>22.77069638449327</v>
      </c>
      <c r="E74">
        <v>22.77069638449327</v>
      </c>
    </row>
    <row r="75" spans="1:5">
      <c r="A75" t="s">
        <v>23</v>
      </c>
      <c r="B75" t="s">
        <v>16</v>
      </c>
      <c r="C75" t="s">
        <v>9</v>
      </c>
      <c r="D75">
        <f>_xlfn.STDEV.S(per_seed!$J$32:$J$41)</f>
        <v>0.37624657817670304</v>
      </c>
      <c r="E75">
        <v>0.37624657817670187</v>
      </c>
    </row>
    <row r="76" spans="1:5">
      <c r="A76" t="s">
        <v>22</v>
      </c>
      <c r="B76" t="s">
        <v>16</v>
      </c>
      <c r="C76" t="s">
        <v>10</v>
      </c>
      <c r="D76">
        <f>AVERAGE(per_seed!$K$32:$K$41)</f>
        <v>3.9634124373266069</v>
      </c>
      <c r="E76">
        <v>3.9634124373266069</v>
      </c>
    </row>
    <row r="77" spans="1:5">
      <c r="A77" t="s">
        <v>23</v>
      </c>
      <c r="B77" t="s">
        <v>16</v>
      </c>
      <c r="C77" t="s">
        <v>10</v>
      </c>
      <c r="D77">
        <f>_xlfn.STDEV.S(per_seed!$K$32:$K$41)</f>
        <v>6.5023045729151657E-2</v>
      </c>
      <c r="E77">
        <v>6.5023045729151657E-2</v>
      </c>
    </row>
    <row r="78" spans="1:5">
      <c r="A78" t="s">
        <v>22</v>
      </c>
      <c r="B78" t="s">
        <v>16</v>
      </c>
      <c r="C78" t="s">
        <v>11</v>
      </c>
      <c r="D78">
        <f>AVERAGE(per_seed!$L$32:$L$41)</f>
        <v>371.96234921444932</v>
      </c>
      <c r="E78">
        <v>371.96234921444932</v>
      </c>
    </row>
    <row r="79" spans="1:5">
      <c r="A79" t="s">
        <v>23</v>
      </c>
      <c r="B79" t="s">
        <v>16</v>
      </c>
      <c r="C79" t="s">
        <v>11</v>
      </c>
      <c r="D79">
        <f>_xlfn.STDEV.S(per_seed!$L$32:$L$41)</f>
        <v>10.642608304525428</v>
      </c>
      <c r="E79">
        <v>10.64260830452543</v>
      </c>
    </row>
    <row r="80" spans="1:5">
      <c r="A80" t="s">
        <v>22</v>
      </c>
      <c r="B80" t="s">
        <v>16</v>
      </c>
      <c r="C80" t="s">
        <v>12</v>
      </c>
      <c r="D80">
        <f>AVERAGE(per_seed!$M$32:$M$41)</f>
        <v>3.8608405864317135</v>
      </c>
      <c r="E80">
        <v>3.860840586431713</v>
      </c>
    </row>
    <row r="81" spans="1:5">
      <c r="A81" t="s">
        <v>23</v>
      </c>
      <c r="B81" t="s">
        <v>16</v>
      </c>
      <c r="C81" t="s">
        <v>12</v>
      </c>
      <c r="D81">
        <f>_xlfn.STDEV.S(per_seed!$M$32:$M$41)</f>
        <v>0.28477709997850553</v>
      </c>
      <c r="E81">
        <v>0.28477709997850542</v>
      </c>
    </row>
    <row r="82" spans="1:5">
      <c r="A82" t="s">
        <v>24</v>
      </c>
      <c r="B82" t="s">
        <v>25</v>
      </c>
      <c r="C82" t="s">
        <v>3</v>
      </c>
      <c r="D82">
        <f>(AVERAGE(per_seed!$D$22:$D$31)-AVERAGE(per_seed!$D$2:$D$11))/AVERAGE(per_seed!$D$2:$D$11)*100</f>
        <v>-6.263374287706486</v>
      </c>
      <c r="E82">
        <v>-6.263374287706486</v>
      </c>
    </row>
    <row r="83" spans="1:5">
      <c r="A83" t="s">
        <v>26</v>
      </c>
      <c r="B83" t="s">
        <v>25</v>
      </c>
      <c r="C83" t="s">
        <v>3</v>
      </c>
      <c r="D83">
        <f>_xlfn.T.TEST(per_seed!$D$2:$D$11,per_seed!$D$22:$D$31,2,1)</f>
        <v>1.2707591994742398E-8</v>
      </c>
      <c r="E83">
        <v>1.270759199474259E-8</v>
      </c>
    </row>
    <row r="84" spans="1:5">
      <c r="A84" t="s">
        <v>24</v>
      </c>
      <c r="B84" t="s">
        <v>25</v>
      </c>
      <c r="C84" t="s">
        <v>4</v>
      </c>
      <c r="D84">
        <f>(AVERAGE(per_seed!$E$22:$E$31)-AVERAGE(per_seed!$E$2:$E$11))/AVERAGE(per_seed!$E$2:$E$11)*100</f>
        <v>-6.2146787970872106</v>
      </c>
      <c r="E84">
        <v>-6.2146787970872106</v>
      </c>
    </row>
    <row r="85" spans="1:5">
      <c r="A85" t="s">
        <v>26</v>
      </c>
      <c r="B85" t="s">
        <v>25</v>
      </c>
      <c r="C85" t="s">
        <v>4</v>
      </c>
      <c r="D85">
        <f>_xlfn.T.TEST(per_seed!$E$2:$E$11,per_seed!$E$22:$E$31,2,1)</f>
        <v>3.6833815704878235E-8</v>
      </c>
      <c r="E85">
        <v>3.6833815704877811E-8</v>
      </c>
    </row>
    <row r="86" spans="1:5">
      <c r="A86" t="s">
        <v>24</v>
      </c>
      <c r="B86" t="s">
        <v>25</v>
      </c>
      <c r="C86" t="s">
        <v>5</v>
      </c>
      <c r="D86">
        <f>(AVERAGE(per_seed!$F$22:$F$31)-AVERAGE(per_seed!$F$2:$F$11))/AVERAGE(per_seed!$F$2:$F$11)*100</f>
        <v>-3.7899152216937986</v>
      </c>
      <c r="E86">
        <v>-3.789915221693799</v>
      </c>
    </row>
    <row r="87" spans="1:5">
      <c r="A87" t="s">
        <v>26</v>
      </c>
      <c r="B87" t="s">
        <v>25</v>
      </c>
      <c r="C87" t="s">
        <v>5</v>
      </c>
      <c r="D87">
        <f>_xlfn.T.TEST(per_seed!$F$2:$F$11,per_seed!$F$22:$F$31,2,1)</f>
        <v>5.8137272168743095E-6</v>
      </c>
      <c r="E87">
        <v>5.8137272168743857E-6</v>
      </c>
    </row>
    <row r="88" spans="1:5">
      <c r="A88" t="s">
        <v>24</v>
      </c>
      <c r="B88" t="s">
        <v>25</v>
      </c>
      <c r="C88" t="s">
        <v>6</v>
      </c>
      <c r="D88">
        <f>(AVERAGE(per_seed!$G$22:$G$31)-AVERAGE(per_seed!$G$2:$G$11))/AVERAGE(per_seed!$G$2:$G$11)*100</f>
        <v>-56.148385111213464</v>
      </c>
      <c r="E88">
        <v>-56.148385111213443</v>
      </c>
    </row>
    <row r="89" spans="1:5">
      <c r="A89" t="s">
        <v>26</v>
      </c>
      <c r="B89" t="s">
        <v>25</v>
      </c>
      <c r="C89" t="s">
        <v>6</v>
      </c>
      <c r="D89">
        <f>_xlfn.T.TEST(per_seed!$G$2:$G$11,per_seed!$G$22:$G$31,2,1)</f>
        <v>3.7258290608968177E-16</v>
      </c>
      <c r="E89">
        <v>3.7258290608968739E-16</v>
      </c>
    </row>
    <row r="90" spans="1:5">
      <c r="A90" t="s">
        <v>24</v>
      </c>
      <c r="B90" t="s">
        <v>25</v>
      </c>
      <c r="C90" t="s">
        <v>7</v>
      </c>
      <c r="D90">
        <f>(AVERAGE(per_seed!$H$22:$H$31)-AVERAGE(per_seed!$H$2:$H$11))/AVERAGE(per_seed!$H$2:$H$11)*100</f>
        <v>119.5001125872551</v>
      </c>
      <c r="E90">
        <v>119.5001125872551</v>
      </c>
    </row>
    <row r="91" spans="1:5">
      <c r="A91" t="s">
        <v>26</v>
      </c>
      <c r="B91" t="s">
        <v>25</v>
      </c>
      <c r="C91" t="s">
        <v>7</v>
      </c>
      <c r="D91">
        <f>_xlfn.T.TEST(per_seed!$H$2:$H$11,per_seed!$H$22:$H$31,2,1)</f>
        <v>3.1617292074269838E-14</v>
      </c>
      <c r="E91">
        <v>3.1617292074269869E-14</v>
      </c>
    </row>
    <row r="92" spans="1:5">
      <c r="A92" t="s">
        <v>24</v>
      </c>
      <c r="B92" t="s">
        <v>25</v>
      </c>
      <c r="C92" t="s">
        <v>8</v>
      </c>
      <c r="D92">
        <f>(AVERAGE(per_seed!$I$22:$I$31)-AVERAGE(per_seed!$I$2:$I$11))/AVERAGE(per_seed!$I$2:$I$11)*100</f>
        <v>128.1862827826273</v>
      </c>
      <c r="E92">
        <v>128.1862827826273</v>
      </c>
    </row>
    <row r="93" spans="1:5">
      <c r="A93" t="s">
        <v>26</v>
      </c>
      <c r="B93" t="s">
        <v>25</v>
      </c>
      <c r="C93" t="s">
        <v>8</v>
      </c>
      <c r="D93">
        <f>_xlfn.T.TEST(per_seed!$I$2:$I$11,per_seed!$I$22:$I$31,2,1)</f>
        <v>2.4518182733428926E-13</v>
      </c>
      <c r="E93">
        <v>2.4518182733429552E-13</v>
      </c>
    </row>
    <row r="94" spans="1:5">
      <c r="A94" t="s">
        <v>24</v>
      </c>
      <c r="B94" t="s">
        <v>25</v>
      </c>
      <c r="C94" t="s">
        <v>9</v>
      </c>
      <c r="D94">
        <f>(AVERAGE(per_seed!$J$22:$J$31)-AVERAGE(per_seed!$J$2:$J$11))/AVERAGE(per_seed!$J$2:$J$11)*100</f>
        <v>47.313692021300213</v>
      </c>
      <c r="E94">
        <v>47.313692021300213</v>
      </c>
    </row>
    <row r="95" spans="1:5">
      <c r="A95" t="s">
        <v>26</v>
      </c>
      <c r="B95" t="s">
        <v>25</v>
      </c>
      <c r="C95" t="s">
        <v>9</v>
      </c>
      <c r="D95">
        <f>_xlfn.T.TEST(per_seed!$J$2:$J$11,per_seed!$J$22:$J$31,2,1)</f>
        <v>6.9944274599099259E-13</v>
      </c>
      <c r="E95">
        <v>6.9944274599101329E-13</v>
      </c>
    </row>
    <row r="96" spans="1:5">
      <c r="A96" t="s">
        <v>24</v>
      </c>
      <c r="B96" t="s">
        <v>25</v>
      </c>
      <c r="C96" t="s">
        <v>10</v>
      </c>
      <c r="D96">
        <f>(AVERAGE(per_seed!$K$22:$K$31)-AVERAGE(per_seed!$K$2:$K$11))/AVERAGE(per_seed!$K$2:$K$11)*100</f>
        <v>53.006008920019219</v>
      </c>
      <c r="E96">
        <v>53.006008920019219</v>
      </c>
    </row>
    <row r="97" spans="1:5">
      <c r="A97" t="s">
        <v>26</v>
      </c>
      <c r="B97" t="s">
        <v>25</v>
      </c>
      <c r="C97" t="s">
        <v>10</v>
      </c>
      <c r="D97">
        <f>_xlfn.T.TEST(per_seed!$K$2:$K$11,per_seed!$K$22:$K$31,2,1)</f>
        <v>1.7109903294538849E-12</v>
      </c>
      <c r="E97">
        <v>1.71099032945388E-12</v>
      </c>
    </row>
    <row r="98" spans="1:5">
      <c r="A98" t="s">
        <v>24</v>
      </c>
      <c r="B98" t="s">
        <v>25</v>
      </c>
      <c r="C98" t="s">
        <v>11</v>
      </c>
      <c r="D98">
        <f>(AVERAGE(per_seed!$L$22:$L$31)-AVERAGE(per_seed!$L$2:$L$11))/AVERAGE(per_seed!$L$2:$L$11)*100</f>
        <v>-23.758703585607176</v>
      </c>
      <c r="E98">
        <v>-23.75870358560719</v>
      </c>
    </row>
    <row r="99" spans="1:5">
      <c r="A99" t="s">
        <v>26</v>
      </c>
      <c r="B99" t="s">
        <v>25</v>
      </c>
      <c r="C99" t="s">
        <v>11</v>
      </c>
      <c r="D99">
        <f>_xlfn.T.TEST(per_seed!$L$2:$L$11,per_seed!$L$22:$L$31,2,1)</f>
        <v>3.8341518247371233E-8</v>
      </c>
      <c r="E99">
        <v>3.8341518247371193E-8</v>
      </c>
    </row>
    <row r="100" spans="1:5">
      <c r="A100" t="s">
        <v>24</v>
      </c>
      <c r="B100" t="s">
        <v>25</v>
      </c>
      <c r="C100" t="s">
        <v>12</v>
      </c>
      <c r="D100">
        <f>(AVERAGE(per_seed!$M$22:$M$31)-AVERAGE(per_seed!$M$2:$M$11))/AVERAGE(per_seed!$M$2:$M$11)*100</f>
        <v>158.97745173517436</v>
      </c>
      <c r="E100">
        <v>158.97745173517441</v>
      </c>
    </row>
    <row r="101" spans="1:5">
      <c r="A101" t="s">
        <v>26</v>
      </c>
      <c r="B101" t="s">
        <v>25</v>
      </c>
      <c r="C101" t="s">
        <v>12</v>
      </c>
      <c r="D101">
        <f>_xlfn.T.TEST(per_seed!$M$2:$M$11,per_seed!$M$22:$M$31,2,1)</f>
        <v>1.3345778781553442E-8</v>
      </c>
      <c r="E101">
        <v>1.33457787815535E-8</v>
      </c>
    </row>
    <row r="102" spans="1:5">
      <c r="A102" t="s">
        <v>24</v>
      </c>
      <c r="B102" t="s">
        <v>27</v>
      </c>
      <c r="C102" t="s">
        <v>3</v>
      </c>
      <c r="D102">
        <f>(AVERAGE(per_seed!$D$32:$D$41)-AVERAGE(per_seed!$D$2:$D$11))/AVERAGE(per_seed!$D$2:$D$11)*100</f>
        <v>-7.2130989877617749E-2</v>
      </c>
      <c r="E102">
        <v>-7.2130989877617749E-2</v>
      </c>
    </row>
    <row r="103" spans="1:5">
      <c r="A103" t="s">
        <v>26</v>
      </c>
      <c r="B103" t="s">
        <v>27</v>
      </c>
      <c r="C103" t="s">
        <v>3</v>
      </c>
      <c r="D103">
        <f>_xlfn.T.TEST(per_seed!$D$2:$D$11,per_seed!$D$32:$D$41,2,1)</f>
        <v>0.58504976832567945</v>
      </c>
      <c r="E103">
        <v>0.58504976832567934</v>
      </c>
    </row>
    <row r="104" spans="1:5">
      <c r="A104" t="s">
        <v>24</v>
      </c>
      <c r="B104" t="s">
        <v>27</v>
      </c>
      <c r="C104" t="s">
        <v>4</v>
      </c>
      <c r="D104">
        <f>(AVERAGE(per_seed!$E$32:$E$41)-AVERAGE(per_seed!$E$2:$E$11))/AVERAGE(per_seed!$E$2:$E$11)*100</f>
        <v>-6.6704960254951082E-2</v>
      </c>
      <c r="E104">
        <v>-6.6704960254951082E-2</v>
      </c>
    </row>
    <row r="105" spans="1:5">
      <c r="A105" t="s">
        <v>26</v>
      </c>
      <c r="B105" t="s">
        <v>27</v>
      </c>
      <c r="C105" t="s">
        <v>4</v>
      </c>
      <c r="D105">
        <f>_xlfn.T.TEST(per_seed!$E$2:$E$11,per_seed!$E$32:$E$41,2,1)</f>
        <v>0.71808218230841192</v>
      </c>
      <c r="E105">
        <v>0.71808218230837073</v>
      </c>
    </row>
    <row r="106" spans="1:5">
      <c r="A106" t="s">
        <v>24</v>
      </c>
      <c r="B106" t="s">
        <v>27</v>
      </c>
      <c r="C106" t="s">
        <v>5</v>
      </c>
      <c r="D106">
        <f>(AVERAGE(per_seed!$F$32:$F$41)-AVERAGE(per_seed!$F$2:$F$11))/AVERAGE(per_seed!$F$2:$F$11)*100</f>
        <v>1.1756712846719559</v>
      </c>
      <c r="E106">
        <v>1.1756712846719559</v>
      </c>
    </row>
    <row r="107" spans="1:5">
      <c r="A107" t="s">
        <v>26</v>
      </c>
      <c r="B107" t="s">
        <v>27</v>
      </c>
      <c r="C107" t="s">
        <v>5</v>
      </c>
      <c r="D107">
        <f>_xlfn.T.TEST(per_seed!$F$2:$F$11,per_seed!$F$32:$F$41,2,1)</f>
        <v>2.6735345482358265E-3</v>
      </c>
      <c r="E107">
        <v>2.6735345482357142E-3</v>
      </c>
    </row>
    <row r="108" spans="1:5">
      <c r="A108" t="s">
        <v>24</v>
      </c>
      <c r="B108" t="s">
        <v>27</v>
      </c>
      <c r="C108" t="s">
        <v>6</v>
      </c>
      <c r="D108">
        <f>(AVERAGE(per_seed!$G$32:$G$41)-AVERAGE(per_seed!$G$2:$G$11))/AVERAGE(per_seed!$G$2:$G$11)*100</f>
        <v>-18.801135898506676</v>
      </c>
      <c r="E108">
        <v>-18.801135898506661</v>
      </c>
    </row>
    <row r="109" spans="1:5">
      <c r="A109" t="s">
        <v>26</v>
      </c>
      <c r="B109" t="s">
        <v>27</v>
      </c>
      <c r="C109" t="s">
        <v>6</v>
      </c>
      <c r="D109">
        <f>_xlfn.T.TEST(per_seed!$G$2:$G$11,per_seed!$G$32:$G$41,2,1)</f>
        <v>5.8935768883628837E-10</v>
      </c>
      <c r="E109">
        <v>5.893576888362954E-10</v>
      </c>
    </row>
    <row r="110" spans="1:5">
      <c r="A110" t="s">
        <v>24</v>
      </c>
      <c r="B110" t="s">
        <v>27</v>
      </c>
      <c r="C110" t="s">
        <v>7</v>
      </c>
      <c r="D110">
        <f>(AVERAGE(per_seed!$H$32:$H$41)-AVERAGE(per_seed!$H$2:$H$11))/AVERAGE(per_seed!$H$2:$H$11)*100</f>
        <v>24.634091420851153</v>
      </c>
      <c r="E110">
        <v>24.634091420851149</v>
      </c>
    </row>
    <row r="111" spans="1:5">
      <c r="A111" t="s">
        <v>26</v>
      </c>
      <c r="B111" t="s">
        <v>27</v>
      </c>
      <c r="C111" t="s">
        <v>7</v>
      </c>
      <c r="D111">
        <f>_xlfn.T.TEST(per_seed!$H$2:$H$11,per_seed!$H$32:$H$41,2,1)</f>
        <v>1.5819308886925961E-9</v>
      </c>
      <c r="E111">
        <v>1.581930888692598E-9</v>
      </c>
    </row>
    <row r="112" spans="1:5">
      <c r="A112" t="s">
        <v>24</v>
      </c>
      <c r="B112" t="s">
        <v>27</v>
      </c>
      <c r="C112" t="s">
        <v>8</v>
      </c>
      <c r="D112">
        <f>(AVERAGE(per_seed!$I$32:$I$41)-AVERAGE(per_seed!$I$2:$I$11))/AVERAGE(per_seed!$I$2:$I$11)*100</f>
        <v>23.189322622555846</v>
      </c>
      <c r="E112">
        <v>23.189322622555849</v>
      </c>
    </row>
    <row r="113" spans="1:5">
      <c r="A113" t="s">
        <v>26</v>
      </c>
      <c r="B113" t="s">
        <v>27</v>
      </c>
      <c r="C113" t="s">
        <v>8</v>
      </c>
      <c r="D113">
        <f>_xlfn.T.TEST(per_seed!$I$2:$I$11,per_seed!$I$32:$I$41,2,1)</f>
        <v>1.5719764062050026E-9</v>
      </c>
      <c r="E113">
        <v>1.571976406205032E-9</v>
      </c>
    </row>
    <row r="114" spans="1:5">
      <c r="A114" t="s">
        <v>24</v>
      </c>
      <c r="B114" t="s">
        <v>27</v>
      </c>
      <c r="C114" t="s">
        <v>9</v>
      </c>
      <c r="D114">
        <f>(AVERAGE(per_seed!$J$32:$J$41)-AVERAGE(per_seed!$J$2:$J$11))/AVERAGE(per_seed!$J$2:$J$11)*100</f>
        <v>11.357989111438476</v>
      </c>
      <c r="E114">
        <v>11.35798911143848</v>
      </c>
    </row>
    <row r="115" spans="1:5">
      <c r="A115" t="s">
        <v>26</v>
      </c>
      <c r="B115" t="s">
        <v>27</v>
      </c>
      <c r="C115" t="s">
        <v>9</v>
      </c>
      <c r="D115">
        <f>_xlfn.T.TEST(per_seed!$J$2:$J$11,per_seed!$J$32:$J$41,2,1)</f>
        <v>1.1146081863682275E-8</v>
      </c>
      <c r="E115">
        <v>1.114608186368229E-8</v>
      </c>
    </row>
    <row r="116" spans="1:5">
      <c r="A116" t="s">
        <v>24</v>
      </c>
      <c r="B116" t="s">
        <v>27</v>
      </c>
      <c r="C116" t="s">
        <v>10</v>
      </c>
      <c r="D116">
        <f>(AVERAGE(per_seed!$K$32:$K$41)-AVERAGE(per_seed!$K$2:$K$11))/AVERAGE(per_seed!$K$2:$K$11)*100</f>
        <v>10.065384077158807</v>
      </c>
      <c r="E116">
        <v>10.065384077158811</v>
      </c>
    </row>
    <row r="117" spans="1:5">
      <c r="A117" t="s">
        <v>26</v>
      </c>
      <c r="B117" t="s">
        <v>27</v>
      </c>
      <c r="C117" t="s">
        <v>10</v>
      </c>
      <c r="D117">
        <f>_xlfn.T.TEST(per_seed!$K$2:$K$11,per_seed!$K$32:$K$41,2,1)</f>
        <v>5.5090487298996634E-8</v>
      </c>
      <c r="E117">
        <v>5.509048729899531E-8</v>
      </c>
    </row>
    <row r="118" spans="1:5">
      <c r="A118" t="s">
        <v>24</v>
      </c>
      <c r="B118" t="s">
        <v>27</v>
      </c>
      <c r="C118" t="s">
        <v>11</v>
      </c>
      <c r="D118">
        <f>(AVERAGE(per_seed!$L$32:$L$41)-AVERAGE(per_seed!$L$2:$L$11))/AVERAGE(per_seed!$L$2:$L$11)*100</f>
        <v>-5.8747484069421008</v>
      </c>
      <c r="E118">
        <v>-5.8747484069421008</v>
      </c>
    </row>
    <row r="119" spans="1:5">
      <c r="A119" t="s">
        <v>26</v>
      </c>
      <c r="B119" t="s">
        <v>27</v>
      </c>
      <c r="C119" t="s">
        <v>11</v>
      </c>
      <c r="D119">
        <f>_xlfn.T.TEST(per_seed!$L$2:$L$11,per_seed!$L$32:$L$41,2,1)</f>
        <v>2.9266685454802394E-4</v>
      </c>
      <c r="E119">
        <v>2.9266685454803251E-4</v>
      </c>
    </row>
    <row r="120" spans="1:5">
      <c r="A120" t="s">
        <v>24</v>
      </c>
      <c r="B120" t="s">
        <v>27</v>
      </c>
      <c r="C120" t="s">
        <v>12</v>
      </c>
      <c r="D120">
        <f>(AVERAGE(per_seed!$M$32:$M$41)-AVERAGE(per_seed!$M$2:$M$11))/AVERAGE(per_seed!$M$2:$M$11)*100</f>
        <v>1.9172001528817817</v>
      </c>
      <c r="E120">
        <v>1.9172001528817939</v>
      </c>
    </row>
    <row r="121" spans="1:5">
      <c r="A121" t="s">
        <v>26</v>
      </c>
      <c r="B121" t="s">
        <v>27</v>
      </c>
      <c r="C121" t="s">
        <v>12</v>
      </c>
      <c r="D121">
        <f>_xlfn.T.TEST(per_seed!$M$2:$M$11,per_seed!$M$32:$M$41,2,1)</f>
        <v>0.57651249464383991</v>
      </c>
      <c r="E121">
        <v>0.57651249464383958</v>
      </c>
    </row>
    <row r="122" spans="1:5">
      <c r="A122" t="s">
        <v>24</v>
      </c>
      <c r="B122" t="s">
        <v>28</v>
      </c>
      <c r="C122" t="s">
        <v>3</v>
      </c>
      <c r="D122">
        <f>(AVERAGE(per_seed!$D$12:$D$21)-AVERAGE(per_seed!$D$2:$D$11))/AVERAGE(per_seed!$D$2:$D$11)*100</f>
        <v>-5.7704791902107325E-2</v>
      </c>
      <c r="E122">
        <v>-5.7704791902107318E-2</v>
      </c>
    </row>
    <row r="123" spans="1:5">
      <c r="A123" t="s">
        <v>26</v>
      </c>
      <c r="B123" t="s">
        <v>28</v>
      </c>
      <c r="C123" t="s">
        <v>3</v>
      </c>
      <c r="D123">
        <f>_xlfn.T.TEST(per_seed!$D$2:$D$11,per_seed!$D$12:$D$21,2,1)</f>
        <v>0.3434363961378093</v>
      </c>
      <c r="E123">
        <v>0.34343639613791371</v>
      </c>
    </row>
    <row r="124" spans="1:5">
      <c r="A124" t="s">
        <v>24</v>
      </c>
      <c r="B124" t="s">
        <v>28</v>
      </c>
      <c r="C124" t="s">
        <v>4</v>
      </c>
      <c r="D124">
        <f>(AVERAGE(per_seed!$E$12:$E$21)-AVERAGE(per_seed!$E$2:$E$11))/AVERAGE(per_seed!$E$2:$E$11)*100</f>
        <v>-3.8911226815383913E-2</v>
      </c>
      <c r="E124">
        <v>-3.8911226815383913E-2</v>
      </c>
    </row>
    <row r="125" spans="1:5">
      <c r="A125" t="s">
        <v>26</v>
      </c>
      <c r="B125" t="s">
        <v>28</v>
      </c>
      <c r="C125" t="s">
        <v>4</v>
      </c>
      <c r="D125">
        <f>_xlfn.T.TEST(per_seed!$E$2:$E$11,per_seed!$E$12:$E$21,2,1)</f>
        <v>0.34343639613803312</v>
      </c>
      <c r="E125">
        <v>0.34343639613791349</v>
      </c>
    </row>
    <row r="126" spans="1:5">
      <c r="A126" t="s">
        <v>24</v>
      </c>
      <c r="B126" t="s">
        <v>28</v>
      </c>
      <c r="C126" t="s">
        <v>5</v>
      </c>
      <c r="D126">
        <f>(AVERAGE(per_seed!$F$12:$F$21)-AVERAGE(per_seed!$F$2:$F$11))/AVERAGE(per_seed!$F$2:$F$11)*100</f>
        <v>-5.3171063125873094E-2</v>
      </c>
      <c r="E126">
        <v>-5.3171063125873087E-2</v>
      </c>
    </row>
    <row r="127" spans="1:5">
      <c r="A127" t="s">
        <v>26</v>
      </c>
      <c r="B127" t="s">
        <v>28</v>
      </c>
      <c r="C127" t="s">
        <v>5</v>
      </c>
      <c r="D127">
        <f>_xlfn.T.TEST(per_seed!$F$2:$F$11,per_seed!$F$12:$F$21,2,1)</f>
        <v>0.34343639613786808</v>
      </c>
      <c r="E127">
        <v>0.34343639613791349</v>
      </c>
    </row>
    <row r="128" spans="1:5">
      <c r="A128" t="s">
        <v>24</v>
      </c>
      <c r="B128" t="s">
        <v>28</v>
      </c>
      <c r="C128" t="s">
        <v>6</v>
      </c>
      <c r="D128">
        <f>(AVERAGE(per_seed!$G$12:$G$21)-AVERAGE(per_seed!$G$2:$G$11))/AVERAGE(per_seed!$G$2:$G$11)*100</f>
        <v>4.2302722143914957E-2</v>
      </c>
      <c r="E128">
        <v>4.2302722143903321E-2</v>
      </c>
    </row>
    <row r="129" spans="1:5">
      <c r="A129" t="s">
        <v>26</v>
      </c>
      <c r="B129" t="s">
        <v>28</v>
      </c>
      <c r="C129" t="s">
        <v>6</v>
      </c>
      <c r="D129">
        <f>_xlfn.T.TEST(per_seed!$G$2:$G$11,per_seed!$G$12:$G$21,2,1)</f>
        <v>0.34343639613790194</v>
      </c>
      <c r="E129">
        <v>0.34343639613791349</v>
      </c>
    </row>
    <row r="130" spans="1:5">
      <c r="A130" t="s">
        <v>24</v>
      </c>
      <c r="B130" t="s">
        <v>28</v>
      </c>
      <c r="C130" t="s">
        <v>7</v>
      </c>
      <c r="D130">
        <f>(AVERAGE(per_seed!$H$12:$H$21)-AVERAGE(per_seed!$H$2:$H$11))/AVERAGE(per_seed!$H$2:$H$11)*100</f>
        <v>-9.0069804098183756E-2</v>
      </c>
      <c r="E130">
        <v>-9.0069804098183756E-2</v>
      </c>
    </row>
    <row r="131" spans="1:5">
      <c r="A131" t="s">
        <v>26</v>
      </c>
      <c r="B131" t="s">
        <v>28</v>
      </c>
      <c r="C131" t="s">
        <v>7</v>
      </c>
      <c r="D131">
        <f>_xlfn.T.TEST(per_seed!$H$2:$H$11,per_seed!$H$12:$H$21,2,1)</f>
        <v>0.34343639613787375</v>
      </c>
      <c r="E131">
        <v>0.34343639613791349</v>
      </c>
    </row>
    <row r="132" spans="1:5">
      <c r="A132" t="s">
        <v>24</v>
      </c>
      <c r="B132" t="s">
        <v>28</v>
      </c>
      <c r="C132" t="s">
        <v>8</v>
      </c>
      <c r="D132">
        <f>(AVERAGE(per_seed!$I$12:$I$21)-AVERAGE(per_seed!$I$2:$I$11))/AVERAGE(per_seed!$I$2:$I$11)*100</f>
        <v>-3.9368147472774888E-2</v>
      </c>
      <c r="E132">
        <v>-3.9368147472796038E-2</v>
      </c>
    </row>
    <row r="133" spans="1:5">
      <c r="A133" t="s">
        <v>26</v>
      </c>
      <c r="B133" t="s">
        <v>28</v>
      </c>
      <c r="C133" t="s">
        <v>8</v>
      </c>
      <c r="D133">
        <f>_xlfn.T.TEST(per_seed!$I$2:$I$11,per_seed!$I$12:$I$21,2,1)</f>
        <v>0.34343639613790511</v>
      </c>
      <c r="E133">
        <v>0.34343639613791349</v>
      </c>
    </row>
    <row r="134" spans="1:5">
      <c r="A134" t="s">
        <v>24</v>
      </c>
      <c r="B134" t="s">
        <v>28</v>
      </c>
      <c r="C134" t="s">
        <v>9</v>
      </c>
      <c r="D134">
        <f>(AVERAGE(per_seed!$J$12:$J$21)-AVERAGE(per_seed!$J$2:$J$11))/AVERAGE(per_seed!$J$2:$J$11)*100</f>
        <v>6.3354762380263663E-2</v>
      </c>
      <c r="E134">
        <v>6.3354762380263663E-2</v>
      </c>
    </row>
    <row r="135" spans="1:5">
      <c r="A135" t="s">
        <v>26</v>
      </c>
      <c r="B135" t="s">
        <v>28</v>
      </c>
      <c r="C135" t="s">
        <v>9</v>
      </c>
      <c r="D135">
        <f>_xlfn.T.TEST(per_seed!$J$2:$J$11,per_seed!$J$12:$J$21,2,1)</f>
        <v>0.34343639613781185</v>
      </c>
      <c r="E135">
        <v>0.34343639613791349</v>
      </c>
    </row>
    <row r="136" spans="1:5">
      <c r="A136" t="s">
        <v>24</v>
      </c>
      <c r="B136" t="s">
        <v>28</v>
      </c>
      <c r="C136" t="s">
        <v>10</v>
      </c>
      <c r="D136">
        <f>(AVERAGE(per_seed!$K$12:$K$21)-AVERAGE(per_seed!$K$2:$K$11))/AVERAGE(per_seed!$K$2:$K$11)*100</f>
        <v>7.8759529028482739E-3</v>
      </c>
      <c r="E136">
        <v>7.8759529028482739E-3</v>
      </c>
    </row>
    <row r="137" spans="1:5">
      <c r="A137" t="s">
        <v>26</v>
      </c>
      <c r="B137" t="s">
        <v>28</v>
      </c>
      <c r="C137" t="s">
        <v>10</v>
      </c>
      <c r="D137">
        <f>_xlfn.T.TEST(per_seed!$K$2:$K$11,per_seed!$K$12:$K$21,2,1)</f>
        <v>0.34343639613877874</v>
      </c>
      <c r="E137">
        <v>0.34343639613791349</v>
      </c>
    </row>
    <row r="138" spans="1:5">
      <c r="A138" t="s">
        <v>24</v>
      </c>
      <c r="B138" t="s">
        <v>28</v>
      </c>
      <c r="C138" t="s">
        <v>11</v>
      </c>
      <c r="D138">
        <f>(AVERAGE(per_seed!$L$12:$L$21)-AVERAGE(per_seed!$L$2:$L$11))/AVERAGE(per_seed!$L$2:$L$11)*100</f>
        <v>4.5160199391772265E-2</v>
      </c>
      <c r="E138">
        <v>4.5160199391801027E-2</v>
      </c>
    </row>
    <row r="139" spans="1:5">
      <c r="A139" t="s">
        <v>26</v>
      </c>
      <c r="B139" t="s">
        <v>28</v>
      </c>
      <c r="C139" t="s">
        <v>11</v>
      </c>
      <c r="D139">
        <f>_xlfn.T.TEST(per_seed!$L$2:$L$11,per_seed!$L$12:$L$21,2,1)</f>
        <v>0.34343639613806687</v>
      </c>
      <c r="E139">
        <v>0.34343639613791349</v>
      </c>
    </row>
    <row r="140" spans="1:5">
      <c r="A140" t="s">
        <v>24</v>
      </c>
      <c r="B140" t="s">
        <v>28</v>
      </c>
      <c r="C140" t="s">
        <v>12</v>
      </c>
      <c r="D140">
        <f>(AVERAGE(per_seed!$M$12:$M$21)-AVERAGE(per_seed!$M$2:$M$11))/AVERAGE(per_seed!$M$2:$M$11)*100</f>
        <v>1.4255526731118224</v>
      </c>
      <c r="E140">
        <v>1.4255526731118111</v>
      </c>
    </row>
    <row r="141" spans="1:5">
      <c r="A141" t="s">
        <v>26</v>
      </c>
      <c r="B141" t="s">
        <v>28</v>
      </c>
      <c r="C141" t="s">
        <v>12</v>
      </c>
      <c r="D141">
        <f>_xlfn.T.TEST(per_seed!$M$2:$M$11,per_seed!$M$12:$M$21,2,1)</f>
        <v>0.34343639613790944</v>
      </c>
      <c r="E141">
        <v>0.34343639613791349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per_seed</vt:lpstr>
      <vt:lpstr>excel_check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M11301111</cp:lastModifiedBy>
  <dcterms:created xsi:type="dcterms:W3CDTF">2026-09-16T11:52:23Z</dcterms:created>
  <dcterms:modified xsi:type="dcterms:W3CDTF">2026-09-16T11:52:25Z</dcterms:modified>
</cp:coreProperties>
</file>