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5_canon_v1_large_split_limit_m5\"/>
    </mc:Choice>
  </mc:AlternateContent>
  <xr:revisionPtr revIDLastSave="0" documentId="13_ncr:1_{BC3BFB3C-48B9-4828-BB75-BB2E560E0AC8}" xr6:coauthVersionLast="47" xr6:coauthVersionMax="47" xr10:uidLastSave="{00000000-0000-0000-0000-000000000000}"/>
  <bookViews>
    <workbookView xWindow="30690" yWindow="1605" windowWidth="12150" windowHeight="10605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1" i="2" l="1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<sst xmlns="http://schemas.openxmlformats.org/spreadsheetml/2006/main" count="478" uniqueCount="29">
  <si>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</si>
  <si>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</si>
  <si>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</si>
  <si>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</si>
  <si>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</si>
  <si>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</si>
  <si>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</si>
  <si>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</si>
  <si>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</si>
  <si>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</si>
  <si>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</si>
  <si>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</si>
  <si>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</si>
  <si>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m5_45b</t>
  </si>
  <si>
    <t>m5_n2_45b</t>
  </si>
  <si>
    <t>m5_n3_45b</t>
  </si>
  <si>
    <t>m5_n4_45b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</si>
  <si>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</si>
  <si>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</si>
  <si>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</si>
  <si>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</si>
  <si>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</si>
  <si>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</si>
  <si>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</si>
  <si>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</si>
  <si>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m5_n2_45b vs m5_45b</t>
  </si>
  <si>
    <t>p</t>
  </si>
  <si>
    <t>m5_n3_45b vs m5_45b</t>
  </si>
  <si>
    <t>m5_n4_45b vs m5_45b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</si>
</sst>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8328</v>
      </c>
      <c r="E2">
        <v>5381</v>
      </c>
      <c r="F2">
        <v>3409</v>
      </c>
      <c r="G2">
        <v>7.4758771929824563</v>
      </c>
      <c r="H2">
        <v>456</v>
      </c>
      <c r="I2">
        <v>0.1337635670284541</v>
      </c>
      <c r="J2">
        <v>20.777516014337479</v>
      </c>
      <c r="K2">
        <v>3.62290037798555</v>
      </c>
      <c r="L2">
        <v>381.92491340152202</v>
      </c>
      <c r="M2">
        <v>3.6891342240970459</v>
      </c>
    </row>
    <row r="3" spans="1:13">
      <c r="A3" t="s">
        <v>13</v>
      </c>
      <c r="B3">
        <v>45</v>
      </c>
      <c r="C3">
        <v>1</v>
      </c>
      <c r="D3">
        <v>8316</v>
      </c>
      <c r="E3">
        <v>5405</v>
      </c>
      <c r="F3">
        <v>3324</v>
      </c>
      <c r="G3">
        <v>7.6064073226544622</v>
      </c>
      <c r="H3">
        <v>437</v>
      </c>
      <c r="I3">
        <v>0.13146811070998801</v>
      </c>
      <c r="J3">
        <v>20.25337948345717</v>
      </c>
      <c r="K3">
        <v>3.6466145182048701</v>
      </c>
      <c r="L3">
        <v>412.02314575051702</v>
      </c>
      <c r="M3">
        <v>3.8320109822279629</v>
      </c>
    </row>
    <row r="4" spans="1:13">
      <c r="A4" t="s">
        <v>13</v>
      </c>
      <c r="B4">
        <v>45</v>
      </c>
      <c r="C4">
        <v>2</v>
      </c>
      <c r="D4">
        <v>8324</v>
      </c>
      <c r="E4">
        <v>5371</v>
      </c>
      <c r="F4">
        <v>3380</v>
      </c>
      <c r="G4">
        <v>7.7168949771689501</v>
      </c>
      <c r="H4">
        <v>438</v>
      </c>
      <c r="I4">
        <v>0.12958579881656801</v>
      </c>
      <c r="J4">
        <v>20.70861694183634</v>
      </c>
      <c r="K4">
        <v>3.6464953569353198</v>
      </c>
      <c r="L4">
        <v>402.07129869396101</v>
      </c>
      <c r="M4">
        <v>3.7022262137774171</v>
      </c>
    </row>
    <row r="5" spans="1:13">
      <c r="A5" t="s">
        <v>13</v>
      </c>
      <c r="B5">
        <v>45</v>
      </c>
      <c r="C5">
        <v>3</v>
      </c>
      <c r="D5">
        <v>8332</v>
      </c>
      <c r="E5">
        <v>5397</v>
      </c>
      <c r="F5">
        <v>3441</v>
      </c>
      <c r="G5">
        <v>7.6636971046770599</v>
      </c>
      <c r="H5">
        <v>449</v>
      </c>
      <c r="I5">
        <v>0.1304853240337111</v>
      </c>
      <c r="J5">
        <v>20.256725259566242</v>
      </c>
      <c r="K5">
        <v>3.49217952698026</v>
      </c>
      <c r="L5">
        <v>376.89028137424202</v>
      </c>
      <c r="M5">
        <v>3.6058670362805039</v>
      </c>
    </row>
    <row r="6" spans="1:13">
      <c r="A6" t="s">
        <v>13</v>
      </c>
      <c r="B6">
        <v>45</v>
      </c>
      <c r="C6">
        <v>4</v>
      </c>
      <c r="D6">
        <v>8298</v>
      </c>
      <c r="E6">
        <v>5357</v>
      </c>
      <c r="F6">
        <v>3340</v>
      </c>
      <c r="G6">
        <v>7.5225225225225234</v>
      </c>
      <c r="H6">
        <v>444</v>
      </c>
      <c r="I6">
        <v>0.13293413173652691</v>
      </c>
      <c r="J6">
        <v>20.386417143956511</v>
      </c>
      <c r="K6">
        <v>3.5784393916667199</v>
      </c>
      <c r="L6">
        <v>414.97870849900102</v>
      </c>
      <c r="M6">
        <v>4.015729166666735</v>
      </c>
    </row>
    <row r="7" spans="1:13">
      <c r="A7" t="s">
        <v>13</v>
      </c>
      <c r="B7">
        <v>45</v>
      </c>
      <c r="C7">
        <v>5</v>
      </c>
      <c r="D7">
        <v>8329</v>
      </c>
      <c r="E7">
        <v>5479</v>
      </c>
      <c r="F7">
        <v>3451</v>
      </c>
      <c r="G7">
        <v>7.634955752212389</v>
      </c>
      <c r="H7">
        <v>452</v>
      </c>
      <c r="I7">
        <v>0.13097652854245151</v>
      </c>
      <c r="J7">
        <v>20.329890075804158</v>
      </c>
      <c r="K7">
        <v>3.5526807515351599</v>
      </c>
      <c r="L7">
        <v>386.33694804091999</v>
      </c>
      <c r="M7">
        <v>3.6676713224782902</v>
      </c>
    </row>
    <row r="8" spans="1:13">
      <c r="A8" t="s">
        <v>13</v>
      </c>
      <c r="B8">
        <v>45</v>
      </c>
      <c r="C8">
        <v>6</v>
      </c>
      <c r="D8">
        <v>8289</v>
      </c>
      <c r="E8">
        <v>5420</v>
      </c>
      <c r="F8">
        <v>3405</v>
      </c>
      <c r="G8">
        <v>7.6862302483069973</v>
      </c>
      <c r="H8">
        <v>443</v>
      </c>
      <c r="I8">
        <v>0.13010279001468431</v>
      </c>
      <c r="J8">
        <v>20.33808467334207</v>
      </c>
      <c r="K8">
        <v>3.5732713590898899</v>
      </c>
      <c r="L8">
        <v>403.588708499002</v>
      </c>
      <c r="M8">
        <v>4.1389554513199176</v>
      </c>
    </row>
    <row r="9" spans="1:13">
      <c r="A9" t="s">
        <v>13</v>
      </c>
      <c r="B9">
        <v>45</v>
      </c>
      <c r="C9">
        <v>7</v>
      </c>
      <c r="D9">
        <v>8325</v>
      </c>
      <c r="E9">
        <v>5409</v>
      </c>
      <c r="F9">
        <v>3369</v>
      </c>
      <c r="G9">
        <v>7.4370860927152318</v>
      </c>
      <c r="H9">
        <v>453</v>
      </c>
      <c r="I9">
        <v>0.13446126447016921</v>
      </c>
      <c r="J9">
        <v>20.991225874092439</v>
      </c>
      <c r="K9">
        <v>3.7265996726082999</v>
      </c>
      <c r="L9">
        <v>395.85156568238898</v>
      </c>
      <c r="M9">
        <v>3.6889030429773508</v>
      </c>
    </row>
    <row r="10" spans="1:13">
      <c r="A10" t="s">
        <v>13</v>
      </c>
      <c r="B10">
        <v>45</v>
      </c>
      <c r="C10">
        <v>8</v>
      </c>
      <c r="D10">
        <v>8298</v>
      </c>
      <c r="E10">
        <v>5357</v>
      </c>
      <c r="F10">
        <v>3344</v>
      </c>
      <c r="G10">
        <v>7.8867924528301883</v>
      </c>
      <c r="H10">
        <v>424</v>
      </c>
      <c r="I10">
        <v>0.12679425837320571</v>
      </c>
      <c r="J10">
        <v>20.03182673472709</v>
      </c>
      <c r="K10">
        <v>3.5493354020071699</v>
      </c>
      <c r="L10">
        <v>406.16166666668801</v>
      </c>
      <c r="M10">
        <v>4.039065814922945</v>
      </c>
    </row>
    <row r="11" spans="1:13">
      <c r="A11" t="s">
        <v>13</v>
      </c>
      <c r="B11">
        <v>45</v>
      </c>
      <c r="C11">
        <v>9</v>
      </c>
      <c r="D11">
        <v>8343</v>
      </c>
      <c r="E11">
        <v>5393</v>
      </c>
      <c r="F11">
        <v>3390</v>
      </c>
      <c r="G11">
        <v>7.617977528089888</v>
      </c>
      <c r="H11">
        <v>445</v>
      </c>
      <c r="I11">
        <v>0.13126843657817111</v>
      </c>
      <c r="J11">
        <v>20.40824645247821</v>
      </c>
      <c r="K11">
        <v>3.6211016582943398</v>
      </c>
      <c r="L11">
        <v>371.95342712475099</v>
      </c>
      <c r="M11">
        <v>3.502566362629723</v>
      </c>
    </row>
    <row r="12" spans="1:13">
      <c r="A12" t="s">
        <v>14</v>
      </c>
      <c r="B12">
        <v>45</v>
      </c>
      <c r="C12">
        <v>0</v>
      </c>
      <c r="D12">
        <v>4460</v>
      </c>
      <c r="E12">
        <v>2892</v>
      </c>
      <c r="F12">
        <v>1858</v>
      </c>
      <c r="G12">
        <v>6.7318840579710146</v>
      </c>
      <c r="H12">
        <v>276</v>
      </c>
      <c r="I12">
        <v>0.1485468245425188</v>
      </c>
      <c r="J12">
        <v>27.81915629322307</v>
      </c>
      <c r="K12">
        <v>4.7801463974875302</v>
      </c>
      <c r="L12">
        <v>423.13295816768402</v>
      </c>
      <c r="M12">
        <v>48.383388740242147</v>
      </c>
    </row>
    <row r="13" spans="1:13">
      <c r="A13" t="s">
        <v>14</v>
      </c>
      <c r="B13">
        <v>45</v>
      </c>
      <c r="C13">
        <v>1</v>
      </c>
      <c r="D13">
        <v>4523</v>
      </c>
      <c r="E13">
        <v>2908</v>
      </c>
      <c r="F13">
        <v>1865</v>
      </c>
      <c r="G13">
        <v>6.498257839721254</v>
      </c>
      <c r="H13">
        <v>287</v>
      </c>
      <c r="I13">
        <v>0.153887399463807</v>
      </c>
      <c r="J13">
        <v>28.192916093535551</v>
      </c>
      <c r="K13">
        <v>4.8579996431726098</v>
      </c>
      <c r="L13">
        <v>463.40398268030202</v>
      </c>
      <c r="M13">
        <v>47.678977197562553</v>
      </c>
    </row>
    <row r="14" spans="1:13">
      <c r="A14" t="s">
        <v>14</v>
      </c>
      <c r="B14">
        <v>45</v>
      </c>
      <c r="C14">
        <v>2</v>
      </c>
      <c r="D14">
        <v>4514</v>
      </c>
      <c r="E14">
        <v>2918</v>
      </c>
      <c r="F14">
        <v>1857</v>
      </c>
      <c r="G14">
        <v>6.8272058823529411</v>
      </c>
      <c r="H14">
        <v>272</v>
      </c>
      <c r="I14">
        <v>0.1464728056004308</v>
      </c>
      <c r="J14">
        <v>27.22549691569613</v>
      </c>
      <c r="K14">
        <v>4.7331677989968597</v>
      </c>
      <c r="L14">
        <v>453.59046895706803</v>
      </c>
      <c r="M14">
        <v>47.772212493581179</v>
      </c>
    </row>
    <row r="15" spans="1:13">
      <c r="A15" t="s">
        <v>14</v>
      </c>
      <c r="B15">
        <v>45</v>
      </c>
      <c r="C15">
        <v>3</v>
      </c>
      <c r="D15">
        <v>4433</v>
      </c>
      <c r="E15">
        <v>2895</v>
      </c>
      <c r="F15">
        <v>1874</v>
      </c>
      <c r="G15">
        <v>6.966542750929368</v>
      </c>
      <c r="H15">
        <v>269</v>
      </c>
      <c r="I15">
        <v>0.14354322305229461</v>
      </c>
      <c r="J15">
        <v>27.864594127807148</v>
      </c>
      <c r="K15">
        <v>4.7765588997650603</v>
      </c>
      <c r="L15">
        <v>443.677683986354</v>
      </c>
      <c r="M15">
        <v>48.703440289126412</v>
      </c>
    </row>
    <row r="16" spans="1:13">
      <c r="A16" t="s">
        <v>14</v>
      </c>
      <c r="B16">
        <v>45</v>
      </c>
      <c r="C16">
        <v>4</v>
      </c>
      <c r="D16">
        <v>4316</v>
      </c>
      <c r="E16">
        <v>2780</v>
      </c>
      <c r="F16">
        <v>1748</v>
      </c>
      <c r="G16">
        <v>6.5714285714285712</v>
      </c>
      <c r="H16">
        <v>266</v>
      </c>
      <c r="I16">
        <v>0.1521739130434783</v>
      </c>
      <c r="J16">
        <v>28.891007194245031</v>
      </c>
      <c r="K16">
        <v>5.0532744647801904</v>
      </c>
      <c r="L16">
        <v>451.36518758282898</v>
      </c>
      <c r="M16">
        <v>50.046296296296298</v>
      </c>
    </row>
    <row r="17" spans="1:13">
      <c r="A17" t="s">
        <v>14</v>
      </c>
      <c r="B17">
        <v>45</v>
      </c>
      <c r="C17">
        <v>5</v>
      </c>
      <c r="D17">
        <v>4258</v>
      </c>
      <c r="E17">
        <v>2811</v>
      </c>
      <c r="F17">
        <v>1827</v>
      </c>
      <c r="G17">
        <v>6.8684210526315788</v>
      </c>
      <c r="H17">
        <v>266</v>
      </c>
      <c r="I17">
        <v>0.1455938697318008</v>
      </c>
      <c r="J17">
        <v>28.104944859481009</v>
      </c>
      <c r="K17">
        <v>4.8425890165252099</v>
      </c>
      <c r="L17">
        <v>492.13546895708799</v>
      </c>
      <c r="M17">
        <v>50.718006261348442</v>
      </c>
    </row>
    <row r="18" spans="1:13">
      <c r="A18" t="s">
        <v>14</v>
      </c>
      <c r="B18">
        <v>45</v>
      </c>
      <c r="C18">
        <v>6</v>
      </c>
      <c r="D18">
        <v>4565</v>
      </c>
      <c r="E18">
        <v>2966</v>
      </c>
      <c r="F18">
        <v>1897</v>
      </c>
      <c r="G18">
        <v>6.7269503546099294</v>
      </c>
      <c r="H18">
        <v>282</v>
      </c>
      <c r="I18">
        <v>0.14865577227200841</v>
      </c>
      <c r="J18">
        <v>28.036749831423261</v>
      </c>
      <c r="K18">
        <v>4.8391992851203502</v>
      </c>
      <c r="L18">
        <v>440.16703463938302</v>
      </c>
      <c r="M18">
        <v>47.17132223357067</v>
      </c>
    </row>
    <row r="19" spans="1:13">
      <c r="A19" t="s">
        <v>14</v>
      </c>
      <c r="B19">
        <v>45</v>
      </c>
      <c r="C19">
        <v>7</v>
      </c>
      <c r="D19">
        <v>4467</v>
      </c>
      <c r="E19">
        <v>2885</v>
      </c>
      <c r="F19">
        <v>1837</v>
      </c>
      <c r="G19">
        <v>7.1478599221789887</v>
      </c>
      <c r="H19">
        <v>257</v>
      </c>
      <c r="I19">
        <v>0.13990201415351119</v>
      </c>
      <c r="J19">
        <v>27.578657179629911</v>
      </c>
      <c r="K19">
        <v>4.7897453083796098</v>
      </c>
      <c r="L19">
        <v>483.09407647171798</v>
      </c>
      <c r="M19">
        <v>48.298611111111107</v>
      </c>
    </row>
    <row r="20" spans="1:13">
      <c r="A20" t="s">
        <v>14</v>
      </c>
      <c r="B20">
        <v>45</v>
      </c>
      <c r="C20">
        <v>8</v>
      </c>
      <c r="D20">
        <v>4272</v>
      </c>
      <c r="E20">
        <v>2780</v>
      </c>
      <c r="F20">
        <v>1801</v>
      </c>
      <c r="G20">
        <v>6.9806201550387597</v>
      </c>
      <c r="H20">
        <v>258</v>
      </c>
      <c r="I20">
        <v>0.14325374791782339</v>
      </c>
      <c r="J20">
        <v>28.75575539568403</v>
      </c>
      <c r="K20">
        <v>4.8941480434119997</v>
      </c>
      <c r="L20">
        <v>432.65453823585898</v>
      </c>
      <c r="M20">
        <v>50.55555555555555</v>
      </c>
    </row>
    <row r="21" spans="1:13">
      <c r="A21" t="s">
        <v>14</v>
      </c>
      <c r="B21">
        <v>45</v>
      </c>
      <c r="C21">
        <v>9</v>
      </c>
      <c r="D21">
        <v>4510</v>
      </c>
      <c r="E21">
        <v>2926</v>
      </c>
      <c r="F21">
        <v>1903</v>
      </c>
      <c r="G21">
        <v>6.6538461538461542</v>
      </c>
      <c r="H21">
        <v>286</v>
      </c>
      <c r="I21">
        <v>0.1502890173410405</v>
      </c>
      <c r="J21">
        <v>28.05809979494234</v>
      </c>
      <c r="K21">
        <v>4.8122500161552004</v>
      </c>
      <c r="L21">
        <v>440.26910016063999</v>
      </c>
      <c r="M21">
        <v>47.802474196256192</v>
      </c>
    </row>
    <row r="22" spans="1:13">
      <c r="A22" t="s">
        <v>15</v>
      </c>
      <c r="B22">
        <v>45</v>
      </c>
      <c r="C22">
        <v>0</v>
      </c>
      <c r="D22">
        <v>6016</v>
      </c>
      <c r="E22">
        <v>3931</v>
      </c>
      <c r="F22">
        <v>2498</v>
      </c>
      <c r="G22">
        <v>7.7577639751552798</v>
      </c>
      <c r="H22">
        <v>322</v>
      </c>
      <c r="I22">
        <v>0.1289031224979984</v>
      </c>
      <c r="J22">
        <v>22.886947545253548</v>
      </c>
      <c r="K22">
        <v>3.9691282267077499</v>
      </c>
      <c r="L22">
        <v>453.08778497071199</v>
      </c>
      <c r="M22">
        <v>30.37037037037037</v>
      </c>
    </row>
    <row r="23" spans="1:13">
      <c r="A23" t="s">
        <v>15</v>
      </c>
      <c r="B23">
        <v>45</v>
      </c>
      <c r="C23">
        <v>1</v>
      </c>
      <c r="D23">
        <v>5905</v>
      </c>
      <c r="E23">
        <v>3803</v>
      </c>
      <c r="F23">
        <v>2376</v>
      </c>
      <c r="G23">
        <v>7.333333333333333</v>
      </c>
      <c r="H23">
        <v>324</v>
      </c>
      <c r="I23">
        <v>0.13636363636363641</v>
      </c>
      <c r="J23">
        <v>23.705717184394711</v>
      </c>
      <c r="K23">
        <v>4.2076378005435897</v>
      </c>
      <c r="L23">
        <v>493.30037516565199</v>
      </c>
      <c r="M23">
        <v>31.68549120519382</v>
      </c>
    </row>
    <row r="24" spans="1:13">
      <c r="A24" t="s">
        <v>15</v>
      </c>
      <c r="B24">
        <v>45</v>
      </c>
      <c r="C24">
        <v>2</v>
      </c>
      <c r="D24">
        <v>6242</v>
      </c>
      <c r="E24">
        <v>4082</v>
      </c>
      <c r="F24">
        <v>2542</v>
      </c>
      <c r="G24">
        <v>7.9437499999999996</v>
      </c>
      <c r="H24">
        <v>320</v>
      </c>
      <c r="I24">
        <v>0.1258851298190401</v>
      </c>
      <c r="J24">
        <v>21.76394381483486</v>
      </c>
      <c r="K24">
        <v>3.86623599085631</v>
      </c>
      <c r="L24">
        <v>507.194819610092</v>
      </c>
      <c r="M24">
        <v>27.814185797956771</v>
      </c>
    </row>
    <row r="25" spans="1:13">
      <c r="A25" t="s">
        <v>15</v>
      </c>
      <c r="B25">
        <v>45</v>
      </c>
      <c r="C25">
        <v>3</v>
      </c>
      <c r="D25">
        <v>6361</v>
      </c>
      <c r="E25">
        <v>4117</v>
      </c>
      <c r="F25">
        <v>2605</v>
      </c>
      <c r="G25">
        <v>7.3587570621468927</v>
      </c>
      <c r="H25">
        <v>354</v>
      </c>
      <c r="I25">
        <v>0.13589251439539349</v>
      </c>
      <c r="J25">
        <v>22.537269389368909</v>
      </c>
      <c r="K25">
        <v>3.9107805530905702</v>
      </c>
      <c r="L25">
        <v>458.03787156916002</v>
      </c>
      <c r="M25">
        <v>26.416266224956392</v>
      </c>
    </row>
    <row r="26" spans="1:13">
      <c r="A26" t="s">
        <v>15</v>
      </c>
      <c r="B26">
        <v>45</v>
      </c>
      <c r="C26">
        <v>4</v>
      </c>
      <c r="D26">
        <v>6064</v>
      </c>
      <c r="E26">
        <v>3882</v>
      </c>
      <c r="F26">
        <v>2455</v>
      </c>
      <c r="G26">
        <v>7.6006191950464386</v>
      </c>
      <c r="H26">
        <v>323</v>
      </c>
      <c r="I26">
        <v>0.13156822810590629</v>
      </c>
      <c r="J26">
        <v>23.288511076764919</v>
      </c>
      <c r="K26">
        <v>4.0477882398522196</v>
      </c>
      <c r="L26">
        <v>463.01166666666802</v>
      </c>
      <c r="M26">
        <v>29.894422080829209</v>
      </c>
    </row>
    <row r="27" spans="1:13">
      <c r="A27" t="s">
        <v>15</v>
      </c>
      <c r="B27">
        <v>45</v>
      </c>
      <c r="C27">
        <v>5</v>
      </c>
      <c r="D27">
        <v>6522</v>
      </c>
      <c r="E27">
        <v>4272</v>
      </c>
      <c r="F27">
        <v>2699</v>
      </c>
      <c r="G27">
        <v>7.800578034682081</v>
      </c>
      <c r="H27">
        <v>346</v>
      </c>
      <c r="I27">
        <v>0.12819562801037421</v>
      </c>
      <c r="J27">
        <v>21.511938202247521</v>
      </c>
      <c r="K27">
        <v>3.78866565600363</v>
      </c>
      <c r="L27">
        <v>467.35658006817999</v>
      </c>
      <c r="M27">
        <v>24.569811457611351</v>
      </c>
    </row>
    <row r="28" spans="1:13">
      <c r="A28" t="s">
        <v>15</v>
      </c>
      <c r="B28">
        <v>45</v>
      </c>
      <c r="C28">
        <v>6</v>
      </c>
      <c r="D28">
        <v>6447</v>
      </c>
      <c r="E28">
        <v>4183</v>
      </c>
      <c r="F28">
        <v>2601</v>
      </c>
      <c r="G28">
        <v>7.5830903790087456</v>
      </c>
      <c r="H28">
        <v>343</v>
      </c>
      <c r="I28">
        <v>0.1318723567858516</v>
      </c>
      <c r="J28">
        <v>21.793494436289361</v>
      </c>
      <c r="K28">
        <v>3.9006300797934599</v>
      </c>
      <c r="L28">
        <v>491.99601731968897</v>
      </c>
      <c r="M28">
        <v>25.438679510977309</v>
      </c>
    </row>
    <row r="29" spans="1:13">
      <c r="A29" t="s">
        <v>15</v>
      </c>
      <c r="B29">
        <v>45</v>
      </c>
      <c r="C29">
        <v>7</v>
      </c>
      <c r="D29">
        <v>6090</v>
      </c>
      <c r="E29">
        <v>3942</v>
      </c>
      <c r="F29">
        <v>2419</v>
      </c>
      <c r="G29">
        <v>7.7284345047923324</v>
      </c>
      <c r="H29">
        <v>313</v>
      </c>
      <c r="I29">
        <v>0.1293923108722613</v>
      </c>
      <c r="J29">
        <v>22.225716899442919</v>
      </c>
      <c r="K29">
        <v>4.0165062065692396</v>
      </c>
      <c r="L29">
        <v>477.43630588683999</v>
      </c>
      <c r="M29">
        <v>29.575175330027179</v>
      </c>
    </row>
    <row r="30" spans="1:13">
      <c r="A30" t="s">
        <v>15</v>
      </c>
      <c r="B30">
        <v>45</v>
      </c>
      <c r="C30">
        <v>8</v>
      </c>
      <c r="D30">
        <v>6314</v>
      </c>
      <c r="E30">
        <v>4047</v>
      </c>
      <c r="F30">
        <v>2516</v>
      </c>
      <c r="G30">
        <v>8.0127388535031852</v>
      </c>
      <c r="H30">
        <v>314</v>
      </c>
      <c r="I30">
        <v>0.1248012718600954</v>
      </c>
      <c r="J30">
        <v>22.153145776417691</v>
      </c>
      <c r="K30">
        <v>3.9564004097365801</v>
      </c>
      <c r="L30">
        <v>468.10453104294203</v>
      </c>
      <c r="M30">
        <v>26.921296296296291</v>
      </c>
    </row>
    <row r="31" spans="1:13">
      <c r="A31" t="s">
        <v>15</v>
      </c>
      <c r="B31">
        <v>45</v>
      </c>
      <c r="C31">
        <v>9</v>
      </c>
      <c r="D31">
        <v>6545</v>
      </c>
      <c r="E31">
        <v>4233</v>
      </c>
      <c r="F31">
        <v>2712</v>
      </c>
      <c r="G31">
        <v>7.6827195467422094</v>
      </c>
      <c r="H31">
        <v>353</v>
      </c>
      <c r="I31">
        <v>0.13016224188790559</v>
      </c>
      <c r="J31">
        <v>22.114499173163502</v>
      </c>
      <c r="K31">
        <v>3.8410641312775802</v>
      </c>
      <c r="L31">
        <v>437.63463202727701</v>
      </c>
      <c r="M31">
        <v>24.31612301917502</v>
      </c>
    </row>
    <row r="32" spans="1:13">
      <c r="A32" t="s">
        <v>16</v>
      </c>
      <c r="B32">
        <v>45</v>
      </c>
      <c r="C32">
        <v>0</v>
      </c>
      <c r="D32">
        <v>8308</v>
      </c>
      <c r="E32">
        <v>5385</v>
      </c>
      <c r="F32">
        <v>3407</v>
      </c>
      <c r="G32">
        <v>7.5376106194690262</v>
      </c>
      <c r="H32">
        <v>452</v>
      </c>
      <c r="I32">
        <v>0.132668036395656</v>
      </c>
      <c r="J32">
        <v>20.83219969466407</v>
      </c>
      <c r="K32">
        <v>3.6266869000575999</v>
      </c>
      <c r="L32">
        <v>379.67509379141399</v>
      </c>
      <c r="M32">
        <v>3.9141369213191859</v>
      </c>
    </row>
    <row r="33" spans="1:13">
      <c r="A33" t="s">
        <v>16</v>
      </c>
      <c r="B33">
        <v>45</v>
      </c>
      <c r="C33">
        <v>1</v>
      </c>
      <c r="D33">
        <v>8316</v>
      </c>
      <c r="E33">
        <v>5405</v>
      </c>
      <c r="F33">
        <v>3324</v>
      </c>
      <c r="G33">
        <v>7.6064073226544622</v>
      </c>
      <c r="H33">
        <v>437</v>
      </c>
      <c r="I33">
        <v>0.13146811070998801</v>
      </c>
      <c r="J33">
        <v>20.25337948345717</v>
      </c>
      <c r="K33">
        <v>3.6466145182048701</v>
      </c>
      <c r="L33">
        <v>412.02314575051702</v>
      </c>
      <c r="M33">
        <v>3.8320109822279629</v>
      </c>
    </row>
    <row r="34" spans="1:13">
      <c r="A34" t="s">
        <v>16</v>
      </c>
      <c r="B34">
        <v>45</v>
      </c>
      <c r="C34">
        <v>2</v>
      </c>
      <c r="D34">
        <v>8244</v>
      </c>
      <c r="E34">
        <v>5304</v>
      </c>
      <c r="F34">
        <v>3331</v>
      </c>
      <c r="G34">
        <v>7.8933649289099526</v>
      </c>
      <c r="H34">
        <v>422</v>
      </c>
      <c r="I34">
        <v>0.12668868207745421</v>
      </c>
      <c r="J34">
        <v>20.407308939607091</v>
      </c>
      <c r="K34">
        <v>3.5989744804211399</v>
      </c>
      <c r="L34">
        <v>397.82620490252702</v>
      </c>
      <c r="M34">
        <v>4.6516834097495989</v>
      </c>
    </row>
    <row r="35" spans="1:13">
      <c r="A35" t="s">
        <v>16</v>
      </c>
      <c r="B35">
        <v>45</v>
      </c>
      <c r="C35">
        <v>3</v>
      </c>
      <c r="D35">
        <v>8246</v>
      </c>
      <c r="E35">
        <v>5338</v>
      </c>
      <c r="F35">
        <v>3387</v>
      </c>
      <c r="G35">
        <v>7.5941704035874444</v>
      </c>
      <c r="H35">
        <v>446</v>
      </c>
      <c r="I35">
        <v>0.13167995276055511</v>
      </c>
      <c r="J35">
        <v>20.440590536316972</v>
      </c>
      <c r="K35">
        <v>3.5386454810491501</v>
      </c>
      <c r="L35">
        <v>375.75296536058499</v>
      </c>
      <c r="M35">
        <v>4.6345537048656773</v>
      </c>
    </row>
    <row r="36" spans="1:13">
      <c r="A36" t="s">
        <v>16</v>
      </c>
      <c r="B36">
        <v>45</v>
      </c>
      <c r="C36">
        <v>4</v>
      </c>
      <c r="D36">
        <v>8255</v>
      </c>
      <c r="E36">
        <v>5312</v>
      </c>
      <c r="F36">
        <v>3307</v>
      </c>
      <c r="G36">
        <v>7.5675057208237986</v>
      </c>
      <c r="H36">
        <v>437</v>
      </c>
      <c r="I36">
        <v>0.13214393710311459</v>
      </c>
      <c r="J36">
        <v>20.53751933869766</v>
      </c>
      <c r="K36">
        <v>3.62766391346663</v>
      </c>
      <c r="L36">
        <v>417.85601731969803</v>
      </c>
      <c r="M36">
        <v>4.5170853206219004</v>
      </c>
    </row>
    <row r="37" spans="1:13">
      <c r="A37" t="s">
        <v>16</v>
      </c>
      <c r="B37">
        <v>45</v>
      </c>
      <c r="C37">
        <v>5</v>
      </c>
      <c r="D37">
        <v>8257</v>
      </c>
      <c r="E37">
        <v>5424</v>
      </c>
      <c r="F37">
        <v>3434</v>
      </c>
      <c r="G37">
        <v>7.6481069042316259</v>
      </c>
      <c r="H37">
        <v>449</v>
      </c>
      <c r="I37">
        <v>0.13075131042516019</v>
      </c>
      <c r="J37">
        <v>20.28038571459458</v>
      </c>
      <c r="K37">
        <v>3.5354013460715401</v>
      </c>
      <c r="L37">
        <v>390.62629869393601</v>
      </c>
      <c r="M37">
        <v>4.5053686411636003</v>
      </c>
    </row>
    <row r="38" spans="1:13">
      <c r="A38" t="s">
        <v>16</v>
      </c>
      <c r="B38">
        <v>45</v>
      </c>
      <c r="C38">
        <v>6</v>
      </c>
      <c r="D38">
        <v>8283</v>
      </c>
      <c r="E38">
        <v>5413</v>
      </c>
      <c r="F38">
        <v>3399</v>
      </c>
      <c r="G38">
        <v>7.6900452488687776</v>
      </c>
      <c r="H38">
        <v>442</v>
      </c>
      <c r="I38">
        <v>0.13003824654310089</v>
      </c>
      <c r="J38">
        <v>20.39652154314151</v>
      </c>
      <c r="K38">
        <v>3.58065567591263</v>
      </c>
      <c r="L38">
        <v>403.66740980505</v>
      </c>
      <c r="M38">
        <v>4.2244781890173826</v>
      </c>
    </row>
    <row r="39" spans="1:13">
      <c r="A39" t="s">
        <v>16</v>
      </c>
      <c r="B39">
        <v>45</v>
      </c>
      <c r="C39">
        <v>7</v>
      </c>
      <c r="D39">
        <v>8325</v>
      </c>
      <c r="E39">
        <v>5409</v>
      </c>
      <c r="F39">
        <v>3369</v>
      </c>
      <c r="G39">
        <v>7.4370860927152318</v>
      </c>
      <c r="H39">
        <v>453</v>
      </c>
      <c r="I39">
        <v>0.13446126447016921</v>
      </c>
      <c r="J39">
        <v>20.991225874092439</v>
      </c>
      <c r="K39">
        <v>3.7265996726082999</v>
      </c>
      <c r="L39">
        <v>395.85156568238898</v>
      </c>
      <c r="M39">
        <v>3.6889030429773508</v>
      </c>
    </row>
    <row r="40" spans="1:13">
      <c r="A40" t="s">
        <v>16</v>
      </c>
      <c r="B40">
        <v>45</v>
      </c>
      <c r="C40">
        <v>8</v>
      </c>
      <c r="D40">
        <v>8089</v>
      </c>
      <c r="E40">
        <v>5223</v>
      </c>
      <c r="F40">
        <v>3256</v>
      </c>
      <c r="G40">
        <v>7.5370370370370372</v>
      </c>
      <c r="H40">
        <v>432</v>
      </c>
      <c r="I40">
        <v>0.13267813267813269</v>
      </c>
      <c r="J40">
        <v>20.441196783192421</v>
      </c>
      <c r="K40">
        <v>3.6116343373599702</v>
      </c>
      <c r="L40">
        <v>409.23734478546697</v>
      </c>
      <c r="M40">
        <v>6.4318647119343169</v>
      </c>
    </row>
    <row r="41" spans="1:13">
      <c r="A41" t="s">
        <v>16</v>
      </c>
      <c r="B41">
        <v>45</v>
      </c>
      <c r="C41">
        <v>9</v>
      </c>
      <c r="D41">
        <v>8343</v>
      </c>
      <c r="E41">
        <v>5393</v>
      </c>
      <c r="F41">
        <v>3390</v>
      </c>
      <c r="G41">
        <v>7.617977528089888</v>
      </c>
      <c r="H41">
        <v>445</v>
      </c>
      <c r="I41">
        <v>0.13126843657817111</v>
      </c>
      <c r="J41">
        <v>20.40824645247821</v>
      </c>
      <c r="K41">
        <v>3.6211016582943398</v>
      </c>
      <c r="L41">
        <v>371.95342712475099</v>
      </c>
      <c r="M41">
        <v>3.502566362629723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8318.2000000000007</v>
      </c>
      <c r="E2">
        <v>8318.2000000000007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17.548662500474375</v>
      </c>
      <c r="E3">
        <v>17.548662500474379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5396.9</v>
      </c>
      <c r="E4">
        <v>5396.9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35.914868477801477</v>
      </c>
      <c r="E5">
        <v>35.914868477801477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3385.3</v>
      </c>
      <c r="E6">
        <v>3385.3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42.426537816690995</v>
      </c>
      <c r="E7">
        <v>42.426537816691003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7.6248441194160161</v>
      </c>
      <c r="E8">
        <v>7.6248441194160126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0.12943095229030302</v>
      </c>
      <c r="E9">
        <v>0.1294309522903031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444.1</v>
      </c>
      <c r="E10">
        <v>444.1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9.4333922259645746</v>
      </c>
      <c r="E11">
        <v>9.4333922259645746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0.13118402103039301</v>
      </c>
      <c r="E12">
        <v>0.13118402103039301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2.2128343840324737E-3</v>
      </c>
      <c r="E13">
        <v>2.2128343840324628E-3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20.448192865359768</v>
      </c>
      <c r="E14">
        <v>20.448192865359768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0.28880278869695281</v>
      </c>
      <c r="E15">
        <v>0.28880278869695442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3.600961801530759</v>
      </c>
      <c r="E16">
        <v>3.600961801530759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6.5771669471154939E-2</v>
      </c>
      <c r="E17">
        <v>6.5771669471154939E-2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395.17806637329932</v>
      </c>
      <c r="E18">
        <v>395.17806637329932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15.065815399218005</v>
      </c>
      <c r="E19">
        <v>15.06581539921801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3.7882129617377891</v>
      </c>
      <c r="E20">
        <v>3.7882129617377891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0.20978200802083008</v>
      </c>
      <c r="E21">
        <v>0.20978200802083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4431.8</v>
      </c>
      <c r="E22">
        <v>4431.8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110.6142446121254</v>
      </c>
      <c r="E23">
        <v>110.6142446121254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2876.1</v>
      </c>
      <c r="E24">
        <v>2876.1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63.894791997818139</v>
      </c>
      <c r="E25">
        <v>63.894791997818139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1846.7</v>
      </c>
      <c r="E26">
        <v>1846.7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46.339448037762004</v>
      </c>
      <c r="E27">
        <v>46.339448037761997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6.7973016740708561</v>
      </c>
      <c r="E28">
        <v>6.7973016740708561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0.20037344380649655</v>
      </c>
      <c r="E29">
        <v>0.20037344380649649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271.89999999999998</v>
      </c>
      <c r="E30">
        <v>271.89999999999998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10.743990568375111</v>
      </c>
      <c r="E31">
        <v>10.743990568375111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0.14723185871187136</v>
      </c>
      <c r="E32">
        <v>0.14723185871187139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4.3235812940587322E-3</v>
      </c>
      <c r="E33">
        <v>4.3235812940587296E-3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28.05273776856675</v>
      </c>
      <c r="E34">
        <v>28.05273776856675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0.49650192920126152</v>
      </c>
      <c r="E35">
        <v>0.4965019292012629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4.8379078873794628</v>
      </c>
      <c r="E36">
        <v>4.8379078873794628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8.8832871557802187E-2</v>
      </c>
      <c r="E37">
        <v>8.8832871557802187E-2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452.34904998389248</v>
      </c>
      <c r="E38">
        <v>452.34904998389248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21.766206017374362</v>
      </c>
      <c r="E39">
        <v>21.766206017374358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48.713028437465049</v>
      </c>
      <c r="E40">
        <v>48.713028437465063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1.2751167734687192</v>
      </c>
      <c r="E41">
        <v>1.275116773468719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6250.6</v>
      </c>
      <c r="E42">
        <v>6250.6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223.6744658352103</v>
      </c>
      <c r="E43">
        <v>223.6744658352103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4049.2</v>
      </c>
      <c r="E44">
        <v>4049.2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156.71474439602392</v>
      </c>
      <c r="E45">
        <v>156.71474439602389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2542.3000000000002</v>
      </c>
      <c r="E46">
        <v>2542.3000000000002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112.47918325924431</v>
      </c>
      <c r="E47">
        <v>112.47918325924429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7.6801784884410491</v>
      </c>
      <c r="E48">
        <v>7.6801784884410491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0.22168197284300492</v>
      </c>
      <c r="E49">
        <v>0.22168197284300489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331.2</v>
      </c>
      <c r="E50">
        <v>331.2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16.019432643580803</v>
      </c>
      <c r="E51">
        <v>16.019432643580799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0.13030364405984629</v>
      </c>
      <c r="E52">
        <v>0.13030364405984629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3.7870260064196675E-3</v>
      </c>
      <c r="E53">
        <v>3.787026006419658E-3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22.398118349817793</v>
      </c>
      <c r="E54">
        <v>22.398118349817789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0.70586174639863586</v>
      </c>
      <c r="E55">
        <v>0.70586174639863675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3.9504837294430928</v>
      </c>
      <c r="E56">
        <v>3.9504837294430928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0.12002551733627098</v>
      </c>
      <c r="E57">
        <v>0.120025517336271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471.71605843272118</v>
      </c>
      <c r="E58">
        <v>471.71605843272118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21.008164546449844</v>
      </c>
      <c r="E59">
        <v>21.008164546449841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27.700182129339368</v>
      </c>
      <c r="E60">
        <v>27.700182129339371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2.5814821940382413</v>
      </c>
      <c r="E61">
        <v>2.5814821940382422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8266.6</v>
      </c>
      <c r="E62">
        <v>8266.6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71.7823871928979</v>
      </c>
      <c r="E63">
        <v>71.7823871928979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5360.6</v>
      </c>
      <c r="E64">
        <v>5360.6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64.751147565978414</v>
      </c>
      <c r="E65">
        <v>64.751147565978414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3360.4</v>
      </c>
      <c r="E66">
        <v>3360.4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54.443038530600447</v>
      </c>
      <c r="E67">
        <v>54.443038530600447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7.612931180638725</v>
      </c>
      <c r="E68">
        <v>7.612931180638725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0.12049207748693533</v>
      </c>
      <c r="E69">
        <v>0.1204920774869354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441.5</v>
      </c>
      <c r="E70">
        <v>441.5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9.675283515799995</v>
      </c>
      <c r="E71">
        <v>9.675283515799995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0.13138461097415022</v>
      </c>
      <c r="E72">
        <v>0.13138461097415019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2.0476534687367902E-3</v>
      </c>
      <c r="E73">
        <v>2.047653468736782E-3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20.498857436024213</v>
      </c>
      <c r="E74">
        <v>20.49885743602421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0.23494956815219434</v>
      </c>
      <c r="E75">
        <v>0.23494956815219389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3.6113977983446177</v>
      </c>
      <c r="E76">
        <v>3.6113977983446182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5.5047485079670083E-2</v>
      </c>
      <c r="E77">
        <v>5.5047485079670083E-2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395.44694732163333</v>
      </c>
      <c r="E78">
        <v>395.44694732163339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15.819470613883066</v>
      </c>
      <c r="E79">
        <v>15.81947061388307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4.39026512865067</v>
      </c>
      <c r="E80">
        <v>4.39026512865067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0.82806510814154721</v>
      </c>
      <c r="E81">
        <v>0.82806510814154499</v>
      </c>
    </row>
    <row r="82" spans="1:5">
      <c r="A82" t="s">
        <v>24</v>
      </c>
      <c r="B82" t="s">
        <v>25</v>
      </c>
      <c r="C82" t="s">
        <v>3</v>
      </c>
      <c r="D82">
        <f>(AVERAGE(per_seed!$D$12:$D$21)-AVERAGE(per_seed!$D$2:$D$11))/AVERAGE(per_seed!$D$2:$D$11)*100</f>
        <v>-46.721646510062278</v>
      </c>
      <c r="E82">
        <v>-46.721646510062278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_xlfn.T.TEST(per_seed!$D$2:$D$11,per_seed!$D$12:$D$21,2,1)</f>
        <v>1.7875880634383625E-15</v>
      </c>
      <c r="E83">
        <v>1.7875880634383649E-15</v>
      </c>
    </row>
    <row r="84" spans="1:5">
      <c r="A84" t="s">
        <v>24</v>
      </c>
      <c r="B84" t="s">
        <v>25</v>
      </c>
      <c r="C84" t="s">
        <v>4</v>
      </c>
      <c r="D84">
        <f>(AVERAGE(per_seed!$E$12:$E$21)-AVERAGE(per_seed!$E$2:$E$11))/AVERAGE(per_seed!$E$2:$E$11)*100</f>
        <v>-46.708295502973925</v>
      </c>
      <c r="E84">
        <v>-46.708295502973932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_xlfn.T.TEST(per_seed!$E$2:$E$11,per_seed!$E$12:$E$21,2,1)</f>
        <v>1.249611009820929E-15</v>
      </c>
      <c r="E85">
        <v>1.24961100982093E-15</v>
      </c>
    </row>
    <row r="86" spans="1:5">
      <c r="A86" t="s">
        <v>24</v>
      </c>
      <c r="B86" t="s">
        <v>25</v>
      </c>
      <c r="C86" t="s">
        <v>5</v>
      </c>
      <c r="D86">
        <f>(AVERAGE(per_seed!$F$12:$F$21)-AVERAGE(per_seed!$F$2:$F$11))/AVERAGE(per_seed!$F$2:$F$11)*100</f>
        <v>-45.449443180811159</v>
      </c>
      <c r="E86">
        <v>-45.449443180811159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_xlfn.T.TEST(per_seed!$F$2:$F$11,per_seed!$F$12:$F$21,2,1)</f>
        <v>5.1169071617842948E-15</v>
      </c>
      <c r="E87">
        <v>5.1169071617842979E-15</v>
      </c>
    </row>
    <row r="88" spans="1:5">
      <c r="A88" t="s">
        <v>24</v>
      </c>
      <c r="B88" t="s">
        <v>25</v>
      </c>
      <c r="C88" t="s">
        <v>6</v>
      </c>
      <c r="D88">
        <f>(AVERAGE(per_seed!$G$12:$G$21)-AVERAGE(per_seed!$G$2:$G$11))/AVERAGE(per_seed!$G$2:$G$11)*100</f>
        <v>-10.853237553249039</v>
      </c>
      <c r="E88">
        <v>-10.853237553249009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_xlfn.T.TEST(per_seed!$G$2:$G$11,per_seed!$G$12:$G$21,2,1)</f>
        <v>1.0225382272502476E-6</v>
      </c>
      <c r="E89">
        <v>1.0225382272502629E-6</v>
      </c>
    </row>
    <row r="90" spans="1:5">
      <c r="A90" t="s">
        <v>24</v>
      </c>
      <c r="B90" t="s">
        <v>25</v>
      </c>
      <c r="C90" t="s">
        <v>7</v>
      </c>
      <c r="D90">
        <f>(AVERAGE(per_seed!$H$12:$H$21)-AVERAGE(per_seed!$H$2:$H$11))/AVERAGE(per_seed!$H$2:$H$11)*100</f>
        <v>-38.775050664264818</v>
      </c>
      <c r="E90">
        <v>-38.775050664264818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_xlfn.T.TEST(per_seed!$H$2:$H$11,per_seed!$H$12:$H$21,2,1)</f>
        <v>2.5496708199302479E-11</v>
      </c>
      <c r="E91">
        <v>2.5496708199302589E-11</v>
      </c>
    </row>
    <row r="92" spans="1:5">
      <c r="A92" t="s">
        <v>24</v>
      </c>
      <c r="B92" t="s">
        <v>25</v>
      </c>
      <c r="C92" t="s">
        <v>8</v>
      </c>
      <c r="D92">
        <f>(AVERAGE(per_seed!$I$12:$I$21)-AVERAGE(per_seed!$I$2:$I$11))/AVERAGE(per_seed!$I$2:$I$11)*100</f>
        <v>12.233073476045041</v>
      </c>
      <c r="E92">
        <v>12.23307347604506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_xlfn.T.TEST(per_seed!$I$2:$I$11,per_seed!$I$12:$I$21,2,1)</f>
        <v>1.621035256504841E-6</v>
      </c>
      <c r="E93">
        <v>1.6210352565048391E-6</v>
      </c>
    </row>
    <row r="94" spans="1:5">
      <c r="A94" t="s">
        <v>24</v>
      </c>
      <c r="B94" t="s">
        <v>25</v>
      </c>
      <c r="C94" t="s">
        <v>9</v>
      </c>
      <c r="D94">
        <f>(AVERAGE(per_seed!$J$12:$J$21)-AVERAGE(per_seed!$J$2:$J$11))/AVERAGE(per_seed!$J$2:$J$11)*100</f>
        <v>37.189325009201426</v>
      </c>
      <c r="E94">
        <v>37.189325009201433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_xlfn.T.TEST(per_seed!$J$2:$J$11,per_seed!$J$12:$J$21,2,1)</f>
        <v>1.0317875473698271E-10</v>
      </c>
      <c r="E95">
        <v>1.0317875473698791E-10</v>
      </c>
    </row>
    <row r="96" spans="1:5">
      <c r="A96" t="s">
        <v>24</v>
      </c>
      <c r="B96" t="s">
        <v>25</v>
      </c>
      <c r="C96" t="s">
        <v>10</v>
      </c>
      <c r="D96">
        <f>(AVERAGE(per_seed!$K$12:$K$21)-AVERAGE(per_seed!$K$2:$K$11))/AVERAGE(per_seed!$K$2:$K$11)*100</f>
        <v>34.350436189655817</v>
      </c>
      <c r="E96">
        <v>34.350436189655817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_xlfn.T.TEST(per_seed!$K$2:$K$11,per_seed!$K$12:$K$21,2,1)</f>
        <v>1.4689530776884891E-10</v>
      </c>
      <c r="E97">
        <v>1.468953077688485E-10</v>
      </c>
    </row>
    <row r="98" spans="1:5">
      <c r="A98" t="s">
        <v>24</v>
      </c>
      <c r="B98" t="s">
        <v>25</v>
      </c>
      <c r="C98" t="s">
        <v>11</v>
      </c>
      <c r="D98">
        <f>(AVERAGE(per_seed!$L$12:$L$21)-AVERAGE(per_seed!$L$2:$L$11))/AVERAGE(per_seed!$L$2:$L$11)*100</f>
        <v>14.467144934250328</v>
      </c>
      <c r="E98">
        <v>14.46714493425033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_xlfn.T.TEST(per_seed!$L$2:$L$11,per_seed!$L$12:$L$21,2,1)</f>
        <v>4.8384010025115472E-5</v>
      </c>
      <c r="E99">
        <v>4.8384010025115283E-5</v>
      </c>
    </row>
    <row r="100" spans="1:5">
      <c r="A100" t="s">
        <v>24</v>
      </c>
      <c r="B100" t="s">
        <v>25</v>
      </c>
      <c r="C100" t="s">
        <v>12</v>
      </c>
      <c r="D100">
        <f>(AVERAGE(per_seed!$M$12:$M$21)-AVERAGE(per_seed!$M$2:$M$11))/AVERAGE(per_seed!$M$2:$M$11)*100</f>
        <v>1185.9105052826449</v>
      </c>
      <c r="E100">
        <v>1185.9105052826451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_xlfn.T.TEST(per_seed!$M$2:$M$11,per_seed!$M$12:$M$21,2,1)</f>
        <v>1.7416824507501756E-15</v>
      </c>
      <c r="E101">
        <v>1.741682450750165E-15</v>
      </c>
    </row>
    <row r="102" spans="1:5">
      <c r="A102" t="s">
        <v>24</v>
      </c>
      <c r="B102" t="s">
        <v>27</v>
      </c>
      <c r="C102" t="s">
        <v>3</v>
      </c>
      <c r="D102">
        <f>(AVERAGE(per_seed!$D$22:$D$31)-AVERAGE(per_seed!$D$2:$D$11))/AVERAGE(per_seed!$D$2:$D$11)*100</f>
        <v>-24.856339111827079</v>
      </c>
      <c r="E102">
        <v>-24.856339111827079</v>
      </c>
    </row>
    <row r="103" spans="1:5">
      <c r="A103" t="s">
        <v>26</v>
      </c>
      <c r="B103" t="s">
        <v>27</v>
      </c>
      <c r="C103" t="s">
        <v>3</v>
      </c>
      <c r="D103">
        <f>_xlfn.T.TEST(per_seed!$D$2:$D$11,per_seed!$D$22:$D$31,2,1)</f>
        <v>2.8642768968026715E-10</v>
      </c>
      <c r="E103">
        <v>2.8642768968026839E-10</v>
      </c>
    </row>
    <row r="104" spans="1:5">
      <c r="A104" t="s">
        <v>24</v>
      </c>
      <c r="B104" t="s">
        <v>27</v>
      </c>
      <c r="C104" t="s">
        <v>4</v>
      </c>
      <c r="D104">
        <f>(AVERAGE(per_seed!$E$22:$E$31)-AVERAGE(per_seed!$E$2:$E$11))/AVERAGE(per_seed!$E$2:$E$11)*100</f>
        <v>-24.971743037669771</v>
      </c>
      <c r="E104">
        <v>-24.971743037669771</v>
      </c>
    </row>
    <row r="105" spans="1:5">
      <c r="A105" t="s">
        <v>26</v>
      </c>
      <c r="B105" t="s">
        <v>27</v>
      </c>
      <c r="C105" t="s">
        <v>4</v>
      </c>
      <c r="D105">
        <f>_xlfn.T.TEST(per_seed!$E$2:$E$11,per_seed!$E$22:$E$31,2,1)</f>
        <v>2.5251054947433831E-10</v>
      </c>
      <c r="E105">
        <v>2.5251054947433769E-10</v>
      </c>
    </row>
    <row r="106" spans="1:5">
      <c r="A106" t="s">
        <v>24</v>
      </c>
      <c r="B106" t="s">
        <v>27</v>
      </c>
      <c r="C106" t="s">
        <v>5</v>
      </c>
      <c r="D106">
        <f>(AVERAGE(per_seed!$F$22:$F$31)-AVERAGE(per_seed!$F$2:$F$11))/AVERAGE(per_seed!$F$2:$F$11)*100</f>
        <v>-24.901781230614713</v>
      </c>
      <c r="E106">
        <v>-24.901781230614709</v>
      </c>
    </row>
    <row r="107" spans="1:5">
      <c r="A107" t="s">
        <v>26</v>
      </c>
      <c r="B107" t="s">
        <v>27</v>
      </c>
      <c r="C107" t="s">
        <v>5</v>
      </c>
      <c r="D107">
        <f>_xlfn.T.TEST(per_seed!$F$2:$F$11,per_seed!$F$22:$F$31,2,1)</f>
        <v>1.808698596665229E-10</v>
      </c>
      <c r="E107">
        <v>1.80869859666523E-10</v>
      </c>
    </row>
    <row r="108" spans="1:5">
      <c r="A108" t="s">
        <v>24</v>
      </c>
      <c r="B108" t="s">
        <v>27</v>
      </c>
      <c r="C108" t="s">
        <v>6</v>
      </c>
      <c r="D108">
        <f>(AVERAGE(per_seed!$G$22:$G$31)-AVERAGE(per_seed!$G$2:$G$11))/AVERAGE(per_seed!$G$2:$G$11)*100</f>
        <v>0.72571147892884413</v>
      </c>
      <c r="E108">
        <v>0.72571147892887922</v>
      </c>
    </row>
    <row r="109" spans="1:5">
      <c r="A109" t="s">
        <v>26</v>
      </c>
      <c r="B109" t="s">
        <v>27</v>
      </c>
      <c r="C109" t="s">
        <v>6</v>
      </c>
      <c r="D109">
        <f>_xlfn.T.TEST(per_seed!$G$2:$G$11,per_seed!$G$22:$G$31,2,1)</f>
        <v>0.43722173187697866</v>
      </c>
      <c r="E109">
        <v>0.43722173187695929</v>
      </c>
    </row>
    <row r="110" spans="1:5">
      <c r="A110" t="s">
        <v>24</v>
      </c>
      <c r="B110" t="s">
        <v>27</v>
      </c>
      <c r="C110" t="s">
        <v>7</v>
      </c>
      <c r="D110">
        <f>(AVERAGE(per_seed!$H$22:$H$31)-AVERAGE(per_seed!$H$2:$H$11))/AVERAGE(per_seed!$H$2:$H$11)*100</f>
        <v>-25.42220220671021</v>
      </c>
      <c r="E110">
        <v>-25.42220220671021</v>
      </c>
    </row>
    <row r="111" spans="1:5">
      <c r="A111" t="s">
        <v>26</v>
      </c>
      <c r="B111" t="s">
        <v>27</v>
      </c>
      <c r="C111" t="s">
        <v>7</v>
      </c>
      <c r="D111">
        <f>_xlfn.T.TEST(per_seed!$H$2:$H$11,per_seed!$H$22:$H$31,2,1)</f>
        <v>3.1119511213340275E-9</v>
      </c>
      <c r="E111">
        <v>3.11195112133403E-9</v>
      </c>
    </row>
    <row r="112" spans="1:5">
      <c r="A112" t="s">
        <v>24</v>
      </c>
      <c r="B112" t="s">
        <v>27</v>
      </c>
      <c r="C112" t="s">
        <v>8</v>
      </c>
      <c r="D112">
        <f>(AVERAGE(per_seed!$I$22:$I$31)-AVERAGE(per_seed!$I$2:$I$11))/AVERAGE(per_seed!$I$2:$I$11)*100</f>
        <v>-0.67110076641327143</v>
      </c>
      <c r="E112">
        <v>-0.67110076641329253</v>
      </c>
    </row>
    <row r="113" spans="1:5">
      <c r="A113" t="s">
        <v>26</v>
      </c>
      <c r="B113" t="s">
        <v>27</v>
      </c>
      <c r="C113" t="s">
        <v>8</v>
      </c>
      <c r="D113">
        <f>_xlfn.T.TEST(per_seed!$I$2:$I$11,per_seed!$I$22:$I$31,2,1)</f>
        <v>0.47648613802783057</v>
      </c>
      <c r="E113">
        <v>0.4764861380278308</v>
      </c>
    </row>
    <row r="114" spans="1:5">
      <c r="A114" t="s">
        <v>24</v>
      </c>
      <c r="B114" t="s">
        <v>27</v>
      </c>
      <c r="C114" t="s">
        <v>9</v>
      </c>
      <c r="D114">
        <f>(AVERAGE(per_seed!$J$22:$J$31)-AVERAGE(per_seed!$J$2:$J$11))/AVERAGE(per_seed!$J$2:$J$11)*100</f>
        <v>9.5359306188924542</v>
      </c>
      <c r="E114">
        <v>9.5359306188924542</v>
      </c>
    </row>
    <row r="115" spans="1:5">
      <c r="A115" t="s">
        <v>26</v>
      </c>
      <c r="B115" t="s">
        <v>27</v>
      </c>
      <c r="C115" t="s">
        <v>9</v>
      </c>
      <c r="D115">
        <f>_xlfn.T.TEST(per_seed!$J$2:$J$11,per_seed!$J$22:$J$31,2,1)</f>
        <v>2.5383511285841675E-5</v>
      </c>
      <c r="E115">
        <v>2.5383511285842149E-5</v>
      </c>
    </row>
    <row r="116" spans="1:5">
      <c r="A116" t="s">
        <v>24</v>
      </c>
      <c r="B116" t="s">
        <v>27</v>
      </c>
      <c r="C116" t="s">
        <v>10</v>
      </c>
      <c r="D116">
        <f>(AVERAGE(per_seed!$K$22:$K$31)-AVERAGE(per_seed!$K$2:$K$11))/AVERAGE(per_seed!$K$2:$K$11)*100</f>
        <v>9.7063492249141063</v>
      </c>
      <c r="E116">
        <v>9.7063492249141063</v>
      </c>
    </row>
    <row r="117" spans="1:5">
      <c r="A117" t="s">
        <v>26</v>
      </c>
      <c r="B117" t="s">
        <v>27</v>
      </c>
      <c r="C117" t="s">
        <v>10</v>
      </c>
      <c r="D117">
        <f>_xlfn.T.TEST(per_seed!$K$2:$K$11,per_seed!$K$22:$K$31,2,1)</f>
        <v>4.7559898085658453E-6</v>
      </c>
      <c r="E117">
        <v>4.7559898085657131E-6</v>
      </c>
    </row>
    <row r="118" spans="1:5">
      <c r="A118" t="s">
        <v>24</v>
      </c>
      <c r="B118" t="s">
        <v>27</v>
      </c>
      <c r="C118" t="s">
        <v>11</v>
      </c>
      <c r="D118">
        <f>(AVERAGE(per_seed!$L$22:$L$31)-AVERAGE(per_seed!$L$2:$L$11))/AVERAGE(per_seed!$L$2:$L$11)*100</f>
        <v>19.3679757487151</v>
      </c>
      <c r="E118">
        <v>19.3679757487151</v>
      </c>
    </row>
    <row r="119" spans="1:5">
      <c r="A119" t="s">
        <v>26</v>
      </c>
      <c r="B119" t="s">
        <v>27</v>
      </c>
      <c r="C119" t="s">
        <v>11</v>
      </c>
      <c r="D119">
        <f>_xlfn.T.TEST(per_seed!$L$2:$L$11,per_seed!$L$22:$L$31,2,1)</f>
        <v>8.9130440455530295E-8</v>
      </c>
      <c r="E119">
        <v>8.9130440455530216E-8</v>
      </c>
    </row>
    <row r="120" spans="1:5">
      <c r="A120" t="s">
        <v>24</v>
      </c>
      <c r="B120" t="s">
        <v>27</v>
      </c>
      <c r="C120" t="s">
        <v>12</v>
      </c>
      <c r="D120">
        <f>(AVERAGE(per_seed!$M$22:$M$31)-AVERAGE(per_seed!$M$2:$M$11))/AVERAGE(per_seed!$M$2:$M$11)*100</f>
        <v>631.22029857139557</v>
      </c>
      <c r="E120">
        <v>631.2202985713958</v>
      </c>
    </row>
    <row r="121" spans="1:5">
      <c r="A121" t="s">
        <v>26</v>
      </c>
      <c r="B121" t="s">
        <v>27</v>
      </c>
      <c r="C121" t="s">
        <v>12</v>
      </c>
      <c r="D121">
        <f>_xlfn.T.TEST(per_seed!$M$2:$M$11,per_seed!$M$22:$M$31,2,1)</f>
        <v>2.8065774749621455E-10</v>
      </c>
      <c r="E121">
        <v>2.8065774749621481E-10</v>
      </c>
    </row>
    <row r="122" spans="1:5">
      <c r="A122" t="s">
        <v>24</v>
      </c>
      <c r="B122" t="s">
        <v>28</v>
      </c>
      <c r="C122" t="s">
        <v>3</v>
      </c>
      <c r="D122">
        <f>(AVERAGE(per_seed!$D$32:$D$41)-AVERAGE(per_seed!$D$2:$D$11))/AVERAGE(per_seed!$D$2:$D$11)*100</f>
        <v>-0.62032651294751695</v>
      </c>
      <c r="E122">
        <v>-0.62032651294751695</v>
      </c>
    </row>
    <row r="123" spans="1:5">
      <c r="A123" t="s">
        <v>26</v>
      </c>
      <c r="B123" t="s">
        <v>28</v>
      </c>
      <c r="C123" t="s">
        <v>3</v>
      </c>
      <c r="D123">
        <f>_xlfn.T.TEST(per_seed!$D$2:$D$11,per_seed!$D$32:$D$41,2,1)</f>
        <v>3.3824764809898017E-2</v>
      </c>
      <c r="E123">
        <v>3.3824764809898947E-2</v>
      </c>
    </row>
    <row r="124" spans="1:5">
      <c r="A124" t="s">
        <v>24</v>
      </c>
      <c r="B124" t="s">
        <v>28</v>
      </c>
      <c r="C124" t="s">
        <v>4</v>
      </c>
      <c r="D124">
        <f>(AVERAGE(per_seed!$E$32:$E$41)-AVERAGE(per_seed!$E$2:$E$11))/AVERAGE(per_seed!$E$2:$E$11)*100</f>
        <v>-0.67260834923751178</v>
      </c>
      <c r="E124">
        <v>-0.67260834923751178</v>
      </c>
    </row>
    <row r="125" spans="1:5">
      <c r="A125" t="s">
        <v>26</v>
      </c>
      <c r="B125" t="s">
        <v>28</v>
      </c>
      <c r="C125" t="s">
        <v>4</v>
      </c>
      <c r="D125">
        <f>_xlfn.T.TEST(per_seed!$E$2:$E$11,per_seed!$E$32:$E$41,2,1)</f>
        <v>2.9865530726790782E-2</v>
      </c>
      <c r="E125">
        <v>2.9865530726788221E-2</v>
      </c>
    </row>
    <row r="126" spans="1:5">
      <c r="A126" t="s">
        <v>24</v>
      </c>
      <c r="B126" t="s">
        <v>28</v>
      </c>
      <c r="C126" t="s">
        <v>5</v>
      </c>
      <c r="D126">
        <f>(AVERAGE(per_seed!$F$32:$F$41)-AVERAGE(per_seed!$F$2:$F$11))/AVERAGE(per_seed!$F$2:$F$11)*100</f>
        <v>-0.73553303990783947</v>
      </c>
      <c r="E126">
        <v>-0.73553303990783947</v>
      </c>
    </row>
    <row r="127" spans="1:5">
      <c r="A127" t="s">
        <v>26</v>
      </c>
      <c r="B127" t="s">
        <v>28</v>
      </c>
      <c r="C127" t="s">
        <v>5</v>
      </c>
      <c r="D127">
        <f>_xlfn.T.TEST(per_seed!$F$2:$F$11,per_seed!$F$32:$F$41,2,1)</f>
        <v>2.8918993047761649E-2</v>
      </c>
      <c r="E127">
        <v>2.8918993047762052E-2</v>
      </c>
    </row>
    <row r="128" spans="1:5">
      <c r="A128" t="s">
        <v>24</v>
      </c>
      <c r="B128" t="s">
        <v>28</v>
      </c>
      <c r="C128" t="s">
        <v>6</v>
      </c>
      <c r="D128">
        <f>(AVERAGE(per_seed!$G$32:$G$41)-AVERAGE(per_seed!$G$2:$G$11))/AVERAGE(per_seed!$G$2:$G$11)*100</f>
        <v>-0.15623845669127681</v>
      </c>
      <c r="E128">
        <v>-0.15623845669124189</v>
      </c>
    </row>
    <row r="129" spans="1:5">
      <c r="A129" t="s">
        <v>26</v>
      </c>
      <c r="B129" t="s">
        <v>28</v>
      </c>
      <c r="C129" t="s">
        <v>6</v>
      </c>
      <c r="D129">
        <f>_xlfn.T.TEST(per_seed!$G$2:$G$11,per_seed!$G$32:$G$41,2,1)</f>
        <v>0.78580086792284876</v>
      </c>
      <c r="E129">
        <v>0.78580086792286818</v>
      </c>
    </row>
    <row r="130" spans="1:5">
      <c r="A130" t="s">
        <v>24</v>
      </c>
      <c r="B130" t="s">
        <v>28</v>
      </c>
      <c r="C130" t="s">
        <v>7</v>
      </c>
      <c r="D130">
        <f>(AVERAGE(per_seed!$H$32:$H$41)-AVERAGE(per_seed!$H$2:$H$11))/AVERAGE(per_seed!$H$2:$H$11)*100</f>
        <v>-0.58545372663814965</v>
      </c>
      <c r="E130">
        <v>-0.58545372663814965</v>
      </c>
    </row>
    <row r="131" spans="1:5">
      <c r="A131" t="s">
        <v>26</v>
      </c>
      <c r="B131" t="s">
        <v>28</v>
      </c>
      <c r="C131" t="s">
        <v>7</v>
      </c>
      <c r="D131">
        <f>_xlfn.T.TEST(per_seed!$H$2:$H$11,per_seed!$H$32:$H$41,2,1)</f>
        <v>0.211587942937392</v>
      </c>
      <c r="E131">
        <v>0.21158794293739591</v>
      </c>
    </row>
    <row r="132" spans="1:5">
      <c r="A132" t="s">
        <v>24</v>
      </c>
      <c r="B132" t="s">
        <v>28</v>
      </c>
      <c r="C132" t="s">
        <v>8</v>
      </c>
      <c r="D132">
        <f>(AVERAGE(per_seed!$I$32:$I$41)-AVERAGE(per_seed!$I$2:$I$11))/AVERAGE(per_seed!$I$2:$I$11)*100</f>
        <v>0.15290729936593356</v>
      </c>
      <c r="E132">
        <v>0.15290729936589131</v>
      </c>
    </row>
    <row r="133" spans="1:5">
      <c r="A133" t="s">
        <v>26</v>
      </c>
      <c r="B133" t="s">
        <v>28</v>
      </c>
      <c r="C133" t="s">
        <v>8</v>
      </c>
      <c r="D133">
        <f>_xlfn.T.TEST(per_seed!$I$2:$I$11,per_seed!$I$32:$I$41,2,1)</f>
        <v>0.78519094409008983</v>
      </c>
      <c r="E133">
        <v>0.7851909440901047</v>
      </c>
    </row>
    <row r="134" spans="1:5">
      <c r="A134" t="s">
        <v>24</v>
      </c>
      <c r="B134" t="s">
        <v>28</v>
      </c>
      <c r="C134" t="s">
        <v>9</v>
      </c>
      <c r="D134">
        <f>(AVERAGE(per_seed!$J$32:$J$41)-AVERAGE(per_seed!$J$2:$J$11))/AVERAGE(per_seed!$J$2:$J$11)*100</f>
        <v>0.24777040689142313</v>
      </c>
      <c r="E134">
        <v>0.2477704068914231</v>
      </c>
    </row>
    <row r="135" spans="1:5">
      <c r="A135" t="s">
        <v>26</v>
      </c>
      <c r="B135" t="s">
        <v>28</v>
      </c>
      <c r="C135" t="s">
        <v>9</v>
      </c>
      <c r="D135">
        <f>_xlfn.T.TEST(per_seed!$J$2:$J$11,per_seed!$J$32:$J$41,2,1)</f>
        <v>0.40164953986083007</v>
      </c>
      <c r="E135">
        <v>0.40164953986086849</v>
      </c>
    </row>
    <row r="136" spans="1:5">
      <c r="A136" t="s">
        <v>24</v>
      </c>
      <c r="B136" t="s">
        <v>28</v>
      </c>
      <c r="C136" t="s">
        <v>10</v>
      </c>
      <c r="D136">
        <f>(AVERAGE(per_seed!$K$32:$K$41)-AVERAGE(per_seed!$K$2:$K$11))/AVERAGE(per_seed!$K$2:$K$11)*100</f>
        <v>0.28981137232342891</v>
      </c>
      <c r="E136">
        <v>0.28981137232342891</v>
      </c>
    </row>
    <row r="137" spans="1:5">
      <c r="A137" t="s">
        <v>26</v>
      </c>
      <c r="B137" t="s">
        <v>28</v>
      </c>
      <c r="C137" t="s">
        <v>10</v>
      </c>
      <c r="D137">
        <f>_xlfn.T.TEST(per_seed!$K$2:$K$11,per_seed!$K$32:$K$41,2,1)</f>
        <v>0.34801792773308682</v>
      </c>
      <c r="E137">
        <v>0.34801792773307322</v>
      </c>
    </row>
    <row r="138" spans="1:5">
      <c r="A138" t="s">
        <v>24</v>
      </c>
      <c r="B138" t="s">
        <v>28</v>
      </c>
      <c r="C138" t="s">
        <v>11</v>
      </c>
      <c r="D138">
        <f>(AVERAGE(per_seed!$L$32:$L$41)-AVERAGE(per_seed!$L$2:$L$11))/AVERAGE(per_seed!$L$2:$L$11)*100</f>
        <v>6.8040453459788069E-2</v>
      </c>
      <c r="E138">
        <v>6.8040453459816824E-2</v>
      </c>
    </row>
    <row r="139" spans="1:5">
      <c r="A139" t="s">
        <v>26</v>
      </c>
      <c r="B139" t="s">
        <v>28</v>
      </c>
      <c r="C139" t="s">
        <v>11</v>
      </c>
      <c r="D139">
        <f>_xlfn.T.TEST(per_seed!$L$2:$L$11,per_seed!$L$32:$L$41,2,1)</f>
        <v>0.74904602676739085</v>
      </c>
      <c r="E139">
        <v>0.74904602676731868</v>
      </c>
    </row>
    <row r="140" spans="1:5">
      <c r="A140" t="s">
        <v>24</v>
      </c>
      <c r="B140" t="s">
        <v>28</v>
      </c>
      <c r="C140" t="s">
        <v>12</v>
      </c>
      <c r="D140">
        <f>(AVERAGE(per_seed!$M$32:$M$41)-AVERAGE(per_seed!$M$2:$M$11))/AVERAGE(per_seed!$M$2:$M$11)*100</f>
        <v>15.892775115702523</v>
      </c>
      <c r="E140">
        <v>15.892775115702539</v>
      </c>
    </row>
    <row r="141" spans="1:5">
      <c r="A141" t="s">
        <v>26</v>
      </c>
      <c r="B141" t="s">
        <v>28</v>
      </c>
      <c r="C141" t="s">
        <v>12</v>
      </c>
      <c r="D141">
        <f>_xlfn.T.TEST(per_seed!$M$2:$M$11,per_seed!$M$32:$M$41,2,1)</f>
        <v>3.1908236949768694E-2</v>
      </c>
      <c r="E141">
        <v>3.1908236949768742E-2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2026-09-15T09:45:46Z</dcterms:created>
  <dcterms:modified xsi:type="dcterms:W3CDTF">2026-09-15T09:45:48Z</dcterms:modified>
</cp:coreProperties>
</file>