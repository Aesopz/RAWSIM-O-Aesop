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9_small_ws_ns_no_distance\"/>
    </mc:Choice>
  </mc:AlternateContent>
  <xr:revisionPtr revIDLastSave="0" documentId="13_ncr:1_{D707D183-6EBF-4030-B865-1B7E253C64B5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<sst xmlns="http://schemas.openxmlformats.org/spreadsheetml/2006/main" count="418" uniqueCount="28">
  <si>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</si>
  <si>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</si>
  <si>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</si>
  <si>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</si>
  <si>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</si>
  <si>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</si>
  <si>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</si>
  <si>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</si>
  <si>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</si>
  <si>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</si>
  <si>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</si>
  <si>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</si>
  <si>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</si>
  <si>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m4g_ws_ns_6b</t>
  </si>
  <si>
    <t>m4g_ws_ns0_6b</t>
  </si>
  <si>
    <t>m4g_ws_ns_10b</t>
  </si>
  <si>
    <t>m4g_ws_ns0_10b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</si>
  <si>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</si>
  <si>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</si>
  <si>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</si>
  <si>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</si>
  <si>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</si>
  <si>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</si>
  <si>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</si>
  <si>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</si>
  <si>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m4g_ws_ns0_6b vs m4g_ws_ns_6b</t>
  </si>
  <si>
    <t>p</t>
  </si>
  <si>
    <t>m4g_ws_ns0_10b vs m4g_ws_ns_10b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</si>
</sst>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1250</v>
      </c>
      <c r="E2">
        <v>812</v>
      </c>
      <c r="F2">
        <v>596</v>
      </c>
      <c r="G2">
        <v>3.4057142857142861</v>
      </c>
      <c r="H2">
        <v>175</v>
      </c>
      <c r="I2">
        <v>0.2936241610738255</v>
      </c>
      <c r="J2">
        <v>14.124384236453199</v>
      </c>
      <c r="K2">
        <v>1.5709693923291099</v>
      </c>
      <c r="L2">
        <v>351.73333333326701</v>
      </c>
      <c r="M2">
        <v>13.250308642122439</v>
      </c>
    </row>
    <row r="3" spans="1:13">
      <c r="A3" t="s">
        <v>13</v>
      </c>
      <c r="B3">
        <v>6</v>
      </c>
      <c r="C3">
        <v>1</v>
      </c>
      <c r="D3">
        <v>1240</v>
      </c>
      <c r="E3">
        <v>800</v>
      </c>
      <c r="F3">
        <v>561</v>
      </c>
      <c r="G3">
        <v>3.242774566473988</v>
      </c>
      <c r="H3">
        <v>173</v>
      </c>
      <c r="I3">
        <v>0.30837789661319071</v>
      </c>
      <c r="J3">
        <v>14.678427083313499</v>
      </c>
      <c r="K3">
        <v>1.6975124328261899</v>
      </c>
      <c r="L3">
        <v>375.46666666504501</v>
      </c>
      <c r="M3">
        <v>13.939814814888519</v>
      </c>
    </row>
    <row r="4" spans="1:13">
      <c r="A4" t="s">
        <v>13</v>
      </c>
      <c r="B4">
        <v>6</v>
      </c>
      <c r="C4">
        <v>2</v>
      </c>
      <c r="D4">
        <v>1271</v>
      </c>
      <c r="E4">
        <v>846</v>
      </c>
      <c r="F4">
        <v>594</v>
      </c>
      <c r="G4">
        <v>3.2637362637362641</v>
      </c>
      <c r="H4">
        <v>182</v>
      </c>
      <c r="I4">
        <v>0.30639730639730639</v>
      </c>
      <c r="J4">
        <v>14.8981369799143</v>
      </c>
      <c r="K4">
        <v>1.73070709680885</v>
      </c>
      <c r="L4">
        <v>354.48888888887097</v>
      </c>
      <c r="M4">
        <v>11.825617284097969</v>
      </c>
    </row>
    <row r="5" spans="1:13">
      <c r="A5" t="s">
        <v>13</v>
      </c>
      <c r="B5">
        <v>6</v>
      </c>
      <c r="C5">
        <v>3</v>
      </c>
      <c r="D5">
        <v>1257</v>
      </c>
      <c r="E5">
        <v>819</v>
      </c>
      <c r="F5">
        <v>582</v>
      </c>
      <c r="G5">
        <v>3.2696629213483148</v>
      </c>
      <c r="H5">
        <v>178</v>
      </c>
      <c r="I5">
        <v>0.30584192439862551</v>
      </c>
      <c r="J5">
        <v>14.911331004358489</v>
      </c>
      <c r="K5">
        <v>1.7098314120849201</v>
      </c>
      <c r="L5">
        <v>340.53333333534601</v>
      </c>
      <c r="M5">
        <v>12.74629629636993</v>
      </c>
    </row>
    <row r="6" spans="1:13">
      <c r="A6" t="s">
        <v>13</v>
      </c>
      <c r="B6">
        <v>6</v>
      </c>
      <c r="C6">
        <v>4</v>
      </c>
      <c r="D6">
        <v>1258</v>
      </c>
      <c r="E6">
        <v>822</v>
      </c>
      <c r="F6">
        <v>588</v>
      </c>
      <c r="G6">
        <v>3.3793103448275859</v>
      </c>
      <c r="H6">
        <v>174</v>
      </c>
      <c r="I6">
        <v>0.29591836734693883</v>
      </c>
      <c r="J6">
        <v>14.525260773294519</v>
      </c>
      <c r="K6">
        <v>1.6377480174222601</v>
      </c>
      <c r="L6">
        <v>342.88888889091601</v>
      </c>
      <c r="M6">
        <v>12.662345679085901</v>
      </c>
    </row>
    <row r="7" spans="1:13">
      <c r="A7" t="s">
        <v>13</v>
      </c>
      <c r="B7">
        <v>6</v>
      </c>
      <c r="C7">
        <v>5</v>
      </c>
      <c r="D7">
        <v>1257</v>
      </c>
      <c r="E7">
        <v>815</v>
      </c>
      <c r="F7">
        <v>581</v>
      </c>
      <c r="G7">
        <v>3.3390804597701149</v>
      </c>
      <c r="H7">
        <v>174</v>
      </c>
      <c r="I7">
        <v>0.29948364888123918</v>
      </c>
      <c r="J7">
        <v>14.95744251319301</v>
      </c>
      <c r="K7">
        <v>1.70298546652821</v>
      </c>
      <c r="L7">
        <v>362.17777777773699</v>
      </c>
      <c r="M7">
        <v>12.77283950624663</v>
      </c>
    </row>
    <row r="8" spans="1:13">
      <c r="A8" t="s">
        <v>13</v>
      </c>
      <c r="B8">
        <v>6</v>
      </c>
      <c r="C8">
        <v>6</v>
      </c>
      <c r="D8">
        <v>1289</v>
      </c>
      <c r="E8">
        <v>841</v>
      </c>
      <c r="F8">
        <v>591</v>
      </c>
      <c r="G8">
        <v>3.357954545454545</v>
      </c>
      <c r="H8">
        <v>176</v>
      </c>
      <c r="I8">
        <v>0.29780033840947551</v>
      </c>
      <c r="J8">
        <v>14.35198687263115</v>
      </c>
      <c r="K8">
        <v>1.6710468858216201</v>
      </c>
      <c r="L8">
        <v>343.73333333536499</v>
      </c>
      <c r="M8">
        <v>10.499074074147559</v>
      </c>
    </row>
    <row r="9" spans="1:13">
      <c r="A9" t="s">
        <v>13</v>
      </c>
      <c r="B9">
        <v>6</v>
      </c>
      <c r="C9">
        <v>7</v>
      </c>
      <c r="D9">
        <v>1266</v>
      </c>
      <c r="E9">
        <v>829</v>
      </c>
      <c r="F9">
        <v>596</v>
      </c>
      <c r="G9">
        <v>3.4057142857142861</v>
      </c>
      <c r="H9">
        <v>175</v>
      </c>
      <c r="I9">
        <v>0.2936241610738255</v>
      </c>
      <c r="J9">
        <v>14.46082064230338</v>
      </c>
      <c r="K9">
        <v>1.6185392341721501</v>
      </c>
      <c r="L9">
        <v>328.84444444638802</v>
      </c>
      <c r="M9">
        <v>12.16790123471522</v>
      </c>
    </row>
    <row r="10" spans="1:13">
      <c r="A10" t="s">
        <v>13</v>
      </c>
      <c r="B10">
        <v>6</v>
      </c>
      <c r="C10">
        <v>8</v>
      </c>
      <c r="D10">
        <v>1209</v>
      </c>
      <c r="E10">
        <v>797</v>
      </c>
      <c r="F10">
        <v>563</v>
      </c>
      <c r="G10">
        <v>3.1277777777777782</v>
      </c>
      <c r="H10">
        <v>180</v>
      </c>
      <c r="I10">
        <v>0.31971580817051509</v>
      </c>
      <c r="J10">
        <v>14.923028793057339</v>
      </c>
      <c r="K10">
        <v>1.7569950853160701</v>
      </c>
      <c r="L10">
        <v>329.46666666861398</v>
      </c>
      <c r="M10">
        <v>16.06759259266618</v>
      </c>
    </row>
    <row r="11" spans="1:13">
      <c r="A11" t="s">
        <v>13</v>
      </c>
      <c r="B11">
        <v>6</v>
      </c>
      <c r="C11">
        <v>9</v>
      </c>
      <c r="D11">
        <v>1287</v>
      </c>
      <c r="E11">
        <v>827</v>
      </c>
      <c r="F11">
        <v>591</v>
      </c>
      <c r="G11">
        <v>3.2472527472527468</v>
      </c>
      <c r="H11">
        <v>182</v>
      </c>
      <c r="I11">
        <v>0.30795262267343487</v>
      </c>
      <c r="J11">
        <v>14.801639702449579</v>
      </c>
      <c r="K11">
        <v>1.6801416489349801</v>
      </c>
      <c r="L11">
        <v>338.66666666665702</v>
      </c>
      <c r="M11">
        <v>10.701234568048511</v>
      </c>
    </row>
    <row r="12" spans="1:13">
      <c r="A12" t="s">
        <v>14</v>
      </c>
      <c r="B12">
        <v>6</v>
      </c>
      <c r="C12">
        <v>0</v>
      </c>
      <c r="D12">
        <v>1228</v>
      </c>
      <c r="E12">
        <v>796</v>
      </c>
      <c r="F12">
        <v>584</v>
      </c>
      <c r="G12">
        <v>3.5180722891566258</v>
      </c>
      <c r="H12">
        <v>166</v>
      </c>
      <c r="I12">
        <v>0.28424657534246578</v>
      </c>
      <c r="J12">
        <v>14.944724708611931</v>
      </c>
      <c r="K12">
        <v>1.61794949446467</v>
      </c>
      <c r="L12">
        <v>328.88888888881399</v>
      </c>
      <c r="M12">
        <v>14.77191358032062</v>
      </c>
    </row>
    <row r="13" spans="1:13">
      <c r="A13" t="s">
        <v>14</v>
      </c>
      <c r="B13">
        <v>6</v>
      </c>
      <c r="C13">
        <v>1</v>
      </c>
      <c r="D13">
        <v>1272</v>
      </c>
      <c r="E13">
        <v>816</v>
      </c>
      <c r="F13">
        <v>569</v>
      </c>
      <c r="G13">
        <v>3.3470588235294119</v>
      </c>
      <c r="H13">
        <v>170</v>
      </c>
      <c r="I13">
        <v>0.29876977152899831</v>
      </c>
      <c r="J13">
        <v>14.652704205790201</v>
      </c>
      <c r="K13">
        <v>1.6851536666836999</v>
      </c>
      <c r="L13">
        <v>384.266666668938</v>
      </c>
      <c r="M13">
        <v>11.675925926072811</v>
      </c>
    </row>
    <row r="14" spans="1:13">
      <c r="A14" t="s">
        <v>14</v>
      </c>
      <c r="B14">
        <v>6</v>
      </c>
      <c r="C14">
        <v>2</v>
      </c>
      <c r="D14">
        <v>1285</v>
      </c>
      <c r="E14">
        <v>860</v>
      </c>
      <c r="F14">
        <v>609</v>
      </c>
      <c r="G14">
        <v>3.402234636871508</v>
      </c>
      <c r="H14">
        <v>179</v>
      </c>
      <c r="I14">
        <v>0.29392446633825942</v>
      </c>
      <c r="J14">
        <v>15.05888523270756</v>
      </c>
      <c r="K14">
        <v>1.7202483180188499</v>
      </c>
      <c r="L14">
        <v>341.95555555407799</v>
      </c>
      <c r="M14">
        <v>10.82129629644345</v>
      </c>
    </row>
    <row r="15" spans="1:13">
      <c r="A15" t="s">
        <v>14</v>
      </c>
      <c r="B15">
        <v>6</v>
      </c>
      <c r="C15">
        <v>3</v>
      </c>
      <c r="D15">
        <v>1269</v>
      </c>
      <c r="E15">
        <v>826</v>
      </c>
      <c r="F15">
        <v>585</v>
      </c>
      <c r="G15">
        <v>3.4011627906976738</v>
      </c>
      <c r="H15">
        <v>172</v>
      </c>
      <c r="I15">
        <v>0.29401709401709403</v>
      </c>
      <c r="J15">
        <v>15.185843085799149</v>
      </c>
      <c r="K15">
        <v>1.7091552607309</v>
      </c>
      <c r="L15">
        <v>336.17777777750098</v>
      </c>
      <c r="M15">
        <v>11.90648148155508</v>
      </c>
    </row>
    <row r="16" spans="1:13">
      <c r="A16" t="s">
        <v>14</v>
      </c>
      <c r="B16">
        <v>6</v>
      </c>
      <c r="C16">
        <v>4</v>
      </c>
      <c r="D16">
        <v>1287</v>
      </c>
      <c r="E16">
        <v>839</v>
      </c>
      <c r="F16">
        <v>597</v>
      </c>
      <c r="G16">
        <v>3.470930232558139</v>
      </c>
      <c r="H16">
        <v>172</v>
      </c>
      <c r="I16">
        <v>0.28810720268006701</v>
      </c>
      <c r="J16">
        <v>14.873964605477241</v>
      </c>
      <c r="K16">
        <v>1.65947094081375</v>
      </c>
      <c r="L16">
        <v>356.888888890999</v>
      </c>
      <c r="M16">
        <v>10.67870370385085</v>
      </c>
    </row>
    <row r="17" spans="1:13">
      <c r="A17" t="s">
        <v>14</v>
      </c>
      <c r="B17">
        <v>6</v>
      </c>
      <c r="C17">
        <v>5</v>
      </c>
      <c r="D17">
        <v>1254</v>
      </c>
      <c r="E17">
        <v>811</v>
      </c>
      <c r="F17">
        <v>578</v>
      </c>
      <c r="G17">
        <v>3.3028571428571429</v>
      </c>
      <c r="H17">
        <v>175</v>
      </c>
      <c r="I17">
        <v>0.30276816608996537</v>
      </c>
      <c r="J17">
        <v>15.289625224518129</v>
      </c>
      <c r="K17">
        <v>1.74455283007988</v>
      </c>
      <c r="L17">
        <v>316.88888888914101</v>
      </c>
      <c r="M17">
        <v>13.03796296311047</v>
      </c>
    </row>
    <row r="18" spans="1:13">
      <c r="A18" t="s">
        <v>14</v>
      </c>
      <c r="B18">
        <v>6</v>
      </c>
      <c r="C18">
        <v>6</v>
      </c>
      <c r="D18">
        <v>1215</v>
      </c>
      <c r="E18">
        <v>786</v>
      </c>
      <c r="F18">
        <v>562</v>
      </c>
      <c r="G18">
        <v>3.2114285714285709</v>
      </c>
      <c r="H18">
        <v>175</v>
      </c>
      <c r="I18">
        <v>0.31138790035587188</v>
      </c>
      <c r="J18">
        <v>15.502296040067939</v>
      </c>
      <c r="K18">
        <v>1.7518771492776</v>
      </c>
      <c r="L18">
        <v>344.62222222073302</v>
      </c>
      <c r="M18">
        <v>15.703395061875691</v>
      </c>
    </row>
    <row r="19" spans="1:13">
      <c r="A19" t="s">
        <v>14</v>
      </c>
      <c r="B19">
        <v>6</v>
      </c>
      <c r="C19">
        <v>7</v>
      </c>
      <c r="D19">
        <v>1284</v>
      </c>
      <c r="E19">
        <v>852</v>
      </c>
      <c r="F19">
        <v>609</v>
      </c>
      <c r="G19">
        <v>3.5614035087719298</v>
      </c>
      <c r="H19">
        <v>171</v>
      </c>
      <c r="I19">
        <v>0.28078817733990152</v>
      </c>
      <c r="J19">
        <v>14.43748475290904</v>
      </c>
      <c r="K19">
        <v>1.6208559703152301</v>
      </c>
      <c r="L19">
        <v>352.97777777776099</v>
      </c>
      <c r="M19">
        <v>10.85401234575254</v>
      </c>
    </row>
    <row r="20" spans="1:13">
      <c r="A20" t="s">
        <v>14</v>
      </c>
      <c r="B20">
        <v>6</v>
      </c>
      <c r="C20">
        <v>8</v>
      </c>
      <c r="D20">
        <v>1272</v>
      </c>
      <c r="E20">
        <v>838</v>
      </c>
      <c r="F20">
        <v>596</v>
      </c>
      <c r="G20">
        <v>3.526627218934911</v>
      </c>
      <c r="H20">
        <v>169</v>
      </c>
      <c r="I20">
        <v>0.28355704697986578</v>
      </c>
      <c r="J20">
        <v>14.799690690429239</v>
      </c>
      <c r="K20">
        <v>1.6688388129451801</v>
      </c>
      <c r="L20">
        <v>348.35555555761499</v>
      </c>
      <c r="M20">
        <v>11.77314814829559</v>
      </c>
    </row>
    <row r="21" spans="1:13">
      <c r="A21" t="s">
        <v>14</v>
      </c>
      <c r="B21">
        <v>6</v>
      </c>
      <c r="C21">
        <v>9</v>
      </c>
      <c r="D21">
        <v>1234</v>
      </c>
      <c r="E21">
        <v>793</v>
      </c>
      <c r="F21">
        <v>564</v>
      </c>
      <c r="G21">
        <v>3.2601156069364161</v>
      </c>
      <c r="H21">
        <v>173</v>
      </c>
      <c r="I21">
        <v>0.3067375886524823</v>
      </c>
      <c r="J21">
        <v>15.544977192401131</v>
      </c>
      <c r="K21">
        <v>1.7559268652301601</v>
      </c>
      <c r="L21">
        <v>350.53333333361201</v>
      </c>
      <c r="M21">
        <v>14.31666666674014</v>
      </c>
    </row>
    <row r="22" spans="1:13">
      <c r="A22" t="s">
        <v>15</v>
      </c>
      <c r="B22">
        <v>10</v>
      </c>
      <c r="C22">
        <v>0</v>
      </c>
      <c r="D22">
        <v>1411</v>
      </c>
      <c r="E22">
        <v>909</v>
      </c>
      <c r="F22">
        <v>655</v>
      </c>
      <c r="G22">
        <v>3.179611650485437</v>
      </c>
      <c r="H22">
        <v>206</v>
      </c>
      <c r="I22">
        <v>0.31450381679389311</v>
      </c>
      <c r="J22">
        <v>16.130315878394939</v>
      </c>
      <c r="K22">
        <v>1.8328677693037401</v>
      </c>
      <c r="L22">
        <v>360.35555555553498</v>
      </c>
      <c r="M22">
        <v>2.0543209878013822</v>
      </c>
    </row>
    <row r="23" spans="1:13">
      <c r="A23" t="s">
        <v>15</v>
      </c>
      <c r="B23">
        <v>10</v>
      </c>
      <c r="C23">
        <v>1</v>
      </c>
      <c r="D23">
        <v>1415</v>
      </c>
      <c r="E23">
        <v>910</v>
      </c>
      <c r="F23">
        <v>630</v>
      </c>
      <c r="G23">
        <v>3.28125</v>
      </c>
      <c r="H23">
        <v>192</v>
      </c>
      <c r="I23">
        <v>0.30476190476190479</v>
      </c>
      <c r="J23">
        <v>16.027472527472639</v>
      </c>
      <c r="K23">
        <v>1.88743943782577</v>
      </c>
      <c r="L23">
        <v>404.22222222217999</v>
      </c>
      <c r="M23">
        <v>1.825308642122653</v>
      </c>
    </row>
    <row r="24" spans="1:13">
      <c r="A24" t="s">
        <v>15</v>
      </c>
      <c r="B24">
        <v>10</v>
      </c>
      <c r="C24">
        <v>2</v>
      </c>
      <c r="D24">
        <v>1422</v>
      </c>
      <c r="E24">
        <v>945</v>
      </c>
      <c r="F24">
        <v>652</v>
      </c>
      <c r="G24">
        <v>3.2277227722772279</v>
      </c>
      <c r="H24">
        <v>202</v>
      </c>
      <c r="I24">
        <v>0.30981595092024539</v>
      </c>
      <c r="J24">
        <v>16.300321869471851</v>
      </c>
      <c r="K24">
        <v>1.95589264459497</v>
      </c>
      <c r="L24">
        <v>375.95555555552698</v>
      </c>
      <c r="M24">
        <v>1.356481481628933</v>
      </c>
    </row>
    <row r="25" spans="1:13">
      <c r="A25" t="s">
        <v>15</v>
      </c>
      <c r="B25">
        <v>10</v>
      </c>
      <c r="C25">
        <v>3</v>
      </c>
      <c r="D25">
        <v>1423</v>
      </c>
      <c r="E25">
        <v>929</v>
      </c>
      <c r="F25">
        <v>647</v>
      </c>
      <c r="G25">
        <v>3.1407766990291259</v>
      </c>
      <c r="H25">
        <v>206</v>
      </c>
      <c r="I25">
        <v>0.31839258114374042</v>
      </c>
      <c r="J25">
        <v>16.147074669217648</v>
      </c>
      <c r="K25">
        <v>1.90026026660326</v>
      </c>
      <c r="L25">
        <v>372.39999999839102</v>
      </c>
      <c r="M25">
        <v>1.1969135803938309</v>
      </c>
    </row>
    <row r="26" spans="1:13">
      <c r="A26" t="s">
        <v>15</v>
      </c>
      <c r="B26">
        <v>10</v>
      </c>
      <c r="C26">
        <v>4</v>
      </c>
      <c r="D26">
        <v>1412</v>
      </c>
      <c r="E26">
        <v>924</v>
      </c>
      <c r="F26">
        <v>652</v>
      </c>
      <c r="G26">
        <v>2.9908256880733939</v>
      </c>
      <c r="H26">
        <v>218</v>
      </c>
      <c r="I26">
        <v>0.33435582822085891</v>
      </c>
      <c r="J26">
        <v>16.953446865277169</v>
      </c>
      <c r="K26">
        <v>1.97749243179606</v>
      </c>
      <c r="L26">
        <v>368.84444444435098</v>
      </c>
      <c r="M26">
        <v>2.026543210023847</v>
      </c>
    </row>
    <row r="27" spans="1:13">
      <c r="A27" t="s">
        <v>15</v>
      </c>
      <c r="B27">
        <v>10</v>
      </c>
      <c r="C27">
        <v>5</v>
      </c>
      <c r="D27">
        <v>1426</v>
      </c>
      <c r="E27">
        <v>920</v>
      </c>
      <c r="F27">
        <v>648</v>
      </c>
      <c r="G27">
        <v>3.2079207920792081</v>
      </c>
      <c r="H27">
        <v>202</v>
      </c>
      <c r="I27">
        <v>0.31172839506172839</v>
      </c>
      <c r="J27">
        <v>16.108653889036962</v>
      </c>
      <c r="K27">
        <v>1.8868581698651901</v>
      </c>
      <c r="L27">
        <v>372.39999999839102</v>
      </c>
      <c r="M27">
        <v>1.0061728396531939</v>
      </c>
    </row>
    <row r="28" spans="1:13">
      <c r="A28" t="s">
        <v>15</v>
      </c>
      <c r="B28">
        <v>10</v>
      </c>
      <c r="C28">
        <v>6</v>
      </c>
      <c r="D28">
        <v>1427</v>
      </c>
      <c r="E28">
        <v>928</v>
      </c>
      <c r="F28">
        <v>646</v>
      </c>
      <c r="G28">
        <v>3.0761904761904759</v>
      </c>
      <c r="H28">
        <v>210</v>
      </c>
      <c r="I28">
        <v>0.32507739938080488</v>
      </c>
      <c r="J28">
        <v>16.272629310344939</v>
      </c>
      <c r="K28">
        <v>1.9441183870966701</v>
      </c>
      <c r="L28">
        <v>351.64444444450902</v>
      </c>
      <c r="M28">
        <v>0.96851851866572436</v>
      </c>
    </row>
    <row r="29" spans="1:13">
      <c r="A29" t="s">
        <v>15</v>
      </c>
      <c r="B29">
        <v>10</v>
      </c>
      <c r="C29">
        <v>7</v>
      </c>
      <c r="D29">
        <v>1418</v>
      </c>
      <c r="E29">
        <v>931</v>
      </c>
      <c r="F29">
        <v>659</v>
      </c>
      <c r="G29">
        <v>3.362244897959183</v>
      </c>
      <c r="H29">
        <v>196</v>
      </c>
      <c r="I29">
        <v>0.29742033383915017</v>
      </c>
      <c r="J29">
        <v>15.502617220117189</v>
      </c>
      <c r="K29">
        <v>1.8053797976452499</v>
      </c>
      <c r="L29">
        <v>360.666666668799</v>
      </c>
      <c r="M29">
        <v>1.6117283952090351</v>
      </c>
    </row>
    <row r="30" spans="1:13">
      <c r="A30" t="s">
        <v>15</v>
      </c>
      <c r="B30">
        <v>10</v>
      </c>
      <c r="C30">
        <v>8</v>
      </c>
      <c r="D30">
        <v>1416</v>
      </c>
      <c r="E30">
        <v>925</v>
      </c>
      <c r="F30">
        <v>644</v>
      </c>
      <c r="G30">
        <v>3.1568627450980391</v>
      </c>
      <c r="H30">
        <v>204</v>
      </c>
      <c r="I30">
        <v>0.31677018633540371</v>
      </c>
      <c r="J30">
        <v>15.905599999990921</v>
      </c>
      <c r="K30">
        <v>1.8640755762597101</v>
      </c>
      <c r="L30">
        <v>382.04444444670298</v>
      </c>
      <c r="M30">
        <v>1.775925926073386</v>
      </c>
    </row>
    <row r="31" spans="1:13">
      <c r="A31" t="s">
        <v>15</v>
      </c>
      <c r="B31">
        <v>10</v>
      </c>
      <c r="C31">
        <v>9</v>
      </c>
      <c r="D31">
        <v>1422</v>
      </c>
      <c r="E31">
        <v>905</v>
      </c>
      <c r="F31">
        <v>634</v>
      </c>
      <c r="G31">
        <v>3.1859296482412058</v>
      </c>
      <c r="H31">
        <v>199</v>
      </c>
      <c r="I31">
        <v>0.31388012618296529</v>
      </c>
      <c r="J31">
        <v>16.833816758730169</v>
      </c>
      <c r="K31">
        <v>1.9773045926372099</v>
      </c>
      <c r="L31">
        <v>367.95555555584798</v>
      </c>
      <c r="M31">
        <v>1.3429012347152749</v>
      </c>
    </row>
    <row r="32" spans="1:13">
      <c r="A32" t="s">
        <v>16</v>
      </c>
      <c r="B32">
        <v>10</v>
      </c>
      <c r="C32">
        <v>0</v>
      </c>
      <c r="D32">
        <v>1403</v>
      </c>
      <c r="E32">
        <v>902</v>
      </c>
      <c r="F32">
        <v>645</v>
      </c>
      <c r="G32">
        <v>3.0861244019138749</v>
      </c>
      <c r="H32">
        <v>209</v>
      </c>
      <c r="I32">
        <v>0.32403100775193799</v>
      </c>
      <c r="J32">
        <v>17.262740792906541</v>
      </c>
      <c r="K32">
        <v>1.94904472851398</v>
      </c>
      <c r="L32">
        <v>381.91111110946099</v>
      </c>
      <c r="M32">
        <v>2.646913580394195</v>
      </c>
    </row>
    <row r="33" spans="1:13">
      <c r="A33" t="s">
        <v>16</v>
      </c>
      <c r="B33">
        <v>10</v>
      </c>
      <c r="C33">
        <v>1</v>
      </c>
      <c r="D33">
        <v>1428</v>
      </c>
      <c r="E33">
        <v>921</v>
      </c>
      <c r="F33">
        <v>639</v>
      </c>
      <c r="G33">
        <v>3.2769230769230768</v>
      </c>
      <c r="H33">
        <v>195</v>
      </c>
      <c r="I33">
        <v>0.30516431924882631</v>
      </c>
      <c r="J33">
        <v>16.886419757265259</v>
      </c>
      <c r="K33">
        <v>1.97082091137969</v>
      </c>
      <c r="L33">
        <v>380.75555555780602</v>
      </c>
      <c r="M33">
        <v>0.8962962964434904</v>
      </c>
    </row>
    <row r="34" spans="1:13">
      <c r="A34" t="s">
        <v>16</v>
      </c>
      <c r="B34">
        <v>10</v>
      </c>
      <c r="C34">
        <v>2</v>
      </c>
      <c r="D34">
        <v>1415</v>
      </c>
      <c r="E34">
        <v>951</v>
      </c>
      <c r="F34">
        <v>656</v>
      </c>
      <c r="G34">
        <v>3.1844660194174761</v>
      </c>
      <c r="H34">
        <v>206</v>
      </c>
      <c r="I34">
        <v>0.31402439024390238</v>
      </c>
      <c r="J34">
        <v>17.03576558215973</v>
      </c>
      <c r="K34">
        <v>2.00954735269671</v>
      </c>
      <c r="L34">
        <v>380.57777778002799</v>
      </c>
      <c r="M34">
        <v>1.7598765432834229</v>
      </c>
    </row>
    <row r="35" spans="1:13">
      <c r="A35" t="s">
        <v>16</v>
      </c>
      <c r="B35">
        <v>10</v>
      </c>
      <c r="C35">
        <v>3</v>
      </c>
      <c r="D35">
        <v>1429</v>
      </c>
      <c r="E35">
        <v>941</v>
      </c>
      <c r="F35">
        <v>651</v>
      </c>
      <c r="G35">
        <v>3.355670103092784</v>
      </c>
      <c r="H35">
        <v>194</v>
      </c>
      <c r="I35">
        <v>0.29800307219662059</v>
      </c>
      <c r="J35">
        <v>16.423635218625609</v>
      </c>
      <c r="K35">
        <v>1.9149689105013299</v>
      </c>
      <c r="L35">
        <v>400.80000000031902</v>
      </c>
      <c r="M35">
        <v>0.81635802483848829</v>
      </c>
    </row>
    <row r="36" spans="1:13">
      <c r="A36" t="s">
        <v>16</v>
      </c>
      <c r="B36">
        <v>10</v>
      </c>
      <c r="C36">
        <v>4</v>
      </c>
      <c r="D36">
        <v>1417</v>
      </c>
      <c r="E36">
        <v>930</v>
      </c>
      <c r="F36">
        <v>649</v>
      </c>
      <c r="G36">
        <v>3.1352657004830919</v>
      </c>
      <c r="H36">
        <v>207</v>
      </c>
      <c r="I36">
        <v>0.31895223420647151</v>
      </c>
      <c r="J36">
        <v>17.524677124795911</v>
      </c>
      <c r="K36">
        <v>2.0241142715602498</v>
      </c>
      <c r="L36">
        <v>341.06666666681002</v>
      </c>
      <c r="M36">
        <v>1.668827160641069</v>
      </c>
    </row>
    <row r="37" spans="1:13">
      <c r="A37" t="s">
        <v>16</v>
      </c>
      <c r="B37">
        <v>10</v>
      </c>
      <c r="C37">
        <v>5</v>
      </c>
      <c r="D37">
        <v>1428</v>
      </c>
      <c r="E37">
        <v>929</v>
      </c>
      <c r="F37">
        <v>648</v>
      </c>
      <c r="G37">
        <v>3.24</v>
      </c>
      <c r="H37">
        <v>200</v>
      </c>
      <c r="I37">
        <v>0.30864197530864201</v>
      </c>
      <c r="J37">
        <v>16.842965151510761</v>
      </c>
      <c r="K37">
        <v>1.96418852714068</v>
      </c>
      <c r="L37">
        <v>380.75555555585902</v>
      </c>
      <c r="M37">
        <v>0.90864197545590764</v>
      </c>
    </row>
    <row r="38" spans="1:13">
      <c r="A38" t="s">
        <v>16</v>
      </c>
      <c r="B38">
        <v>10</v>
      </c>
      <c r="C38">
        <v>6</v>
      </c>
      <c r="D38">
        <v>1417</v>
      </c>
      <c r="E38">
        <v>915</v>
      </c>
      <c r="F38">
        <v>634</v>
      </c>
      <c r="G38">
        <v>3.2512820512820508</v>
      </c>
      <c r="H38">
        <v>195</v>
      </c>
      <c r="I38">
        <v>0.30757097791798099</v>
      </c>
      <c r="J38">
        <v>16.731199993233879</v>
      </c>
      <c r="K38">
        <v>1.96465982133412</v>
      </c>
      <c r="L38">
        <v>386.35555555753803</v>
      </c>
      <c r="M38">
        <v>1.658024691505203</v>
      </c>
    </row>
    <row r="39" spans="1:13">
      <c r="A39" t="s">
        <v>16</v>
      </c>
      <c r="B39">
        <v>10</v>
      </c>
      <c r="C39">
        <v>7</v>
      </c>
      <c r="D39">
        <v>1428</v>
      </c>
      <c r="E39">
        <v>940</v>
      </c>
      <c r="F39">
        <v>666</v>
      </c>
      <c r="G39">
        <v>3.3636363636363642</v>
      </c>
      <c r="H39">
        <v>198</v>
      </c>
      <c r="I39">
        <v>0.29729729729729731</v>
      </c>
      <c r="J39">
        <v>16.348869680834259</v>
      </c>
      <c r="K39">
        <v>1.86269914512403</v>
      </c>
      <c r="L39">
        <v>351.24444444442798</v>
      </c>
      <c r="M39">
        <v>0.90432098780155767</v>
      </c>
    </row>
    <row r="40" spans="1:13">
      <c r="A40" t="s">
        <v>16</v>
      </c>
      <c r="B40">
        <v>10</v>
      </c>
      <c r="C40">
        <v>8</v>
      </c>
      <c r="D40">
        <v>1421</v>
      </c>
      <c r="E40">
        <v>943</v>
      </c>
      <c r="F40">
        <v>655</v>
      </c>
      <c r="G40">
        <v>3.179611650485437</v>
      </c>
      <c r="H40">
        <v>206</v>
      </c>
      <c r="I40">
        <v>0.31450381679389311</v>
      </c>
      <c r="J40">
        <v>16.854970449058321</v>
      </c>
      <c r="K40">
        <v>1.96371060903705</v>
      </c>
      <c r="L40">
        <v>360.57777777990901</v>
      </c>
      <c r="M40">
        <v>1.341358024838315</v>
      </c>
    </row>
    <row r="41" spans="1:13">
      <c r="A41" t="s">
        <v>16</v>
      </c>
      <c r="B41">
        <v>10</v>
      </c>
      <c r="C41">
        <v>9</v>
      </c>
      <c r="D41">
        <v>1413</v>
      </c>
      <c r="E41">
        <v>913</v>
      </c>
      <c r="F41">
        <v>638</v>
      </c>
      <c r="G41">
        <v>3.1121951219512201</v>
      </c>
      <c r="H41">
        <v>205</v>
      </c>
      <c r="I41">
        <v>0.32131661442006271</v>
      </c>
      <c r="J41">
        <v>17.48308769588477</v>
      </c>
      <c r="K41">
        <v>2.0118813925242498</v>
      </c>
      <c r="L41">
        <v>360.75555555584299</v>
      </c>
      <c r="M41">
        <v>1.9413580248385769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1258.4000000000001</v>
      </c>
      <c r="E2">
        <v>1258.4000000000001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23.152633639490009</v>
      </c>
      <c r="E3">
        <v>23.152633639490009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820.8</v>
      </c>
      <c r="E4">
        <v>820.8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15.85910183809635</v>
      </c>
      <c r="E5">
        <v>15.85910183809635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584.29999999999995</v>
      </c>
      <c r="E6">
        <v>584.29999999999995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12.841339493993605</v>
      </c>
      <c r="E7">
        <v>12.84133949399361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3.3038978198069904</v>
      </c>
      <c r="E8">
        <v>3.3038978198069899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8.9024432687355923E-2</v>
      </c>
      <c r="E9">
        <v>8.9024432687355923E-2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176.9</v>
      </c>
      <c r="E10">
        <v>176.9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3.381321240777535</v>
      </c>
      <c r="E11">
        <v>3.381321240777535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0.30287362350383767</v>
      </c>
      <c r="E12">
        <v>0.30287362350383767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8.2844596081816154E-3</v>
      </c>
      <c r="E13">
        <v>8.2844596081816189E-3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14.663245860096845</v>
      </c>
      <c r="E14">
        <v>14.66324586009685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0.28624234191698494</v>
      </c>
      <c r="E15">
        <v>0.28624234191698311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1.677647667224436</v>
      </c>
      <c r="E16">
        <v>1.677647667224436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5.5477278383560431E-2</v>
      </c>
      <c r="E17">
        <v>5.5477278383560431E-2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346.8000000008206</v>
      </c>
      <c r="E18">
        <v>346.8000000008206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14.509309247442607</v>
      </c>
      <c r="E19">
        <v>14.50930924744261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12.663302469238886</v>
      </c>
      <c r="E20">
        <v>12.663302469238889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1.6007939821956036</v>
      </c>
      <c r="E21">
        <v>1.600793982195605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1260</v>
      </c>
      <c r="E22">
        <v>1260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25.948667274704754</v>
      </c>
      <c r="E23">
        <v>25.94866727470475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821.7</v>
      </c>
      <c r="E24">
        <v>821.7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25.54755913541992</v>
      </c>
      <c r="E25">
        <v>25.54755913541992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585.29999999999995</v>
      </c>
      <c r="E26">
        <v>585.29999999999995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17.295150251507568</v>
      </c>
      <c r="E27">
        <v>17.295150251507561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3.4001890821742329</v>
      </c>
      <c r="E28">
        <v>3.4001890821742329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0.1194571176876596</v>
      </c>
      <c r="E29">
        <v>0.1194571176876596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172.2</v>
      </c>
      <c r="E30">
        <v>172.2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3.6147844564602551</v>
      </c>
      <c r="E31">
        <v>3.614784456460256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0.29443039893249717</v>
      </c>
      <c r="E32">
        <v>0.29443039893249712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1.041277070716955E-2</v>
      </c>
      <c r="E33">
        <v>1.0412770707169561E-2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15.029019573871157</v>
      </c>
      <c r="E34">
        <v>15.02901957387115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0.35883605962320048</v>
      </c>
      <c r="E35">
        <v>0.35883605962320231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1.6934029308559921</v>
      </c>
      <c r="E36">
        <v>1.6934029308559919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5.1308119599986025E-2</v>
      </c>
      <c r="E37">
        <v>5.1308119599986032E-2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346.15555555591919</v>
      </c>
      <c r="E38">
        <v>346.15555555591919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17.988983064266794</v>
      </c>
      <c r="E39">
        <v>17.98898306426679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12.553950617401725</v>
      </c>
      <c r="E40">
        <v>12.553950617401719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1.8070240753931985</v>
      </c>
      <c r="E41">
        <v>1.807024075393211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1419.2</v>
      </c>
      <c r="E42">
        <v>1419.2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5.6332347131406957</v>
      </c>
      <c r="E43">
        <v>5.6332347131406957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922.6</v>
      </c>
      <c r="E44">
        <v>922.6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12.066482503198685</v>
      </c>
      <c r="E45">
        <v>12.06648250319869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646.70000000000005</v>
      </c>
      <c r="E46">
        <v>646.70000000000005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8.9820809269220998</v>
      </c>
      <c r="E47">
        <v>8.9820809269220998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3.1809335369433294</v>
      </c>
      <c r="E48">
        <v>3.1809335369433298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0.10284050921347793</v>
      </c>
      <c r="E49">
        <v>0.1028405092134778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203.5</v>
      </c>
      <c r="E50">
        <v>203.5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7.2915476180757857</v>
      </c>
      <c r="E51">
        <v>7.2915476180757857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0.31467065226406954</v>
      </c>
      <c r="E52">
        <v>0.31467065226406948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1.0234483468851212E-2</v>
      </c>
      <c r="E53">
        <v>1.023448346885121E-2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16.218194898805443</v>
      </c>
      <c r="E54">
        <v>16.218194898805439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0.42166544441493198</v>
      </c>
      <c r="E55">
        <v>0.42166544441493159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1.9031689073627831</v>
      </c>
      <c r="E56">
        <v>1.9031689073627831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5.9658196384510628E-2</v>
      </c>
      <c r="E57">
        <v>5.9658196384510628E-2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371.6488888890234</v>
      </c>
      <c r="E58">
        <v>371.6488888890234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14.370484153762568</v>
      </c>
      <c r="E59">
        <v>14.37048415376257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1.516481481628726</v>
      </c>
      <c r="E60">
        <v>1.516481481628726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0.39996166135771677</v>
      </c>
      <c r="E61">
        <v>0.39996166135771721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1419.9</v>
      </c>
      <c r="E62">
        <v>1419.9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8.530338015967871</v>
      </c>
      <c r="E63">
        <v>8.530338015967871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928.5</v>
      </c>
      <c r="E64">
        <v>928.5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15.593802187621423</v>
      </c>
      <c r="E65">
        <v>15.593802187621421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648.1</v>
      </c>
      <c r="E66">
        <v>648.1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9.6200023100020307</v>
      </c>
      <c r="E67">
        <v>9.6200023100020307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3.2185174489185377</v>
      </c>
      <c r="E68">
        <v>3.2185174489185382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9.6178628507814209E-2</v>
      </c>
      <c r="E69">
        <v>9.6178628507814098E-2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201.5</v>
      </c>
      <c r="E70">
        <v>201.5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5.7203341005768378</v>
      </c>
      <c r="E71">
        <v>5.7203341005768378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0.31095057053856351</v>
      </c>
      <c r="E72">
        <v>0.31095057053856351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9.2432245284643725E-3</v>
      </c>
      <c r="E73">
        <v>9.2432245284643742E-3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16.939433144627504</v>
      </c>
      <c r="E74">
        <v>16.9394331446275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0.39851150155377163</v>
      </c>
      <c r="E75">
        <v>0.39851150155377307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1.9635635669812086</v>
      </c>
      <c r="E76">
        <v>1.963563566981209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4.8207491997572995E-2</v>
      </c>
      <c r="E77">
        <v>4.8207491997572988E-2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372.48000000080009</v>
      </c>
      <c r="E78">
        <v>372.48000000080009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18.266285779140251</v>
      </c>
      <c r="E79">
        <v>18.266285779140251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1.4541975310040223</v>
      </c>
      <c r="E80">
        <v>1.4541975310040229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0.59364868242508317</v>
      </c>
      <c r="E81">
        <v>0.59364868242508262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0.12714558169102899</v>
      </c>
      <c r="E82">
        <v>0.12714558169102899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0.90487638673776605</v>
      </c>
      <c r="E83">
        <v>0.90487638673775728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0.10964912280702864</v>
      </c>
      <c r="E84">
        <v>0.1096491228070286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0.92334359728770143</v>
      </c>
      <c r="E85">
        <v>0.92334359728770821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0.17114495978093447</v>
      </c>
      <c r="E86">
        <v>0.1711449597809345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0.87342579955712296</v>
      </c>
      <c r="E87">
        <v>0.87342579955712507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2.9144745878632445</v>
      </c>
      <c r="E88">
        <v>2.914474587863245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6.0845402931696636E-2</v>
      </c>
      <c r="E89">
        <v>6.0845402931697677E-2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-2.6568682871679008</v>
      </c>
      <c r="E90">
        <v>-2.6568682871679008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4.2549875150111327E-3</v>
      </c>
      <c r="E91">
        <v>4.2549875150112212E-3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-2.787705470573445</v>
      </c>
      <c r="E92">
        <v>-2.7877054705734632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6.8024113968352479E-2</v>
      </c>
      <c r="E93">
        <v>6.8024113968350688E-2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2.4944934925335538</v>
      </c>
      <c r="E94">
        <v>2.4944934925335298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2.1473649007827639E-2</v>
      </c>
      <c r="E95">
        <v>2.1473649007828721E-2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0.93912827701314727</v>
      </c>
      <c r="E96">
        <v>0.93912827701314727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0.34241296375637781</v>
      </c>
      <c r="E97">
        <v>0.34241296375638181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-0.18582596450400377</v>
      </c>
      <c r="E98">
        <v>-0.18582596450400379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0.92601731275327315</v>
      </c>
      <c r="E99">
        <v>0.92601731275327404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-0.8635334432135181</v>
      </c>
      <c r="E100">
        <v>-0.8635334432135181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0.90625970767795316</v>
      </c>
      <c r="E101">
        <v>0.90625970767795261</v>
      </c>
    </row>
    <row r="102" spans="1:5">
      <c r="A102" t="s">
        <v>24</v>
      </c>
      <c r="B102" t="s">
        <v>27</v>
      </c>
      <c r="C102" t="s">
        <v>3</v>
      </c>
      <c r="D102">
        <f>(AVERAGE(per_seed!$D$32:$D$41)-AVERAGE(per_seed!$D$22:$D$31))/AVERAGE(per_seed!$D$22:$D$31)*100</f>
        <v>4.932356257046544E-2</v>
      </c>
      <c r="E102">
        <v>4.932356257046544E-2</v>
      </c>
    </row>
    <row r="103" spans="1:5">
      <c r="A103" t="s">
        <v>26</v>
      </c>
      <c r="B103" t="s">
        <v>27</v>
      </c>
      <c r="C103" t="s">
        <v>3</v>
      </c>
      <c r="D103">
        <f>_xlfn.T.TEST(per_seed!$D$22:$D$31,per_seed!$D$32:$D$41,2,1)</f>
        <v>0.8000753847354275</v>
      </c>
      <c r="E103">
        <v>0.80007538473544115</v>
      </c>
    </row>
    <row r="104" spans="1:5">
      <c r="A104" t="s">
        <v>24</v>
      </c>
      <c r="B104" t="s">
        <v>27</v>
      </c>
      <c r="C104" t="s">
        <v>4</v>
      </c>
      <c r="D104">
        <f>(AVERAGE(per_seed!$E$32:$E$41)-AVERAGE(per_seed!$E$22:$E$31))/AVERAGE(per_seed!$E$22:$E$31)*100</f>
        <v>0.63949707348796625</v>
      </c>
      <c r="E104">
        <v>0.63949707348796625</v>
      </c>
    </row>
    <row r="105" spans="1:5">
      <c r="A105" t="s">
        <v>26</v>
      </c>
      <c r="B105" t="s">
        <v>27</v>
      </c>
      <c r="C105" t="s">
        <v>4</v>
      </c>
      <c r="D105">
        <f>_xlfn.T.TEST(per_seed!$E$22:$E$31,per_seed!$E$32:$E$41,2,1)</f>
        <v>7.240801079953095E-2</v>
      </c>
      <c r="E105">
        <v>7.240801079953002E-2</v>
      </c>
    </row>
    <row r="106" spans="1:5">
      <c r="A106" t="s">
        <v>24</v>
      </c>
      <c r="B106" t="s">
        <v>27</v>
      </c>
      <c r="C106" t="s">
        <v>5</v>
      </c>
      <c r="D106">
        <f>(AVERAGE(per_seed!$F$32:$F$41)-AVERAGE(per_seed!$F$22:$F$31))/AVERAGE(per_seed!$F$22:$F$31)*100</f>
        <v>0.21648368640791357</v>
      </c>
      <c r="E106">
        <v>0.2164836864079136</v>
      </c>
    </row>
    <row r="107" spans="1:5">
      <c r="A107" t="s">
        <v>26</v>
      </c>
      <c r="B107" t="s">
        <v>27</v>
      </c>
      <c r="C107" t="s">
        <v>5</v>
      </c>
      <c r="D107">
        <f>_xlfn.T.TEST(per_seed!$F$22:$F$31,per_seed!$F$32:$F$41,2,1)</f>
        <v>0.57898284039876602</v>
      </c>
      <c r="E107">
        <v>0.5789828403987598</v>
      </c>
    </row>
    <row r="108" spans="1:5">
      <c r="A108" t="s">
        <v>24</v>
      </c>
      <c r="B108" t="s">
        <v>27</v>
      </c>
      <c r="C108" t="s">
        <v>6</v>
      </c>
      <c r="D108">
        <f>(AVERAGE(per_seed!$G$32:$G$41)-AVERAGE(per_seed!$G$22:$G$31))/AVERAGE(per_seed!$G$22:$G$31)*100</f>
        <v>1.1815371663289791</v>
      </c>
      <c r="E108">
        <v>1.1815371663289651</v>
      </c>
    </row>
    <row r="109" spans="1:5">
      <c r="A109" t="s">
        <v>26</v>
      </c>
      <c r="B109" t="s">
        <v>27</v>
      </c>
      <c r="C109" t="s">
        <v>6</v>
      </c>
      <c r="D109">
        <f>_xlfn.T.TEST(per_seed!$G$22:$G$31,per_seed!$G$32:$G$41,2,1)</f>
        <v>0.29135731487225747</v>
      </c>
      <c r="E109">
        <v>0.29135731487226552</v>
      </c>
    </row>
    <row r="110" spans="1:5">
      <c r="A110" t="s">
        <v>24</v>
      </c>
      <c r="B110" t="s">
        <v>27</v>
      </c>
      <c r="C110" t="s">
        <v>7</v>
      </c>
      <c r="D110">
        <f>(AVERAGE(per_seed!$H$32:$H$41)-AVERAGE(per_seed!$H$22:$H$31))/AVERAGE(per_seed!$H$22:$H$31)*100</f>
        <v>-0.98280098280098283</v>
      </c>
      <c r="E110">
        <v>-0.98280098280098283</v>
      </c>
    </row>
    <row r="111" spans="1:5">
      <c r="A111" t="s">
        <v>26</v>
      </c>
      <c r="B111" t="s">
        <v>27</v>
      </c>
      <c r="C111" t="s">
        <v>7</v>
      </c>
      <c r="D111">
        <f>_xlfn.T.TEST(per_seed!$H$22:$H$31,per_seed!$H$32:$H$41,2,1)</f>
        <v>0.43198252174020879</v>
      </c>
      <c r="E111">
        <v>0.4319825217402089</v>
      </c>
    </row>
    <row r="112" spans="1:5">
      <c r="A112" t="s">
        <v>24</v>
      </c>
      <c r="B112" t="s">
        <v>27</v>
      </c>
      <c r="C112" t="s">
        <v>8</v>
      </c>
      <c r="D112">
        <f>(AVERAGE(per_seed!$I$32:$I$41)-AVERAGE(per_seed!$I$22:$I$31))/AVERAGE(per_seed!$I$22:$I$31)*100</f>
        <v>-1.1822143878813847</v>
      </c>
      <c r="E112">
        <v>-1.1822143878813851</v>
      </c>
    </row>
    <row r="113" spans="1:5">
      <c r="A113" t="s">
        <v>26</v>
      </c>
      <c r="B113" t="s">
        <v>27</v>
      </c>
      <c r="C113" t="s">
        <v>8</v>
      </c>
      <c r="D113">
        <f>_xlfn.T.TEST(per_seed!$I$22:$I$31,per_seed!$I$32:$I$41,2,1)</f>
        <v>0.29325467373652925</v>
      </c>
      <c r="E113">
        <v>0.29325467373653058</v>
      </c>
    </row>
    <row r="114" spans="1:5">
      <c r="A114" t="s">
        <v>24</v>
      </c>
      <c r="B114" t="s">
        <v>27</v>
      </c>
      <c r="C114" t="s">
        <v>9</v>
      </c>
      <c r="D114">
        <f>(AVERAGE(per_seed!$J$32:$J$41)-AVERAGE(per_seed!$J$22:$J$31))/AVERAGE(per_seed!$J$22:$J$31)*100</f>
        <v>4.4470932204371527</v>
      </c>
      <c r="E114">
        <v>4.4470932204371527</v>
      </c>
    </row>
    <row r="115" spans="1:5">
      <c r="A115" t="s">
        <v>26</v>
      </c>
      <c r="B115" t="s">
        <v>27</v>
      </c>
      <c r="C115" t="s">
        <v>9</v>
      </c>
      <c r="D115">
        <f>_xlfn.T.TEST(per_seed!$J$22:$J$31,per_seed!$J$32:$J$41,2,1)</f>
        <v>6.9923520341079277E-6</v>
      </c>
      <c r="E115">
        <v>6.9923520341077329E-6</v>
      </c>
    </row>
    <row r="116" spans="1:5">
      <c r="A116" t="s">
        <v>24</v>
      </c>
      <c r="B116" t="s">
        <v>27</v>
      </c>
      <c r="C116" t="s">
        <v>10</v>
      </c>
      <c r="D116">
        <f>(AVERAGE(per_seed!$K$32:$K$41)-AVERAGE(per_seed!$K$22:$K$31))/AVERAGE(per_seed!$K$22:$K$31)*100</f>
        <v>3.1733735973079886</v>
      </c>
      <c r="E116">
        <v>3.1733735973080011</v>
      </c>
    </row>
    <row r="117" spans="1:5">
      <c r="A117" t="s">
        <v>26</v>
      </c>
      <c r="B117" t="s">
        <v>27</v>
      </c>
      <c r="C117" t="s">
        <v>10</v>
      </c>
      <c r="D117">
        <f>_xlfn.T.TEST(per_seed!$K$22:$K$31,per_seed!$K$32:$K$41,2,1)</f>
        <v>2.8901986459173513E-4</v>
      </c>
      <c r="E117">
        <v>2.890198645917193E-4</v>
      </c>
    </row>
    <row r="118" spans="1:5">
      <c r="A118" t="s">
        <v>24</v>
      </c>
      <c r="B118" t="s">
        <v>27</v>
      </c>
      <c r="C118" t="s">
        <v>11</v>
      </c>
      <c r="D118">
        <f>(AVERAGE(per_seed!$L$32:$L$41)-AVERAGE(per_seed!$L$22:$L$31))/AVERAGE(per_seed!$L$22:$L$31)*100</f>
        <v>0.223628036198668</v>
      </c>
      <c r="E118">
        <v>0.223628036198668</v>
      </c>
    </row>
    <row r="119" spans="1:5">
      <c r="A119" t="s">
        <v>26</v>
      </c>
      <c r="B119" t="s">
        <v>27</v>
      </c>
      <c r="C119" t="s">
        <v>11</v>
      </c>
      <c r="D119">
        <f>_xlfn.T.TEST(per_seed!$L$22:$L$31,per_seed!$L$32:$L$41,2,1)</f>
        <v>0.90885517704773977</v>
      </c>
      <c r="E119">
        <v>0.90885517704773855</v>
      </c>
    </row>
    <row r="120" spans="1:5">
      <c r="A120" t="s">
        <v>24</v>
      </c>
      <c r="B120" t="s">
        <v>27</v>
      </c>
      <c r="C120" t="s">
        <v>12</v>
      </c>
      <c r="D120">
        <f>(AVERAGE(per_seed!$M$32:$M$41)-AVERAGE(per_seed!$M$22:$M$31))/AVERAGE(per_seed!$M$22:$M$31)*100</f>
        <v>-4.1071355884814187</v>
      </c>
      <c r="E120">
        <v>-4.1071355884813894</v>
      </c>
    </row>
    <row r="121" spans="1:5">
      <c r="A121" t="s">
        <v>26</v>
      </c>
      <c r="B121" t="s">
        <v>27</v>
      </c>
      <c r="C121" t="s">
        <v>12</v>
      </c>
      <c r="D121">
        <f>_xlfn.T.TEST(per_seed!$M$22:$M$31,per_seed!$M$32:$M$41,2,1)</f>
        <v>0.74655875004256322</v>
      </c>
      <c r="E121">
        <v>0.74655875004256511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2026-09-19T13:08:04Z</dcterms:created>
  <dcterms:modified xsi:type="dcterms:W3CDTF">2026-09-19T13:08:09Z</dcterms:modified>
</cp:coreProperties>
</file>