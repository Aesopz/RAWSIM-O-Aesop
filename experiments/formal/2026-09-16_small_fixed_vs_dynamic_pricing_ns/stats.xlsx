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6_small_fixed_vs_dynamic_pricing_ns\"/>
    </mc:Choice>
  </mc:AlternateContent>
  <xr:revisionPtr revIDLastSave="0" documentId="13_ncr:1_{7788B425-C823-4E67-8CC8-86D295798C41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1" i="2" l="1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<sst xmlns="http://schemas.openxmlformats.org/spreadsheetml/2006/main" count="2758" uniqueCount="64">
  <si>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</si>
  <si>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</si>
  <si>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</si>
  <si>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</si>
  <si>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</si>
  <si>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</si>
  <si>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</si>
  <si>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</si>
  <si>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</si>
  <si>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</si>
  <si>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</si>
  <si>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</si>
  <si>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</si>
  <si>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ns_dyn_6b</t>
  </si>
  <si>
    <t>ns_dyn_10b</t>
  </si>
  <si>
    <t>ns_fix4p5_6b</t>
  </si>
  <si>
    <t>ns_fix6_6b</t>
  </si>
  <si>
    <t>ns_fix8_6b</t>
  </si>
  <si>
    <t>ns_fix11_6b</t>
  </si>
  <si>
    <t>ns_fix15_6b</t>
  </si>
  <si>
    <t>ns_fix20_6b</t>
  </si>
  <si>
    <t>ns_fix28_6b</t>
  </si>
  <si>
    <t>ns_fix4p5_6b_jump</t>
  </si>
  <si>
    <t>ns_fix8_6b_jump</t>
  </si>
  <si>
    <t>ns_fix15_6b_jump</t>
  </si>
  <si>
    <t>ns_fix4p5_10b</t>
  </si>
  <si>
    <t>ns_fix6_10b</t>
  </si>
  <si>
    <t>ns_fix8_10b</t>
  </si>
  <si>
    <t>ns_fix11_10b</t>
  </si>
  <si>
    <t>ns_fix15_10b</t>
  </si>
  <si>
    <t>ns_fix20_10b</t>
  </si>
  <si>
    <t>ns_fix28_10b</t>
  </si>
  <si>
    <t>ns_fix4p5_10b_jump</t>
  </si>
  <si>
    <t>ns_fix8_10b_jump</t>
  </si>
  <si>
    <t>ns_fix15_10b_jump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</si>
  <si>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</si>
  <si>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</si>
  <si>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</si>
  <si>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</si>
  <si>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</si>
  <si>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</si>
  <si>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</si>
  <si>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</si>
  <si>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ns_fix4p5_6b vs ns_dyn_6b</t>
  </si>
  <si>
    <t>p</t>
  </si>
  <si>
    <t>ns_fix6_6b vs ns_dyn_6b</t>
  </si>
  <si>
    <t>ns_fix8_6b vs ns_dyn_6b</t>
  </si>
  <si>
    <t>ns_fix11_6b vs ns_dyn_6b</t>
  </si>
  <si>
    <t>ns_fix15_6b vs ns_dyn_6b</t>
  </si>
  <si>
    <t>ns_fix20_6b vs ns_dyn_6b</t>
  </si>
  <si>
    <t>ns_fix28_6b vs ns_dyn_6b</t>
  </si>
  <si>
    <t>ns_fix4p5_6b_jump vs ns_dyn_6b</t>
  </si>
  <si>
    <t>ns_fix8_6b_jump vs ns_dyn_6b</t>
  </si>
  <si>
    <t>ns_fix15_6b_jump vs ns_dyn_6b</t>
  </si>
  <si>
    <t>ns_fix4p5_10b vs ns_dyn_10b</t>
  </si>
  <si>
    <t>ns_fix6_10b vs ns_dyn_10b</t>
  </si>
  <si>
    <t>ns_fix8_10b vs ns_dyn_10b</t>
  </si>
  <si>
    <t>ns_fix11_10b vs ns_dyn_10b</t>
  </si>
  <si>
    <t>ns_fix15_10b vs ns_dyn_10b</t>
  </si>
  <si>
    <t>ns_fix20_10b vs ns_dyn_10b</t>
  </si>
  <si>
    <t>ns_fix28_10b vs ns_dyn_10b</t>
  </si>
  <si>
    <t>ns_fix4p5_10b_jump vs ns_dyn_10b</t>
  </si>
  <si>
    <t>ns_fix8_10b_jump vs ns_dyn_10b</t>
  </si>
  <si>
    <t>ns_fix15_10b_jump vs ns_dyn_10b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</si>
</sst>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1225</v>
      </c>
      <c r="E2">
        <v>800</v>
      </c>
      <c r="F2">
        <v>583</v>
      </c>
      <c r="G2">
        <v>3.2569832402234642</v>
      </c>
      <c r="H2">
        <v>179</v>
      </c>
      <c r="I2">
        <v>0.307032590051458</v>
      </c>
      <c r="J2">
        <v>14.216954560884499</v>
      </c>
      <c r="K2">
        <v>1.6109445323790901</v>
      </c>
      <c r="L2">
        <v>420.84444444477901</v>
      </c>
      <c r="M2">
        <v>14.970370370444011</v>
      </c>
    </row>
    <row r="3" spans="1:13">
      <c r="A3" t="s">
        <v>13</v>
      </c>
      <c r="B3">
        <v>6</v>
      </c>
      <c r="C3">
        <v>1</v>
      </c>
      <c r="D3">
        <v>1133</v>
      </c>
      <c r="E3">
        <v>725</v>
      </c>
      <c r="F3">
        <v>496</v>
      </c>
      <c r="G3">
        <v>2.8505747126436778</v>
      </c>
      <c r="H3">
        <v>174</v>
      </c>
      <c r="I3">
        <v>0.35080645161290319</v>
      </c>
      <c r="J3">
        <v>15.06758740421393</v>
      </c>
      <c r="K3">
        <v>1.8090424672038199</v>
      </c>
      <c r="L3">
        <v>426.133333331492</v>
      </c>
      <c r="M3">
        <v>21.39166666681389</v>
      </c>
    </row>
    <row r="4" spans="1:13">
      <c r="A4" t="s">
        <v>13</v>
      </c>
      <c r="B4">
        <v>6</v>
      </c>
      <c r="C4">
        <v>2</v>
      </c>
      <c r="D4">
        <v>1147</v>
      </c>
      <c r="E4">
        <v>763</v>
      </c>
      <c r="F4">
        <v>530</v>
      </c>
      <c r="G4">
        <v>2.912087912087912</v>
      </c>
      <c r="H4">
        <v>182</v>
      </c>
      <c r="I4">
        <v>0.34339622641509432</v>
      </c>
      <c r="J4">
        <v>15.661666712149151</v>
      </c>
      <c r="K4">
        <v>1.8544586603979301</v>
      </c>
      <c r="L4">
        <v>415.91111110966602</v>
      </c>
      <c r="M4">
        <v>20.347222222222221</v>
      </c>
    </row>
    <row r="5" spans="1:13">
      <c r="A5" t="s">
        <v>13</v>
      </c>
      <c r="B5">
        <v>6</v>
      </c>
      <c r="C5">
        <v>3</v>
      </c>
      <c r="D5">
        <v>1083</v>
      </c>
      <c r="E5">
        <v>700</v>
      </c>
      <c r="F5">
        <v>488</v>
      </c>
      <c r="G5">
        <v>2.957575757575758</v>
      </c>
      <c r="H5">
        <v>165</v>
      </c>
      <c r="I5">
        <v>0.33811475409836073</v>
      </c>
      <c r="J5">
        <v>15.79690556105043</v>
      </c>
      <c r="K5">
        <v>1.87866431742462</v>
      </c>
      <c r="L5">
        <v>470.80000000278301</v>
      </c>
      <c r="M5">
        <v>24.803703703777149</v>
      </c>
    </row>
    <row r="6" spans="1:13">
      <c r="A6" t="s">
        <v>13</v>
      </c>
      <c r="B6">
        <v>6</v>
      </c>
      <c r="C6">
        <v>4</v>
      </c>
      <c r="D6">
        <v>1145</v>
      </c>
      <c r="E6">
        <v>743</v>
      </c>
      <c r="F6">
        <v>523</v>
      </c>
      <c r="G6">
        <v>3.0946745562130178</v>
      </c>
      <c r="H6">
        <v>169</v>
      </c>
      <c r="I6">
        <v>0.32313575525812621</v>
      </c>
      <c r="J6">
        <v>14.904877649198379</v>
      </c>
      <c r="K6">
        <v>1.7256661628441501</v>
      </c>
      <c r="L6">
        <v>416.08888888922002</v>
      </c>
      <c r="M6">
        <v>20.542901234641661</v>
      </c>
    </row>
    <row r="7" spans="1:13">
      <c r="A7" t="s">
        <v>13</v>
      </c>
      <c r="B7">
        <v>6</v>
      </c>
      <c r="C7">
        <v>5</v>
      </c>
      <c r="D7">
        <v>1168</v>
      </c>
      <c r="E7">
        <v>757</v>
      </c>
      <c r="F7">
        <v>526</v>
      </c>
      <c r="G7">
        <v>3.076023391812865</v>
      </c>
      <c r="H7">
        <v>171</v>
      </c>
      <c r="I7">
        <v>0.32509505703422048</v>
      </c>
      <c r="J7">
        <v>14.65918212424716</v>
      </c>
      <c r="K7">
        <v>1.7299677295693301</v>
      </c>
      <c r="L7">
        <v>471.64444444723301</v>
      </c>
      <c r="M7">
        <v>18.955246913727429</v>
      </c>
    </row>
    <row r="8" spans="1:13">
      <c r="A8" t="s">
        <v>13</v>
      </c>
      <c r="B8">
        <v>6</v>
      </c>
      <c r="C8">
        <v>6</v>
      </c>
      <c r="D8">
        <v>1143</v>
      </c>
      <c r="E8">
        <v>741</v>
      </c>
      <c r="F8">
        <v>513</v>
      </c>
      <c r="G8">
        <v>3.2468354430379751</v>
      </c>
      <c r="H8">
        <v>158</v>
      </c>
      <c r="I8">
        <v>0.30799220272904482</v>
      </c>
      <c r="J8">
        <v>14.333968735921051</v>
      </c>
      <c r="K8">
        <v>1.69997415156943</v>
      </c>
      <c r="L8">
        <v>483.33333333306001</v>
      </c>
      <c r="M8">
        <v>20.718518518665899</v>
      </c>
    </row>
    <row r="9" spans="1:13">
      <c r="A9" t="s">
        <v>13</v>
      </c>
      <c r="B9">
        <v>6</v>
      </c>
      <c r="C9">
        <v>7</v>
      </c>
      <c r="D9">
        <v>1215</v>
      </c>
      <c r="E9">
        <v>803</v>
      </c>
      <c r="F9">
        <v>568</v>
      </c>
      <c r="G9">
        <v>3.341176470588235</v>
      </c>
      <c r="H9">
        <v>170</v>
      </c>
      <c r="I9">
        <v>0.29929577464788731</v>
      </c>
      <c r="J9">
        <v>13.5111864074208</v>
      </c>
      <c r="K9">
        <v>1.5556250749282401</v>
      </c>
      <c r="L9">
        <v>392.84444444475702</v>
      </c>
      <c r="M9">
        <v>15.67623456797493</v>
      </c>
    </row>
    <row r="10" spans="1:13">
      <c r="A10" t="s">
        <v>13</v>
      </c>
      <c r="B10">
        <v>6</v>
      </c>
      <c r="C10">
        <v>8</v>
      </c>
      <c r="D10">
        <v>1109</v>
      </c>
      <c r="E10">
        <v>725</v>
      </c>
      <c r="F10">
        <v>497</v>
      </c>
      <c r="G10">
        <v>2.9939759036144582</v>
      </c>
      <c r="H10">
        <v>166</v>
      </c>
      <c r="I10">
        <v>0.33400402414486918</v>
      </c>
      <c r="J10">
        <v>15.321400723676</v>
      </c>
      <c r="K10">
        <v>1.8444914940536401</v>
      </c>
      <c r="L10">
        <v>435.02222222216602</v>
      </c>
      <c r="M10">
        <v>23.012654321061252</v>
      </c>
    </row>
    <row r="11" spans="1:13">
      <c r="A11" t="s">
        <v>13</v>
      </c>
      <c r="B11">
        <v>6</v>
      </c>
      <c r="C11">
        <v>9</v>
      </c>
      <c r="D11">
        <v>1105</v>
      </c>
      <c r="E11">
        <v>724</v>
      </c>
      <c r="F11">
        <v>508</v>
      </c>
      <c r="G11">
        <v>3.0975609756097562</v>
      </c>
      <c r="H11">
        <v>164</v>
      </c>
      <c r="I11">
        <v>0.32283464566929132</v>
      </c>
      <c r="J11">
        <v>14.899171270718231</v>
      </c>
      <c r="K11">
        <v>1.7476160983970099</v>
      </c>
      <c r="L11">
        <v>421.95555555547497</v>
      </c>
      <c r="M11">
        <v>23.28549382730743</v>
      </c>
    </row>
    <row r="12" spans="1:13">
      <c r="A12" t="s">
        <v>14</v>
      </c>
      <c r="B12">
        <v>10</v>
      </c>
      <c r="C12">
        <v>0</v>
      </c>
      <c r="D12">
        <v>1403</v>
      </c>
      <c r="E12">
        <v>896</v>
      </c>
      <c r="F12">
        <v>639</v>
      </c>
      <c r="G12">
        <v>3.4918032786885251</v>
      </c>
      <c r="H12">
        <v>183</v>
      </c>
      <c r="I12">
        <v>0.28638497652582162</v>
      </c>
      <c r="J12">
        <v>14.56808035714297</v>
      </c>
      <c r="K12">
        <v>1.6999084632561401</v>
      </c>
      <c r="L12">
        <v>427.24444444697002</v>
      </c>
      <c r="M12">
        <v>2.6367283952089369</v>
      </c>
    </row>
    <row r="13" spans="1:13">
      <c r="A13" t="s">
        <v>14</v>
      </c>
      <c r="B13">
        <v>10</v>
      </c>
      <c r="C13">
        <v>1</v>
      </c>
      <c r="D13">
        <v>1401</v>
      </c>
      <c r="E13">
        <v>906</v>
      </c>
      <c r="F13">
        <v>617</v>
      </c>
      <c r="G13">
        <v>3.0696517412935318</v>
      </c>
      <c r="H13">
        <v>201</v>
      </c>
      <c r="I13">
        <v>0.32576985413290122</v>
      </c>
      <c r="J13">
        <v>15.75563833697748</v>
      </c>
      <c r="K13">
        <v>1.8907611983755199</v>
      </c>
      <c r="L13">
        <v>464.400000002745</v>
      </c>
      <c r="M13">
        <v>2.7623456791594792</v>
      </c>
    </row>
    <row r="14" spans="1:13">
      <c r="A14" t="s">
        <v>14</v>
      </c>
      <c r="B14">
        <v>10</v>
      </c>
      <c r="C14">
        <v>2</v>
      </c>
      <c r="D14">
        <v>1415</v>
      </c>
      <c r="E14">
        <v>944</v>
      </c>
      <c r="F14">
        <v>648</v>
      </c>
      <c r="G14">
        <v>3.357512953367876</v>
      </c>
      <c r="H14">
        <v>193</v>
      </c>
      <c r="I14">
        <v>0.2978395061728395</v>
      </c>
      <c r="J14">
        <v>14.59277551770297</v>
      </c>
      <c r="K14">
        <v>1.7615435254270899</v>
      </c>
      <c r="L14">
        <v>439.51111111370898</v>
      </c>
      <c r="M14">
        <v>1.747530864344417</v>
      </c>
    </row>
    <row r="15" spans="1:13">
      <c r="A15" t="s">
        <v>14</v>
      </c>
      <c r="B15">
        <v>10</v>
      </c>
      <c r="C15">
        <v>3</v>
      </c>
      <c r="D15">
        <v>1416</v>
      </c>
      <c r="E15">
        <v>911</v>
      </c>
      <c r="F15">
        <v>628</v>
      </c>
      <c r="G15">
        <v>3.3404255319148941</v>
      </c>
      <c r="H15">
        <v>188</v>
      </c>
      <c r="I15">
        <v>0.29936305732484081</v>
      </c>
      <c r="J15">
        <v>14.873458822881449</v>
      </c>
      <c r="K15">
        <v>1.78445086426181</v>
      </c>
      <c r="L15">
        <v>451.155555558223</v>
      </c>
      <c r="M15">
        <v>1.7435185186657891</v>
      </c>
    </row>
    <row r="16" spans="1:13">
      <c r="A16" t="s">
        <v>14</v>
      </c>
      <c r="B16">
        <v>10</v>
      </c>
      <c r="C16">
        <v>4</v>
      </c>
      <c r="D16">
        <v>1422</v>
      </c>
      <c r="E16">
        <v>929</v>
      </c>
      <c r="F16">
        <v>643</v>
      </c>
      <c r="G16">
        <v>3.0473933649289102</v>
      </c>
      <c r="H16">
        <v>211</v>
      </c>
      <c r="I16">
        <v>0.32814930015552102</v>
      </c>
      <c r="J16">
        <v>15.612412087666851</v>
      </c>
      <c r="K16">
        <v>1.8688730621591401</v>
      </c>
      <c r="L16">
        <v>425.33333333328102</v>
      </c>
      <c r="M16">
        <v>1.28672839520877</v>
      </c>
    </row>
    <row r="17" spans="1:13">
      <c r="A17" t="s">
        <v>14</v>
      </c>
      <c r="B17">
        <v>10</v>
      </c>
      <c r="C17">
        <v>5</v>
      </c>
      <c r="D17">
        <v>1396</v>
      </c>
      <c r="E17">
        <v>906</v>
      </c>
      <c r="F17">
        <v>624</v>
      </c>
      <c r="G17">
        <v>3.0439024390243898</v>
      </c>
      <c r="H17">
        <v>205</v>
      </c>
      <c r="I17">
        <v>0.32852564102564102</v>
      </c>
      <c r="J17">
        <v>15.6070387701649</v>
      </c>
      <c r="K17">
        <v>1.87438222416044</v>
      </c>
      <c r="L17">
        <v>392.48888888719301</v>
      </c>
      <c r="M17">
        <v>3.1129629631101179</v>
      </c>
    </row>
    <row r="18" spans="1:13">
      <c r="A18" t="s">
        <v>14</v>
      </c>
      <c r="B18">
        <v>10</v>
      </c>
      <c r="C18">
        <v>6</v>
      </c>
      <c r="D18">
        <v>1422</v>
      </c>
      <c r="E18">
        <v>928</v>
      </c>
      <c r="F18">
        <v>635</v>
      </c>
      <c r="G18">
        <v>3.0238095238095242</v>
      </c>
      <c r="H18">
        <v>210</v>
      </c>
      <c r="I18">
        <v>0.33070866141732291</v>
      </c>
      <c r="J18">
        <v>15.233712488178019</v>
      </c>
      <c r="K18">
        <v>1.8320016119904401</v>
      </c>
      <c r="L18">
        <v>433.55555555519101</v>
      </c>
      <c r="M18">
        <v>1.314506172986712</v>
      </c>
    </row>
    <row r="19" spans="1:13">
      <c r="A19" t="s">
        <v>14</v>
      </c>
      <c r="B19">
        <v>10</v>
      </c>
      <c r="C19">
        <v>7</v>
      </c>
      <c r="D19">
        <v>1420</v>
      </c>
      <c r="E19">
        <v>936</v>
      </c>
      <c r="F19">
        <v>652</v>
      </c>
      <c r="G19">
        <v>3.3608247422680408</v>
      </c>
      <c r="H19">
        <v>194</v>
      </c>
      <c r="I19">
        <v>0.29754601226993871</v>
      </c>
      <c r="J19">
        <v>14.263038639584289</v>
      </c>
      <c r="K19">
        <v>1.6995118511607601</v>
      </c>
      <c r="L19">
        <v>382.22222222111299</v>
      </c>
      <c r="M19">
        <v>1.4429012347150429</v>
      </c>
    </row>
    <row r="20" spans="1:13">
      <c r="A20" t="s">
        <v>14</v>
      </c>
      <c r="B20">
        <v>10</v>
      </c>
      <c r="C20">
        <v>8</v>
      </c>
      <c r="D20">
        <v>1414</v>
      </c>
      <c r="E20">
        <v>929</v>
      </c>
      <c r="F20">
        <v>633</v>
      </c>
      <c r="G20">
        <v>3.165</v>
      </c>
      <c r="H20">
        <v>200</v>
      </c>
      <c r="I20">
        <v>0.31595576619273302</v>
      </c>
      <c r="J20">
        <v>14.87478471471292</v>
      </c>
      <c r="K20">
        <v>1.8052233106884401</v>
      </c>
      <c r="L20">
        <v>470.844444447228</v>
      </c>
      <c r="M20">
        <v>1.8444444445914929</v>
      </c>
    </row>
    <row r="21" spans="1:13">
      <c r="A21" t="s">
        <v>14</v>
      </c>
      <c r="B21">
        <v>10</v>
      </c>
      <c r="C21">
        <v>9</v>
      </c>
      <c r="D21">
        <v>1403</v>
      </c>
      <c r="E21">
        <v>905</v>
      </c>
      <c r="F21">
        <v>626</v>
      </c>
      <c r="G21">
        <v>3.1776649746192889</v>
      </c>
      <c r="H21">
        <v>197</v>
      </c>
      <c r="I21">
        <v>0.31469648562300317</v>
      </c>
      <c r="J21">
        <v>15.21223296499171</v>
      </c>
      <c r="K21">
        <v>1.8187103555733599</v>
      </c>
      <c r="L21">
        <v>400.84444444476298</v>
      </c>
      <c r="M21">
        <v>2.6447530865670141</v>
      </c>
    </row>
    <row r="22" spans="1:13">
      <c r="A22" t="s">
        <v>15</v>
      </c>
      <c r="B22">
        <v>6</v>
      </c>
      <c r="C22">
        <v>0</v>
      </c>
      <c r="D22">
        <v>1032</v>
      </c>
      <c r="E22">
        <v>676</v>
      </c>
      <c r="F22">
        <v>499</v>
      </c>
      <c r="G22">
        <v>3.9291338582677171</v>
      </c>
      <c r="H22">
        <v>127</v>
      </c>
      <c r="I22">
        <v>0.25450901803607212</v>
      </c>
      <c r="J22">
        <v>13.63757396449707</v>
      </c>
      <c r="K22">
        <v>1.5082534807280199</v>
      </c>
      <c r="L22">
        <v>391.42222222453597</v>
      </c>
      <c r="M22">
        <v>28.333333333333329</v>
      </c>
    </row>
    <row r="23" spans="1:13">
      <c r="A23" t="s">
        <v>15</v>
      </c>
      <c r="B23">
        <v>6</v>
      </c>
      <c r="C23">
        <v>1</v>
      </c>
      <c r="D23">
        <v>1128</v>
      </c>
      <c r="E23">
        <v>732</v>
      </c>
      <c r="F23">
        <v>499</v>
      </c>
      <c r="G23">
        <v>3.1987179487179489</v>
      </c>
      <c r="H23">
        <v>156</v>
      </c>
      <c r="I23">
        <v>0.31262525050100198</v>
      </c>
      <c r="J23">
        <v>14.21763135241298</v>
      </c>
      <c r="K23">
        <v>1.71787224612506</v>
      </c>
      <c r="L23">
        <v>490.62222222255798</v>
      </c>
      <c r="M23">
        <v>21.686111111184651</v>
      </c>
    </row>
    <row r="24" spans="1:13">
      <c r="A24" t="s">
        <v>15</v>
      </c>
      <c r="B24">
        <v>6</v>
      </c>
      <c r="C24">
        <v>2</v>
      </c>
      <c r="D24">
        <v>1203</v>
      </c>
      <c r="E24">
        <v>805</v>
      </c>
      <c r="F24">
        <v>561</v>
      </c>
      <c r="G24">
        <v>3.5506329113924049</v>
      </c>
      <c r="H24">
        <v>158</v>
      </c>
      <c r="I24">
        <v>0.28163992869875221</v>
      </c>
      <c r="J24">
        <v>13.63977574569056</v>
      </c>
      <c r="K24">
        <v>1.59070160568622</v>
      </c>
      <c r="L24">
        <v>455.02222222215602</v>
      </c>
      <c r="M24">
        <v>16.508333333407041</v>
      </c>
    </row>
    <row r="25" spans="1:13">
      <c r="A25" t="s">
        <v>15</v>
      </c>
      <c r="B25">
        <v>6</v>
      </c>
      <c r="C25">
        <v>3</v>
      </c>
      <c r="D25">
        <v>905</v>
      </c>
      <c r="E25">
        <v>577</v>
      </c>
      <c r="F25">
        <v>409</v>
      </c>
      <c r="G25">
        <v>3.651785714285714</v>
      </c>
      <c r="H25">
        <v>112</v>
      </c>
      <c r="I25">
        <v>0.27383863080684601</v>
      </c>
      <c r="J25">
        <v>15.493934142114419</v>
      </c>
      <c r="K25">
        <v>1.7847581029198301</v>
      </c>
      <c r="L25">
        <v>478.62222222505198</v>
      </c>
      <c r="M25">
        <v>37.152777777777779</v>
      </c>
    </row>
    <row r="26" spans="1:13">
      <c r="A26" t="s">
        <v>15</v>
      </c>
      <c r="B26">
        <v>6</v>
      </c>
      <c r="C26">
        <v>4</v>
      </c>
      <c r="D26">
        <v>1171</v>
      </c>
      <c r="E26">
        <v>767</v>
      </c>
      <c r="F26">
        <v>538</v>
      </c>
      <c r="G26">
        <v>3.4487179487179489</v>
      </c>
      <c r="H26">
        <v>156</v>
      </c>
      <c r="I26">
        <v>0.2899628252788104</v>
      </c>
      <c r="J26">
        <v>13.93497042848996</v>
      </c>
      <c r="K26">
        <v>1.64017602409233</v>
      </c>
      <c r="L26">
        <v>464.622222220271</v>
      </c>
      <c r="M26">
        <v>18.701543209950071</v>
      </c>
    </row>
    <row r="27" spans="1:13">
      <c r="A27" t="s">
        <v>15</v>
      </c>
      <c r="B27">
        <v>6</v>
      </c>
      <c r="C27">
        <v>5</v>
      </c>
      <c r="D27">
        <v>915</v>
      </c>
      <c r="E27">
        <v>589</v>
      </c>
      <c r="F27">
        <v>421</v>
      </c>
      <c r="G27">
        <v>3.5083333333333329</v>
      </c>
      <c r="H27">
        <v>120</v>
      </c>
      <c r="I27">
        <v>0.28503562945368172</v>
      </c>
      <c r="J27">
        <v>15.156196943972819</v>
      </c>
      <c r="K27">
        <v>1.70110729714176</v>
      </c>
      <c r="L27">
        <v>418.75555555588898</v>
      </c>
      <c r="M27">
        <v>36.458333333333343</v>
      </c>
    </row>
    <row r="28" spans="1:13">
      <c r="A28" t="s">
        <v>15</v>
      </c>
      <c r="B28">
        <v>6</v>
      </c>
      <c r="C28">
        <v>6</v>
      </c>
      <c r="D28">
        <v>965</v>
      </c>
      <c r="E28">
        <v>624</v>
      </c>
      <c r="F28">
        <v>438</v>
      </c>
      <c r="G28">
        <v>3.619834710743802</v>
      </c>
      <c r="H28">
        <v>121</v>
      </c>
      <c r="I28">
        <v>0.27625570776255709</v>
      </c>
      <c r="J28">
        <v>14.442307692307709</v>
      </c>
      <c r="K28">
        <v>1.6815905645326501</v>
      </c>
      <c r="L28">
        <v>433.59999999812698</v>
      </c>
      <c r="M28">
        <v>32.986111111111107</v>
      </c>
    </row>
    <row r="29" spans="1:13">
      <c r="A29" t="s">
        <v>15</v>
      </c>
      <c r="B29">
        <v>6</v>
      </c>
      <c r="C29">
        <v>7</v>
      </c>
      <c r="D29">
        <v>1166</v>
      </c>
      <c r="E29">
        <v>771</v>
      </c>
      <c r="F29">
        <v>537</v>
      </c>
      <c r="G29">
        <v>3.6780821917808222</v>
      </c>
      <c r="H29">
        <v>146</v>
      </c>
      <c r="I29">
        <v>0.27188081936685288</v>
      </c>
      <c r="J29">
        <v>13.11284046692607</v>
      </c>
      <c r="K29">
        <v>1.52300840573267</v>
      </c>
      <c r="L29">
        <v>426.53333333585499</v>
      </c>
      <c r="M29">
        <v>19.027777777777779</v>
      </c>
    </row>
    <row r="30" spans="1:13">
      <c r="A30" t="s">
        <v>15</v>
      </c>
      <c r="B30">
        <v>6</v>
      </c>
      <c r="C30">
        <v>8</v>
      </c>
      <c r="D30">
        <v>1032</v>
      </c>
      <c r="E30">
        <v>667</v>
      </c>
      <c r="F30">
        <v>458</v>
      </c>
      <c r="G30">
        <v>3.318840579710145</v>
      </c>
      <c r="H30">
        <v>138</v>
      </c>
      <c r="I30">
        <v>0.30131004366812231</v>
      </c>
      <c r="J30">
        <v>14.740629685157471</v>
      </c>
      <c r="K30">
        <v>1.7546289182941299</v>
      </c>
      <c r="L30">
        <v>485.33333333325203</v>
      </c>
      <c r="M30">
        <v>28.333333333333339</v>
      </c>
    </row>
    <row r="31" spans="1:13">
      <c r="A31" t="s">
        <v>15</v>
      </c>
      <c r="B31">
        <v>6</v>
      </c>
      <c r="C31">
        <v>9</v>
      </c>
      <c r="D31">
        <v>1105</v>
      </c>
      <c r="E31">
        <v>719</v>
      </c>
      <c r="F31">
        <v>498</v>
      </c>
      <c r="G31">
        <v>3.4344827586206899</v>
      </c>
      <c r="H31">
        <v>145</v>
      </c>
      <c r="I31">
        <v>0.29116465863453822</v>
      </c>
      <c r="J31">
        <v>13.952712100139079</v>
      </c>
      <c r="K31">
        <v>1.6577488216794301</v>
      </c>
      <c r="L31">
        <v>505.911111111514</v>
      </c>
      <c r="M31">
        <v>23.263888888888889</v>
      </c>
    </row>
    <row r="32" spans="1:13">
      <c r="A32" t="s">
        <v>16</v>
      </c>
      <c r="B32">
        <v>6</v>
      </c>
      <c r="C32">
        <v>0</v>
      </c>
      <c r="D32">
        <v>1122</v>
      </c>
      <c r="E32">
        <v>730</v>
      </c>
      <c r="F32">
        <v>526</v>
      </c>
      <c r="G32">
        <v>3.6527777777777781</v>
      </c>
      <c r="H32">
        <v>144</v>
      </c>
      <c r="I32">
        <v>0.27376425855513309</v>
      </c>
      <c r="J32">
        <v>14.291061643792061</v>
      </c>
      <c r="K32">
        <v>1.61517292046561</v>
      </c>
      <c r="L32">
        <v>435.64444444702002</v>
      </c>
      <c r="M32">
        <v>22.098456790196941</v>
      </c>
    </row>
    <row r="33" spans="1:13">
      <c r="A33" t="s">
        <v>16</v>
      </c>
      <c r="B33">
        <v>6</v>
      </c>
      <c r="C33">
        <v>1</v>
      </c>
      <c r="D33">
        <v>1175</v>
      </c>
      <c r="E33">
        <v>765</v>
      </c>
      <c r="F33">
        <v>520</v>
      </c>
      <c r="G33">
        <v>3.3986928104575158</v>
      </c>
      <c r="H33">
        <v>153</v>
      </c>
      <c r="I33">
        <v>0.29423076923076918</v>
      </c>
      <c r="J33">
        <v>13.933284832285491</v>
      </c>
      <c r="K33">
        <v>1.67512184517622</v>
      </c>
      <c r="L33">
        <v>468.53333333370603</v>
      </c>
      <c r="M33">
        <v>18.416666666740142</v>
      </c>
    </row>
    <row r="34" spans="1:13">
      <c r="A34" t="s">
        <v>16</v>
      </c>
      <c r="B34">
        <v>6</v>
      </c>
      <c r="C34">
        <v>2</v>
      </c>
      <c r="D34">
        <v>1128</v>
      </c>
      <c r="E34">
        <v>756</v>
      </c>
      <c r="F34">
        <v>527</v>
      </c>
      <c r="G34">
        <v>3.560810810810811</v>
      </c>
      <c r="H34">
        <v>148</v>
      </c>
      <c r="I34">
        <v>0.28083491461100568</v>
      </c>
      <c r="J34">
        <v>14.255291005290999</v>
      </c>
      <c r="K34">
        <v>1.6824808508465301</v>
      </c>
      <c r="L34">
        <v>423.77777777979099</v>
      </c>
      <c r="M34">
        <v>21.666666666666661</v>
      </c>
    </row>
    <row r="35" spans="1:13">
      <c r="A35" t="s">
        <v>16</v>
      </c>
      <c r="B35">
        <v>6</v>
      </c>
      <c r="C35">
        <v>3</v>
      </c>
      <c r="D35">
        <v>1082</v>
      </c>
      <c r="E35">
        <v>703</v>
      </c>
      <c r="F35">
        <v>486</v>
      </c>
      <c r="G35">
        <v>3.471428571428572</v>
      </c>
      <c r="H35">
        <v>140</v>
      </c>
      <c r="I35">
        <v>0.2880658436213992</v>
      </c>
      <c r="J35">
        <v>14.431009957325751</v>
      </c>
      <c r="K35">
        <v>1.7209795970247801</v>
      </c>
      <c r="L35">
        <v>413.64444444689002</v>
      </c>
      <c r="M35">
        <v>24.861111111111111</v>
      </c>
    </row>
    <row r="36" spans="1:13">
      <c r="A36" t="s">
        <v>16</v>
      </c>
      <c r="B36">
        <v>6</v>
      </c>
      <c r="C36">
        <v>4</v>
      </c>
      <c r="D36">
        <v>1193</v>
      </c>
      <c r="E36">
        <v>783</v>
      </c>
      <c r="F36">
        <v>545</v>
      </c>
      <c r="G36">
        <v>3.5389610389610389</v>
      </c>
      <c r="H36">
        <v>154</v>
      </c>
      <c r="I36">
        <v>0.28256880733944961</v>
      </c>
      <c r="J36">
        <v>13.75326202637395</v>
      </c>
      <c r="K36">
        <v>1.62858903686672</v>
      </c>
      <c r="L36">
        <v>447.60000000199301</v>
      </c>
      <c r="M36">
        <v>17.196604938345281</v>
      </c>
    </row>
    <row r="37" spans="1:13">
      <c r="A37" t="s">
        <v>16</v>
      </c>
      <c r="B37">
        <v>6</v>
      </c>
      <c r="C37">
        <v>5</v>
      </c>
      <c r="D37">
        <v>1191</v>
      </c>
      <c r="E37">
        <v>767</v>
      </c>
      <c r="F37">
        <v>542</v>
      </c>
      <c r="G37">
        <v>3.5194805194805201</v>
      </c>
      <c r="H37">
        <v>154</v>
      </c>
      <c r="I37">
        <v>0.28413284132841332</v>
      </c>
      <c r="J37">
        <v>13.97720943086949</v>
      </c>
      <c r="K37">
        <v>1.6166816525049299</v>
      </c>
      <c r="L37">
        <v>463.59999999799697</v>
      </c>
      <c r="M37">
        <v>17.341358024765061</v>
      </c>
    </row>
    <row r="38" spans="1:13">
      <c r="A38" t="s">
        <v>16</v>
      </c>
      <c r="B38">
        <v>6</v>
      </c>
      <c r="C38">
        <v>6</v>
      </c>
      <c r="D38">
        <v>1181</v>
      </c>
      <c r="E38">
        <v>762</v>
      </c>
      <c r="F38">
        <v>518</v>
      </c>
      <c r="G38">
        <v>3.5</v>
      </c>
      <c r="H38">
        <v>148</v>
      </c>
      <c r="I38">
        <v>0.2857142857142857</v>
      </c>
      <c r="J38">
        <v>13.950131233595799</v>
      </c>
      <c r="K38">
        <v>1.6542491140467099</v>
      </c>
      <c r="L38">
        <v>523.11111110885099</v>
      </c>
      <c r="M38">
        <v>18.032407407554491</v>
      </c>
    </row>
    <row r="39" spans="1:13">
      <c r="A39" t="s">
        <v>16</v>
      </c>
      <c r="B39">
        <v>6</v>
      </c>
      <c r="C39">
        <v>7</v>
      </c>
      <c r="D39">
        <v>1171</v>
      </c>
      <c r="E39">
        <v>777</v>
      </c>
      <c r="F39">
        <v>538</v>
      </c>
      <c r="G39">
        <v>3.6351351351351351</v>
      </c>
      <c r="H39">
        <v>148</v>
      </c>
      <c r="I39">
        <v>0.27509293680297398</v>
      </c>
      <c r="J39">
        <v>13.447271671459839</v>
      </c>
      <c r="K39">
        <v>1.58947476652107</v>
      </c>
      <c r="L39">
        <v>411.46666666909903</v>
      </c>
      <c r="M39">
        <v>18.74938271612319</v>
      </c>
    </row>
    <row r="40" spans="1:13">
      <c r="A40" t="s">
        <v>16</v>
      </c>
      <c r="B40">
        <v>6</v>
      </c>
      <c r="C40">
        <v>8</v>
      </c>
      <c r="D40">
        <v>1185</v>
      </c>
      <c r="E40">
        <v>779</v>
      </c>
      <c r="F40">
        <v>538</v>
      </c>
      <c r="G40">
        <v>3.4709677419354841</v>
      </c>
      <c r="H40">
        <v>155</v>
      </c>
      <c r="I40">
        <v>0.28810408921933078</v>
      </c>
      <c r="J40">
        <v>13.26199982862015</v>
      </c>
      <c r="K40">
        <v>1.58000961789035</v>
      </c>
      <c r="L40">
        <v>410.71111111106597</v>
      </c>
      <c r="M40">
        <v>17.775000000147209</v>
      </c>
    </row>
    <row r="41" spans="1:13">
      <c r="A41" t="s">
        <v>16</v>
      </c>
      <c r="B41">
        <v>6</v>
      </c>
      <c r="C41">
        <v>9</v>
      </c>
      <c r="D41">
        <v>1094</v>
      </c>
      <c r="E41">
        <v>698</v>
      </c>
      <c r="F41">
        <v>493</v>
      </c>
      <c r="G41">
        <v>3.4475524475524471</v>
      </c>
      <c r="H41">
        <v>143</v>
      </c>
      <c r="I41">
        <v>0.29006085192697773</v>
      </c>
      <c r="J41">
        <v>14.46991404011461</v>
      </c>
      <c r="K41">
        <v>1.66451813664993</v>
      </c>
      <c r="L41">
        <v>426.44444444260199</v>
      </c>
      <c r="M41">
        <v>24.027777777777779</v>
      </c>
    </row>
    <row r="42" spans="1:13">
      <c r="A42" t="s">
        <v>17</v>
      </c>
      <c r="B42">
        <v>6</v>
      </c>
      <c r="C42">
        <v>0</v>
      </c>
      <c r="D42">
        <v>1202</v>
      </c>
      <c r="E42">
        <v>779</v>
      </c>
      <c r="F42">
        <v>561</v>
      </c>
      <c r="G42">
        <v>3.666666666666667</v>
      </c>
      <c r="H42">
        <v>153</v>
      </c>
      <c r="I42">
        <v>0.27272727272727271</v>
      </c>
      <c r="J42">
        <v>13.97689345314506</v>
      </c>
      <c r="K42">
        <v>1.57649877255825</v>
      </c>
      <c r="L42">
        <v>460.93333333605801</v>
      </c>
      <c r="M42">
        <v>16.578703703850831</v>
      </c>
    </row>
    <row r="43" spans="1:13">
      <c r="A43" t="s">
        <v>17</v>
      </c>
      <c r="B43">
        <v>6</v>
      </c>
      <c r="C43">
        <v>1</v>
      </c>
      <c r="D43">
        <v>1207</v>
      </c>
      <c r="E43">
        <v>786</v>
      </c>
      <c r="F43">
        <v>535</v>
      </c>
      <c r="G43">
        <v>3.4967320261437909</v>
      </c>
      <c r="H43">
        <v>153</v>
      </c>
      <c r="I43">
        <v>0.28598130841121489</v>
      </c>
      <c r="J43">
        <v>13.4491094147584</v>
      </c>
      <c r="K43">
        <v>1.6032622107146399</v>
      </c>
      <c r="L43">
        <v>490.04444444734099</v>
      </c>
      <c r="M43">
        <v>16.215123456863751</v>
      </c>
    </row>
    <row r="44" spans="1:13">
      <c r="A44" t="s">
        <v>17</v>
      </c>
      <c r="B44">
        <v>6</v>
      </c>
      <c r="C44">
        <v>2</v>
      </c>
      <c r="D44">
        <v>1121</v>
      </c>
      <c r="E44">
        <v>751</v>
      </c>
      <c r="F44">
        <v>526</v>
      </c>
      <c r="G44">
        <v>3.6783216783216779</v>
      </c>
      <c r="H44">
        <v>143</v>
      </c>
      <c r="I44">
        <v>0.27186311787072243</v>
      </c>
      <c r="J44">
        <v>13.8375499334221</v>
      </c>
      <c r="K44">
        <v>1.6086763535451201</v>
      </c>
      <c r="L44">
        <v>433.82222222034801</v>
      </c>
      <c r="M44">
        <v>22.152777777777779</v>
      </c>
    </row>
    <row r="45" spans="1:13">
      <c r="A45" t="s">
        <v>17</v>
      </c>
      <c r="B45">
        <v>6</v>
      </c>
      <c r="C45">
        <v>3</v>
      </c>
      <c r="D45">
        <v>1161</v>
      </c>
      <c r="E45">
        <v>750</v>
      </c>
      <c r="F45">
        <v>518</v>
      </c>
      <c r="G45">
        <v>3.4533333333333331</v>
      </c>
      <c r="H45">
        <v>150</v>
      </c>
      <c r="I45">
        <v>0.28957528957528961</v>
      </c>
      <c r="J45">
        <v>14.206666666666671</v>
      </c>
      <c r="K45">
        <v>1.6795974778028</v>
      </c>
      <c r="L45">
        <v>477.06666666460598</v>
      </c>
      <c r="M45">
        <v>19.449691358172011</v>
      </c>
    </row>
    <row r="46" spans="1:13">
      <c r="A46" t="s">
        <v>17</v>
      </c>
      <c r="B46">
        <v>6</v>
      </c>
      <c r="C46">
        <v>4</v>
      </c>
      <c r="D46">
        <v>1196</v>
      </c>
      <c r="E46">
        <v>774</v>
      </c>
      <c r="F46">
        <v>542</v>
      </c>
      <c r="G46">
        <v>3.8439716312056742</v>
      </c>
      <c r="H46">
        <v>141</v>
      </c>
      <c r="I46">
        <v>0.26014760147601468</v>
      </c>
      <c r="J46">
        <v>13.607585055965631</v>
      </c>
      <c r="K46">
        <v>1.55703688848036</v>
      </c>
      <c r="L46">
        <v>456.75555555591899</v>
      </c>
      <c r="M46">
        <v>16.966049382789581</v>
      </c>
    </row>
    <row r="47" spans="1:13">
      <c r="A47" t="s">
        <v>17</v>
      </c>
      <c r="B47">
        <v>6</v>
      </c>
      <c r="C47">
        <v>5</v>
      </c>
      <c r="D47">
        <v>1251</v>
      </c>
      <c r="E47">
        <v>812</v>
      </c>
      <c r="F47">
        <v>572</v>
      </c>
      <c r="G47">
        <v>3.6202531645569618</v>
      </c>
      <c r="H47">
        <v>158</v>
      </c>
      <c r="I47">
        <v>0.2762237762237762</v>
      </c>
      <c r="J47">
        <v>13.487743269358379</v>
      </c>
      <c r="K47">
        <v>1.55550667498999</v>
      </c>
      <c r="L47">
        <v>422.93333333150599</v>
      </c>
      <c r="M47">
        <v>13.159567901381591</v>
      </c>
    </row>
    <row r="48" spans="1:13">
      <c r="A48" t="s">
        <v>17</v>
      </c>
      <c r="B48">
        <v>6</v>
      </c>
      <c r="C48">
        <v>6</v>
      </c>
      <c r="D48">
        <v>1232</v>
      </c>
      <c r="E48">
        <v>795</v>
      </c>
      <c r="F48">
        <v>547</v>
      </c>
      <c r="G48">
        <v>3.6711409395973149</v>
      </c>
      <c r="H48">
        <v>149</v>
      </c>
      <c r="I48">
        <v>0.27239488117001831</v>
      </c>
      <c r="J48">
        <v>12.97987421383648</v>
      </c>
      <c r="K48">
        <v>1.5276205346171701</v>
      </c>
      <c r="L48">
        <v>511.95555555858198</v>
      </c>
      <c r="M48">
        <v>14.488271605085339</v>
      </c>
    </row>
    <row r="49" spans="1:13">
      <c r="A49" t="s">
        <v>17</v>
      </c>
      <c r="B49">
        <v>6</v>
      </c>
      <c r="C49">
        <v>7</v>
      </c>
      <c r="D49">
        <v>1203</v>
      </c>
      <c r="E49">
        <v>786</v>
      </c>
      <c r="F49">
        <v>546</v>
      </c>
      <c r="G49">
        <v>3.6644295302013421</v>
      </c>
      <c r="H49">
        <v>149</v>
      </c>
      <c r="I49">
        <v>0.27289377289377292</v>
      </c>
      <c r="J49">
        <v>13.26523006783397</v>
      </c>
      <c r="K49">
        <v>1.5544291172332501</v>
      </c>
      <c r="L49">
        <v>430.57777777785998</v>
      </c>
      <c r="M49">
        <v>16.522530864271321</v>
      </c>
    </row>
    <row r="50" spans="1:13">
      <c r="A50" t="s">
        <v>17</v>
      </c>
      <c r="B50">
        <v>6</v>
      </c>
      <c r="C50">
        <v>8</v>
      </c>
      <c r="D50">
        <v>1219</v>
      </c>
      <c r="E50">
        <v>810</v>
      </c>
      <c r="F50">
        <v>557</v>
      </c>
      <c r="G50">
        <v>3.5253164556962031</v>
      </c>
      <c r="H50">
        <v>158</v>
      </c>
      <c r="I50">
        <v>0.28366247755834828</v>
      </c>
      <c r="J50">
        <v>13.326434846987899</v>
      </c>
      <c r="K50">
        <v>1.59903650039422</v>
      </c>
      <c r="L50">
        <v>395.68888889122798</v>
      </c>
      <c r="M50">
        <v>15.42592592607321</v>
      </c>
    </row>
    <row r="51" spans="1:13">
      <c r="A51" t="s">
        <v>17</v>
      </c>
      <c r="B51">
        <v>6</v>
      </c>
      <c r="C51">
        <v>9</v>
      </c>
      <c r="D51">
        <v>1185</v>
      </c>
      <c r="E51">
        <v>765</v>
      </c>
      <c r="F51">
        <v>532</v>
      </c>
      <c r="G51">
        <v>3.5466666666666669</v>
      </c>
      <c r="H51">
        <v>150</v>
      </c>
      <c r="I51">
        <v>0.28195488721804512</v>
      </c>
      <c r="J51">
        <v>13.759477124183009</v>
      </c>
      <c r="K51">
        <v>1.6111794430162001</v>
      </c>
      <c r="L51">
        <v>440.80000000035102</v>
      </c>
      <c r="M51">
        <v>17.80586419767825</v>
      </c>
    </row>
    <row r="52" spans="1:13">
      <c r="A52" t="s">
        <v>18</v>
      </c>
      <c r="B52">
        <v>6</v>
      </c>
      <c r="C52">
        <v>0</v>
      </c>
      <c r="D52">
        <v>1199</v>
      </c>
      <c r="E52">
        <v>774</v>
      </c>
      <c r="F52">
        <v>557</v>
      </c>
      <c r="G52">
        <v>3.5935483870967739</v>
      </c>
      <c r="H52">
        <v>155</v>
      </c>
      <c r="I52">
        <v>0.27827648114901249</v>
      </c>
      <c r="J52">
        <v>13.968299847241861</v>
      </c>
      <c r="K52">
        <v>1.59147199605296</v>
      </c>
      <c r="L52">
        <v>446.08888888729598</v>
      </c>
      <c r="M52">
        <v>16.786419753160139</v>
      </c>
    </row>
    <row r="53" spans="1:13">
      <c r="A53" t="s">
        <v>18</v>
      </c>
      <c r="B53">
        <v>6</v>
      </c>
      <c r="C53">
        <v>1</v>
      </c>
      <c r="D53">
        <v>1223</v>
      </c>
      <c r="E53">
        <v>789</v>
      </c>
      <c r="F53">
        <v>538</v>
      </c>
      <c r="G53">
        <v>3.5394736842105261</v>
      </c>
      <c r="H53">
        <v>152</v>
      </c>
      <c r="I53">
        <v>0.28252788104089221</v>
      </c>
      <c r="J53">
        <v>13.515341149113819</v>
      </c>
      <c r="K53">
        <v>1.61734674010241</v>
      </c>
      <c r="L53">
        <v>441.866666666794</v>
      </c>
      <c r="M53">
        <v>15.06975308649317</v>
      </c>
    </row>
    <row r="54" spans="1:13">
      <c r="A54" t="s">
        <v>18</v>
      </c>
      <c r="B54">
        <v>6</v>
      </c>
      <c r="C54">
        <v>2</v>
      </c>
      <c r="D54">
        <v>1288</v>
      </c>
      <c r="E54">
        <v>865</v>
      </c>
      <c r="F54">
        <v>598</v>
      </c>
      <c r="G54">
        <v>3.6687116564417179</v>
      </c>
      <c r="H54">
        <v>163</v>
      </c>
      <c r="I54">
        <v>0.27257525083612039</v>
      </c>
      <c r="J54">
        <v>12.97567541297353</v>
      </c>
      <c r="K54">
        <v>1.5436273633256301</v>
      </c>
      <c r="L54">
        <v>404.71111111106899</v>
      </c>
      <c r="M54">
        <v>10.603395061802081</v>
      </c>
    </row>
    <row r="55" spans="1:13">
      <c r="A55" t="s">
        <v>18</v>
      </c>
      <c r="B55">
        <v>6</v>
      </c>
      <c r="C55">
        <v>3</v>
      </c>
      <c r="D55">
        <v>1280</v>
      </c>
      <c r="E55">
        <v>834</v>
      </c>
      <c r="F55">
        <v>574</v>
      </c>
      <c r="G55">
        <v>3.6329113924050631</v>
      </c>
      <c r="H55">
        <v>158</v>
      </c>
      <c r="I55">
        <v>0.27526132404181192</v>
      </c>
      <c r="J55">
        <v>12.947246651751559</v>
      </c>
      <c r="K55">
        <v>1.5388528783987401</v>
      </c>
      <c r="L55">
        <v>435.51111111145798</v>
      </c>
      <c r="M55">
        <v>11.127160493974079</v>
      </c>
    </row>
    <row r="56" spans="1:13">
      <c r="A56" t="s">
        <v>18</v>
      </c>
      <c r="B56">
        <v>6</v>
      </c>
      <c r="C56">
        <v>4</v>
      </c>
      <c r="D56">
        <v>1262</v>
      </c>
      <c r="E56">
        <v>820</v>
      </c>
      <c r="F56">
        <v>577</v>
      </c>
      <c r="G56">
        <v>3.5838509316770191</v>
      </c>
      <c r="H56">
        <v>161</v>
      </c>
      <c r="I56">
        <v>0.27902946273830148</v>
      </c>
      <c r="J56">
        <v>14.00504368973902</v>
      </c>
      <c r="K56">
        <v>1.60959935433864</v>
      </c>
      <c r="L56">
        <v>433.46666666661099</v>
      </c>
      <c r="M56">
        <v>12.37037037044384</v>
      </c>
    </row>
    <row r="57" spans="1:13">
      <c r="A57" t="s">
        <v>18</v>
      </c>
      <c r="B57">
        <v>6</v>
      </c>
      <c r="C57">
        <v>5</v>
      </c>
      <c r="D57">
        <v>1253</v>
      </c>
      <c r="E57">
        <v>815</v>
      </c>
      <c r="F57">
        <v>575</v>
      </c>
      <c r="G57">
        <v>3.6163522012578611</v>
      </c>
      <c r="H57">
        <v>159</v>
      </c>
      <c r="I57">
        <v>0.27652173913043482</v>
      </c>
      <c r="J57">
        <v>14.203275728034111</v>
      </c>
      <c r="K57">
        <v>1.62027235449494</v>
      </c>
      <c r="L57">
        <v>441.73333333594502</v>
      </c>
      <c r="M57">
        <v>13.02901234575271</v>
      </c>
    </row>
    <row r="58" spans="1:13">
      <c r="A58" t="s">
        <v>18</v>
      </c>
      <c r="B58">
        <v>6</v>
      </c>
      <c r="C58">
        <v>6</v>
      </c>
      <c r="D58">
        <v>1181</v>
      </c>
      <c r="E58">
        <v>764</v>
      </c>
      <c r="F58">
        <v>523</v>
      </c>
      <c r="G58">
        <v>3.4866666666666668</v>
      </c>
      <c r="H58">
        <v>150</v>
      </c>
      <c r="I58">
        <v>0.28680688336520083</v>
      </c>
      <c r="J58">
        <v>13.84162849038063</v>
      </c>
      <c r="K58">
        <v>1.64293399853552</v>
      </c>
      <c r="L58">
        <v>474.53333333613898</v>
      </c>
      <c r="M58">
        <v>18.00956790130812</v>
      </c>
    </row>
    <row r="59" spans="1:13">
      <c r="A59" t="s">
        <v>18</v>
      </c>
      <c r="B59">
        <v>6</v>
      </c>
      <c r="C59">
        <v>7</v>
      </c>
      <c r="D59">
        <v>1268</v>
      </c>
      <c r="E59">
        <v>836</v>
      </c>
      <c r="F59">
        <v>579</v>
      </c>
      <c r="G59">
        <v>3.7354838709677418</v>
      </c>
      <c r="H59">
        <v>155</v>
      </c>
      <c r="I59">
        <v>0.26770293609671852</v>
      </c>
      <c r="J59">
        <v>13.052007206556221</v>
      </c>
      <c r="K59">
        <v>1.5367028034816099</v>
      </c>
      <c r="L59">
        <v>394.62222222218497</v>
      </c>
      <c r="M59">
        <v>11.993209876690321</v>
      </c>
    </row>
    <row r="60" spans="1:13">
      <c r="A60" t="s">
        <v>18</v>
      </c>
      <c r="B60">
        <v>6</v>
      </c>
      <c r="C60">
        <v>8</v>
      </c>
      <c r="D60">
        <v>1197</v>
      </c>
      <c r="E60">
        <v>794</v>
      </c>
      <c r="F60">
        <v>553</v>
      </c>
      <c r="G60">
        <v>3.5909090909090908</v>
      </c>
      <c r="H60">
        <v>154</v>
      </c>
      <c r="I60">
        <v>0.27848101265822778</v>
      </c>
      <c r="J60">
        <v>13.46096767418325</v>
      </c>
      <c r="K60">
        <v>1.56800951907397</v>
      </c>
      <c r="L60">
        <v>435.15555555367598</v>
      </c>
      <c r="M60">
        <v>16.93580246920958</v>
      </c>
    </row>
    <row r="61" spans="1:13">
      <c r="A61" t="s">
        <v>18</v>
      </c>
      <c r="B61">
        <v>6</v>
      </c>
      <c r="C61">
        <v>9</v>
      </c>
      <c r="D61">
        <v>1204</v>
      </c>
      <c r="E61">
        <v>778</v>
      </c>
      <c r="F61">
        <v>542</v>
      </c>
      <c r="G61">
        <v>3.5424836601307188</v>
      </c>
      <c r="H61">
        <v>153</v>
      </c>
      <c r="I61">
        <v>0.28228782287822879</v>
      </c>
      <c r="J61">
        <v>13.95639460150154</v>
      </c>
      <c r="K61">
        <v>1.6221719159375501</v>
      </c>
      <c r="L61">
        <v>474.75555555593297</v>
      </c>
      <c r="M61">
        <v>16.40185185199875</v>
      </c>
    </row>
    <row r="62" spans="1:13">
      <c r="A62" t="s">
        <v>19</v>
      </c>
      <c r="B62">
        <v>6</v>
      </c>
      <c r="C62">
        <v>0</v>
      </c>
      <c r="D62">
        <v>1234</v>
      </c>
      <c r="E62">
        <v>805</v>
      </c>
      <c r="F62">
        <v>579</v>
      </c>
      <c r="G62">
        <v>3.7115384615384621</v>
      </c>
      <c r="H62">
        <v>156</v>
      </c>
      <c r="I62">
        <v>0.26943005181347152</v>
      </c>
      <c r="J62">
        <v>13.68092592588758</v>
      </c>
      <c r="K62">
        <v>1.5537358006409601</v>
      </c>
      <c r="L62">
        <v>438.97777777747001</v>
      </c>
      <c r="M62">
        <v>14.36234567908609</v>
      </c>
    </row>
    <row r="63" spans="1:13">
      <c r="A63" t="s">
        <v>19</v>
      </c>
      <c r="B63">
        <v>6</v>
      </c>
      <c r="C63">
        <v>1</v>
      </c>
      <c r="D63">
        <v>1262</v>
      </c>
      <c r="E63">
        <v>824</v>
      </c>
      <c r="F63">
        <v>565</v>
      </c>
      <c r="G63">
        <v>3.53125</v>
      </c>
      <c r="H63">
        <v>160</v>
      </c>
      <c r="I63">
        <v>0.2831858407079646</v>
      </c>
      <c r="J63">
        <v>13.383280964361409</v>
      </c>
      <c r="K63">
        <v>1.57584947505231</v>
      </c>
      <c r="L63">
        <v>435.15555555812801</v>
      </c>
      <c r="M63">
        <v>12.424691358171881</v>
      </c>
    </row>
    <row r="64" spans="1:13">
      <c r="A64" t="s">
        <v>19</v>
      </c>
      <c r="B64">
        <v>6</v>
      </c>
      <c r="C64">
        <v>2</v>
      </c>
      <c r="D64">
        <v>1245</v>
      </c>
      <c r="E64">
        <v>834</v>
      </c>
      <c r="F64">
        <v>573</v>
      </c>
      <c r="G64">
        <v>3.6967741935483871</v>
      </c>
      <c r="H64">
        <v>155</v>
      </c>
      <c r="I64">
        <v>0.27050610820244331</v>
      </c>
      <c r="J64">
        <v>13.72126798559245</v>
      </c>
      <c r="K64">
        <v>1.6091722037810099</v>
      </c>
      <c r="L64">
        <v>441.60000000261101</v>
      </c>
      <c r="M64">
        <v>13.583333333480409</v>
      </c>
    </row>
    <row r="65" spans="1:13">
      <c r="A65" t="s">
        <v>19</v>
      </c>
      <c r="B65">
        <v>6</v>
      </c>
      <c r="C65">
        <v>3</v>
      </c>
      <c r="D65">
        <v>1215</v>
      </c>
      <c r="E65">
        <v>784</v>
      </c>
      <c r="F65">
        <v>549</v>
      </c>
      <c r="G65">
        <v>3.7602739726027399</v>
      </c>
      <c r="H65">
        <v>146</v>
      </c>
      <c r="I65">
        <v>0.26593806921675772</v>
      </c>
      <c r="J65">
        <v>13.28316326530612</v>
      </c>
      <c r="K65">
        <v>1.53376836998662</v>
      </c>
      <c r="L65">
        <v>459.37777778049298</v>
      </c>
      <c r="M65">
        <v>15.64320987661673</v>
      </c>
    </row>
    <row r="66" spans="1:13">
      <c r="A66" t="s">
        <v>19</v>
      </c>
      <c r="B66">
        <v>6</v>
      </c>
      <c r="C66">
        <v>4</v>
      </c>
      <c r="D66">
        <v>1240</v>
      </c>
      <c r="E66">
        <v>807</v>
      </c>
      <c r="F66">
        <v>569</v>
      </c>
      <c r="G66">
        <v>3.4907975460122702</v>
      </c>
      <c r="H66">
        <v>163</v>
      </c>
      <c r="I66">
        <v>0.28646748681898071</v>
      </c>
      <c r="J66">
        <v>14.195786864931851</v>
      </c>
      <c r="K66">
        <v>1.63422792520143</v>
      </c>
      <c r="L66">
        <v>376.80000000222799</v>
      </c>
      <c r="M66">
        <v>13.91944444451803</v>
      </c>
    </row>
    <row r="67" spans="1:13">
      <c r="A67" t="s">
        <v>19</v>
      </c>
      <c r="B67">
        <v>6</v>
      </c>
      <c r="C67">
        <v>5</v>
      </c>
      <c r="D67">
        <v>1261</v>
      </c>
      <c r="E67">
        <v>810</v>
      </c>
      <c r="F67">
        <v>561</v>
      </c>
      <c r="G67">
        <v>3.842465753424658</v>
      </c>
      <c r="H67">
        <v>146</v>
      </c>
      <c r="I67">
        <v>0.26024955436720137</v>
      </c>
      <c r="J67">
        <v>13.265270156954809</v>
      </c>
      <c r="K67">
        <v>1.54468090485811</v>
      </c>
      <c r="L67">
        <v>480.44444444444201</v>
      </c>
      <c r="M67">
        <v>12.467283950690909</v>
      </c>
    </row>
    <row r="68" spans="1:13">
      <c r="A68" t="s">
        <v>19</v>
      </c>
      <c r="B68">
        <v>6</v>
      </c>
      <c r="C68">
        <v>6</v>
      </c>
      <c r="D68">
        <v>1165</v>
      </c>
      <c r="E68">
        <v>760</v>
      </c>
      <c r="F68">
        <v>524</v>
      </c>
      <c r="G68">
        <v>3.358974358974359</v>
      </c>
      <c r="H68">
        <v>156</v>
      </c>
      <c r="I68">
        <v>0.29770992366412208</v>
      </c>
      <c r="J68">
        <v>14.63658442980368</v>
      </c>
      <c r="K68">
        <v>1.7158518785949699</v>
      </c>
      <c r="L68">
        <v>459.15555555827001</v>
      </c>
      <c r="M68">
        <v>19.12839506187542</v>
      </c>
    </row>
    <row r="69" spans="1:13">
      <c r="A69" t="s">
        <v>19</v>
      </c>
      <c r="B69">
        <v>6</v>
      </c>
      <c r="C69">
        <v>7</v>
      </c>
      <c r="D69">
        <v>1301</v>
      </c>
      <c r="E69">
        <v>853</v>
      </c>
      <c r="F69">
        <v>601</v>
      </c>
      <c r="G69">
        <v>3.8525641025641031</v>
      </c>
      <c r="H69">
        <v>156</v>
      </c>
      <c r="I69">
        <v>0.25956738768718801</v>
      </c>
      <c r="J69">
        <v>12.72082867020797</v>
      </c>
      <c r="K69">
        <v>1.4730979669009501</v>
      </c>
      <c r="L69">
        <v>399.46666666902797</v>
      </c>
      <c r="M69">
        <v>9.716358024765146</v>
      </c>
    </row>
    <row r="70" spans="1:13">
      <c r="A70" t="s">
        <v>19</v>
      </c>
      <c r="B70">
        <v>6</v>
      </c>
      <c r="C70">
        <v>8</v>
      </c>
      <c r="D70">
        <v>1227</v>
      </c>
      <c r="E70">
        <v>814</v>
      </c>
      <c r="F70">
        <v>558</v>
      </c>
      <c r="G70">
        <v>3.5316455696202529</v>
      </c>
      <c r="H70">
        <v>158</v>
      </c>
      <c r="I70">
        <v>0.28315412186379929</v>
      </c>
      <c r="J70">
        <v>13.502486582223341</v>
      </c>
      <c r="K70">
        <v>1.6000123486851201</v>
      </c>
      <c r="L70">
        <v>413.77777778022403</v>
      </c>
      <c r="M70">
        <v>14.840123456937221</v>
      </c>
    </row>
    <row r="71" spans="1:13">
      <c r="A71" t="s">
        <v>19</v>
      </c>
      <c r="B71">
        <v>6</v>
      </c>
      <c r="C71">
        <v>9</v>
      </c>
      <c r="D71">
        <v>1264</v>
      </c>
      <c r="E71">
        <v>810</v>
      </c>
      <c r="F71">
        <v>562</v>
      </c>
      <c r="G71">
        <v>3.7972972972972969</v>
      </c>
      <c r="H71">
        <v>148</v>
      </c>
      <c r="I71">
        <v>0.26334519572953741</v>
      </c>
      <c r="J71">
        <v>13.044444444444441</v>
      </c>
      <c r="K71">
        <v>1.52779353183217</v>
      </c>
      <c r="L71">
        <v>483.82222222013201</v>
      </c>
      <c r="M71">
        <v>12.29043209883924</v>
      </c>
    </row>
    <row r="72" spans="1:13">
      <c r="A72" t="s">
        <v>20</v>
      </c>
      <c r="B72">
        <v>6</v>
      </c>
      <c r="C72">
        <v>0</v>
      </c>
      <c r="D72">
        <v>1264</v>
      </c>
      <c r="E72">
        <v>825</v>
      </c>
      <c r="F72">
        <v>591</v>
      </c>
      <c r="G72">
        <v>3.7884615384615379</v>
      </c>
      <c r="H72">
        <v>156</v>
      </c>
      <c r="I72">
        <v>0.26395939086294418</v>
      </c>
      <c r="J72">
        <v>13.5406735175577</v>
      </c>
      <c r="K72">
        <v>1.5036747241435799</v>
      </c>
      <c r="L72">
        <v>424.71111111105898</v>
      </c>
      <c r="M72">
        <v>12.289506172913329</v>
      </c>
    </row>
    <row r="73" spans="1:13">
      <c r="A73" t="s">
        <v>20</v>
      </c>
      <c r="B73">
        <v>6</v>
      </c>
      <c r="C73">
        <v>1</v>
      </c>
      <c r="D73">
        <v>1248</v>
      </c>
      <c r="E73">
        <v>807</v>
      </c>
      <c r="F73">
        <v>552</v>
      </c>
      <c r="G73">
        <v>3.4716981132075468</v>
      </c>
      <c r="H73">
        <v>159</v>
      </c>
      <c r="I73">
        <v>0.28804347826086962</v>
      </c>
      <c r="J73">
        <v>14.211482518869021</v>
      </c>
      <c r="K73">
        <v>1.6678532715832</v>
      </c>
      <c r="L73">
        <v>468.57777777780001</v>
      </c>
      <c r="M73">
        <v>13.35462962977657</v>
      </c>
    </row>
    <row r="74" spans="1:13">
      <c r="A74" t="s">
        <v>20</v>
      </c>
      <c r="B74">
        <v>6</v>
      </c>
      <c r="C74">
        <v>2</v>
      </c>
      <c r="D74">
        <v>1243</v>
      </c>
      <c r="E74">
        <v>834</v>
      </c>
      <c r="F74">
        <v>578</v>
      </c>
      <c r="G74">
        <v>3.7777777777777781</v>
      </c>
      <c r="H74">
        <v>153</v>
      </c>
      <c r="I74">
        <v>0.26470588235294118</v>
      </c>
      <c r="J74">
        <v>13.263771755741489</v>
      </c>
      <c r="K74">
        <v>1.5522681733064001</v>
      </c>
      <c r="L74">
        <v>411.64444444687803</v>
      </c>
      <c r="M74">
        <v>13.739814814888581</v>
      </c>
    </row>
    <row r="75" spans="1:13">
      <c r="A75" t="s">
        <v>20</v>
      </c>
      <c r="B75">
        <v>6</v>
      </c>
      <c r="C75">
        <v>3</v>
      </c>
      <c r="D75">
        <v>1221</v>
      </c>
      <c r="E75">
        <v>802</v>
      </c>
      <c r="F75">
        <v>550</v>
      </c>
      <c r="G75">
        <v>3.6184210526315792</v>
      </c>
      <c r="H75">
        <v>152</v>
      </c>
      <c r="I75">
        <v>0.27636363636363642</v>
      </c>
      <c r="J75">
        <v>13.558603491271819</v>
      </c>
      <c r="K75">
        <v>1.6196207085219601</v>
      </c>
      <c r="L75">
        <v>428.66666666481501</v>
      </c>
      <c r="M75">
        <v>15.31851851866597</v>
      </c>
    </row>
    <row r="76" spans="1:13">
      <c r="A76" t="s">
        <v>20</v>
      </c>
      <c r="B76">
        <v>6</v>
      </c>
      <c r="C76">
        <v>4</v>
      </c>
      <c r="D76">
        <v>1261</v>
      </c>
      <c r="E76">
        <v>831</v>
      </c>
      <c r="F76">
        <v>587</v>
      </c>
      <c r="G76">
        <v>3.7151898734177209</v>
      </c>
      <c r="H76">
        <v>158</v>
      </c>
      <c r="I76">
        <v>0.26916524701873928</v>
      </c>
      <c r="J76">
        <v>13.46669512129928</v>
      </c>
      <c r="K76">
        <v>1.5470754735711101</v>
      </c>
      <c r="L76">
        <v>460.62222222494501</v>
      </c>
      <c r="M76">
        <v>12.458333333480351</v>
      </c>
    </row>
    <row r="77" spans="1:13">
      <c r="A77" t="s">
        <v>20</v>
      </c>
      <c r="B77">
        <v>6</v>
      </c>
      <c r="C77">
        <v>5</v>
      </c>
      <c r="D77">
        <v>1239</v>
      </c>
      <c r="E77">
        <v>797</v>
      </c>
      <c r="F77">
        <v>560</v>
      </c>
      <c r="G77">
        <v>3.5443037974683538</v>
      </c>
      <c r="H77">
        <v>158</v>
      </c>
      <c r="I77">
        <v>0.28214285714285708</v>
      </c>
      <c r="J77">
        <v>14.090338770388961</v>
      </c>
      <c r="K77">
        <v>1.6227644469042499</v>
      </c>
      <c r="L77">
        <v>451.91111111147097</v>
      </c>
      <c r="M77">
        <v>14.00864197545576</v>
      </c>
    </row>
    <row r="78" spans="1:13">
      <c r="A78" t="s">
        <v>20</v>
      </c>
      <c r="B78">
        <v>6</v>
      </c>
      <c r="C78">
        <v>6</v>
      </c>
      <c r="D78">
        <v>1235</v>
      </c>
      <c r="E78">
        <v>805</v>
      </c>
      <c r="F78">
        <v>555</v>
      </c>
      <c r="G78">
        <v>3.6274509803921569</v>
      </c>
      <c r="H78">
        <v>153</v>
      </c>
      <c r="I78">
        <v>0.27567567567567569</v>
      </c>
      <c r="J78">
        <v>13.65595967045838</v>
      </c>
      <c r="K78">
        <v>1.6102961377981599</v>
      </c>
      <c r="L78">
        <v>476.48888889170598</v>
      </c>
      <c r="M78">
        <v>14.36388888896265</v>
      </c>
    </row>
    <row r="79" spans="1:13">
      <c r="A79" t="s">
        <v>20</v>
      </c>
      <c r="B79">
        <v>6</v>
      </c>
      <c r="C79">
        <v>7</v>
      </c>
      <c r="D79">
        <v>1236</v>
      </c>
      <c r="E79">
        <v>817</v>
      </c>
      <c r="F79">
        <v>575</v>
      </c>
      <c r="G79">
        <v>3.7581699346405228</v>
      </c>
      <c r="H79">
        <v>153</v>
      </c>
      <c r="I79">
        <v>0.26608695652173908</v>
      </c>
      <c r="J79">
        <v>13.29423818413856</v>
      </c>
      <c r="K79">
        <v>1.5173733485854799</v>
      </c>
      <c r="L79">
        <v>416.17777777598002</v>
      </c>
      <c r="M79">
        <v>14.22561728402437</v>
      </c>
    </row>
    <row r="80" spans="1:13">
      <c r="A80" t="s">
        <v>20</v>
      </c>
      <c r="B80">
        <v>6</v>
      </c>
      <c r="C80">
        <v>8</v>
      </c>
      <c r="D80">
        <v>1216</v>
      </c>
      <c r="E80">
        <v>804</v>
      </c>
      <c r="F80">
        <v>556</v>
      </c>
      <c r="G80">
        <v>3.54140127388535</v>
      </c>
      <c r="H80">
        <v>157</v>
      </c>
      <c r="I80">
        <v>0.28237410071942448</v>
      </c>
      <c r="J80">
        <v>13.78732265080896</v>
      </c>
      <c r="K80">
        <v>1.62364481497026</v>
      </c>
      <c r="L80">
        <v>415.73333333579097</v>
      </c>
      <c r="M80">
        <v>15.565740740814229</v>
      </c>
    </row>
    <row r="81" spans="1:13">
      <c r="A81" t="s">
        <v>20</v>
      </c>
      <c r="B81">
        <v>6</v>
      </c>
      <c r="C81">
        <v>9</v>
      </c>
      <c r="D81">
        <v>1226</v>
      </c>
      <c r="E81">
        <v>791</v>
      </c>
      <c r="F81">
        <v>552</v>
      </c>
      <c r="G81">
        <v>3.5844155844155838</v>
      </c>
      <c r="H81">
        <v>154</v>
      </c>
      <c r="I81">
        <v>0.27898550724637677</v>
      </c>
      <c r="J81">
        <v>13.740244416330601</v>
      </c>
      <c r="K81">
        <v>1.5960332561510999</v>
      </c>
      <c r="L81">
        <v>467.59999999797998</v>
      </c>
      <c r="M81">
        <v>14.964197531011649</v>
      </c>
    </row>
    <row r="82" spans="1:13">
      <c r="A82" t="s">
        <v>21</v>
      </c>
      <c r="B82">
        <v>6</v>
      </c>
      <c r="C82">
        <v>0</v>
      </c>
      <c r="D82">
        <v>1265</v>
      </c>
      <c r="E82">
        <v>824</v>
      </c>
      <c r="F82">
        <v>597</v>
      </c>
      <c r="G82">
        <v>3.778481012658228</v>
      </c>
      <c r="H82">
        <v>158</v>
      </c>
      <c r="I82">
        <v>0.26465661641541038</v>
      </c>
      <c r="J82">
        <v>13.887843467186769</v>
      </c>
      <c r="K82">
        <v>1.53751671768336</v>
      </c>
      <c r="L82">
        <v>436.62222222204201</v>
      </c>
      <c r="M82">
        <v>12.188271605085299</v>
      </c>
    </row>
    <row r="83" spans="1:13">
      <c r="A83" t="s">
        <v>21</v>
      </c>
      <c r="B83">
        <v>6</v>
      </c>
      <c r="C83">
        <v>1</v>
      </c>
      <c r="D83">
        <v>1212</v>
      </c>
      <c r="E83">
        <v>788</v>
      </c>
      <c r="F83">
        <v>533</v>
      </c>
      <c r="G83">
        <v>3.5065789473684208</v>
      </c>
      <c r="H83">
        <v>152</v>
      </c>
      <c r="I83">
        <v>0.28517823639774859</v>
      </c>
      <c r="J83">
        <v>14.05710659898477</v>
      </c>
      <c r="K83">
        <v>1.6920640849103801</v>
      </c>
      <c r="L83">
        <v>471.02222222018702</v>
      </c>
      <c r="M83">
        <v>15.88271604945642</v>
      </c>
    </row>
    <row r="84" spans="1:13">
      <c r="A84" t="s">
        <v>21</v>
      </c>
      <c r="B84">
        <v>6</v>
      </c>
      <c r="C84">
        <v>2</v>
      </c>
      <c r="D84">
        <v>1262</v>
      </c>
      <c r="E84">
        <v>848</v>
      </c>
      <c r="F84">
        <v>589</v>
      </c>
      <c r="G84">
        <v>3.8246753246753249</v>
      </c>
      <c r="H84">
        <v>154</v>
      </c>
      <c r="I84">
        <v>0.26146010186757218</v>
      </c>
      <c r="J84">
        <v>13.16385060434599</v>
      </c>
      <c r="K84">
        <v>1.5315794309965101</v>
      </c>
      <c r="L84">
        <v>400.355555557922</v>
      </c>
      <c r="M84">
        <v>12.42746913594968</v>
      </c>
    </row>
    <row r="85" spans="1:13">
      <c r="A85" t="s">
        <v>21</v>
      </c>
      <c r="B85">
        <v>6</v>
      </c>
      <c r="C85">
        <v>3</v>
      </c>
      <c r="D85">
        <v>1239</v>
      </c>
      <c r="E85">
        <v>808</v>
      </c>
      <c r="F85">
        <v>558</v>
      </c>
      <c r="G85">
        <v>3.6710526315789469</v>
      </c>
      <c r="H85">
        <v>152</v>
      </c>
      <c r="I85">
        <v>0.27240143369175629</v>
      </c>
      <c r="J85">
        <v>13.81435643564356</v>
      </c>
      <c r="K85">
        <v>1.6070616936395501</v>
      </c>
      <c r="L85">
        <v>445.68888888696301</v>
      </c>
      <c r="M85">
        <v>13.96913580254264</v>
      </c>
    </row>
    <row r="86" spans="1:13">
      <c r="A86" t="s">
        <v>21</v>
      </c>
      <c r="B86">
        <v>6</v>
      </c>
      <c r="C86">
        <v>4</v>
      </c>
      <c r="D86">
        <v>1224</v>
      </c>
      <c r="E86">
        <v>794</v>
      </c>
      <c r="F86">
        <v>558</v>
      </c>
      <c r="G86">
        <v>3.6</v>
      </c>
      <c r="H86">
        <v>155</v>
      </c>
      <c r="I86">
        <v>0.27777777777777779</v>
      </c>
      <c r="J86">
        <v>13.760531722285259</v>
      </c>
      <c r="K86">
        <v>1.5933790618441599</v>
      </c>
      <c r="L86">
        <v>453.46666666774399</v>
      </c>
      <c r="M86">
        <v>15.07962962977693</v>
      </c>
    </row>
    <row r="87" spans="1:13">
      <c r="A87" t="s">
        <v>21</v>
      </c>
      <c r="B87">
        <v>6</v>
      </c>
      <c r="C87">
        <v>5</v>
      </c>
      <c r="D87">
        <v>1269</v>
      </c>
      <c r="E87">
        <v>820</v>
      </c>
      <c r="F87">
        <v>576</v>
      </c>
      <c r="G87">
        <v>3.7402597402597402</v>
      </c>
      <c r="H87">
        <v>154</v>
      </c>
      <c r="I87">
        <v>0.2673611111111111</v>
      </c>
      <c r="J87">
        <v>13.655045731687929</v>
      </c>
      <c r="K87">
        <v>1.5765669602019501</v>
      </c>
      <c r="L87">
        <v>426.97777777593302</v>
      </c>
      <c r="M87">
        <v>11.960802469283131</v>
      </c>
    </row>
    <row r="88" spans="1:13">
      <c r="A88" t="s">
        <v>21</v>
      </c>
      <c r="B88">
        <v>6</v>
      </c>
      <c r="C88">
        <v>6</v>
      </c>
      <c r="D88">
        <v>1234</v>
      </c>
      <c r="E88">
        <v>800</v>
      </c>
      <c r="F88">
        <v>553</v>
      </c>
      <c r="G88">
        <v>3.5222929936305731</v>
      </c>
      <c r="H88">
        <v>157</v>
      </c>
      <c r="I88">
        <v>0.28390596745027119</v>
      </c>
      <c r="J88">
        <v>14.078749999999999</v>
      </c>
      <c r="K88">
        <v>1.64146789358312</v>
      </c>
      <c r="L88">
        <v>434.97777777772097</v>
      </c>
      <c r="M88">
        <v>14.410185185332621</v>
      </c>
    </row>
    <row r="89" spans="1:13">
      <c r="A89" t="s">
        <v>21</v>
      </c>
      <c r="B89">
        <v>6</v>
      </c>
      <c r="C89">
        <v>7</v>
      </c>
      <c r="D89">
        <v>1279</v>
      </c>
      <c r="E89">
        <v>850</v>
      </c>
      <c r="F89">
        <v>600</v>
      </c>
      <c r="G89">
        <v>3.79746835443038</v>
      </c>
      <c r="H89">
        <v>158</v>
      </c>
      <c r="I89">
        <v>0.26333333333333331</v>
      </c>
      <c r="J89">
        <v>13.42388986925071</v>
      </c>
      <c r="K89">
        <v>1.5436331548047799</v>
      </c>
      <c r="L89">
        <v>386.66666666663298</v>
      </c>
      <c r="M89">
        <v>11.20709876550567</v>
      </c>
    </row>
    <row r="90" spans="1:13">
      <c r="A90" t="s">
        <v>21</v>
      </c>
      <c r="B90">
        <v>6</v>
      </c>
      <c r="C90">
        <v>8</v>
      </c>
      <c r="D90">
        <v>1242</v>
      </c>
      <c r="E90">
        <v>815</v>
      </c>
      <c r="F90">
        <v>567</v>
      </c>
      <c r="G90">
        <v>3.5217391304347831</v>
      </c>
      <c r="H90">
        <v>161</v>
      </c>
      <c r="I90">
        <v>0.2839506172839506</v>
      </c>
      <c r="J90">
        <v>13.780570935575341</v>
      </c>
      <c r="K90">
        <v>1.5951026062528799</v>
      </c>
      <c r="L90">
        <v>385.77777777774497</v>
      </c>
      <c r="M90">
        <v>13.78425925933287</v>
      </c>
    </row>
    <row r="91" spans="1:13">
      <c r="A91" t="s">
        <v>21</v>
      </c>
      <c r="B91">
        <v>6</v>
      </c>
      <c r="C91">
        <v>9</v>
      </c>
      <c r="D91">
        <v>1270</v>
      </c>
      <c r="E91">
        <v>818</v>
      </c>
      <c r="F91">
        <v>560</v>
      </c>
      <c r="G91">
        <v>3.7837837837837842</v>
      </c>
      <c r="H91">
        <v>148</v>
      </c>
      <c r="I91">
        <v>0.26428571428571429</v>
      </c>
      <c r="J91">
        <v>13.01999291122249</v>
      </c>
      <c r="K91">
        <v>1.5493801717270099</v>
      </c>
      <c r="L91">
        <v>498.13333333627799</v>
      </c>
      <c r="M91">
        <v>11.86327160501202</v>
      </c>
    </row>
    <row r="92" spans="1:13">
      <c r="A92" t="s">
        <v>22</v>
      </c>
      <c r="B92">
        <v>6</v>
      </c>
      <c r="C92">
        <v>0</v>
      </c>
      <c r="D92">
        <v>1032</v>
      </c>
      <c r="E92">
        <v>676</v>
      </c>
      <c r="F92">
        <v>499</v>
      </c>
      <c r="G92">
        <v>3.9291338582677171</v>
      </c>
      <c r="H92">
        <v>127</v>
      </c>
      <c r="I92">
        <v>0.25450901803607212</v>
      </c>
      <c r="J92">
        <v>13.63757396449707</v>
      </c>
      <c r="K92">
        <v>1.5082534807280199</v>
      </c>
      <c r="L92">
        <v>391.42222222453597</v>
      </c>
      <c r="M92">
        <v>28.333333333333329</v>
      </c>
    </row>
    <row r="93" spans="1:13">
      <c r="A93" t="s">
        <v>22</v>
      </c>
      <c r="B93">
        <v>6</v>
      </c>
      <c r="C93">
        <v>1</v>
      </c>
      <c r="D93">
        <v>1128</v>
      </c>
      <c r="E93">
        <v>732</v>
      </c>
      <c r="F93">
        <v>499</v>
      </c>
      <c r="G93">
        <v>3.1987179487179489</v>
      </c>
      <c r="H93">
        <v>156</v>
      </c>
      <c r="I93">
        <v>0.31262525050100198</v>
      </c>
      <c r="J93">
        <v>14.21763135241298</v>
      </c>
      <c r="K93">
        <v>1.71787224612506</v>
      </c>
      <c r="L93">
        <v>490.62222222255798</v>
      </c>
      <c r="M93">
        <v>21.686111111184651</v>
      </c>
    </row>
    <row r="94" spans="1:13">
      <c r="A94" t="s">
        <v>22</v>
      </c>
      <c r="B94">
        <v>6</v>
      </c>
      <c r="C94">
        <v>2</v>
      </c>
      <c r="D94">
        <v>1203</v>
      </c>
      <c r="E94">
        <v>805</v>
      </c>
      <c r="F94">
        <v>561</v>
      </c>
      <c r="G94">
        <v>3.5506329113924049</v>
      </c>
      <c r="H94">
        <v>158</v>
      </c>
      <c r="I94">
        <v>0.28163992869875221</v>
      </c>
      <c r="J94">
        <v>13.63977574569056</v>
      </c>
      <c r="K94">
        <v>1.59070160568622</v>
      </c>
      <c r="L94">
        <v>455.02222222215602</v>
      </c>
      <c r="M94">
        <v>16.508333333407041</v>
      </c>
    </row>
    <row r="95" spans="1:13">
      <c r="A95" t="s">
        <v>22</v>
      </c>
      <c r="B95">
        <v>6</v>
      </c>
      <c r="C95">
        <v>3</v>
      </c>
      <c r="D95">
        <v>905</v>
      </c>
      <c r="E95">
        <v>577</v>
      </c>
      <c r="F95">
        <v>409</v>
      </c>
      <c r="G95">
        <v>3.651785714285714</v>
      </c>
      <c r="H95">
        <v>112</v>
      </c>
      <c r="I95">
        <v>0.27383863080684601</v>
      </c>
      <c r="J95">
        <v>15.493934142114419</v>
      </c>
      <c r="K95">
        <v>1.7847581029198301</v>
      </c>
      <c r="L95">
        <v>478.62222222505198</v>
      </c>
      <c r="M95">
        <v>37.152777777777779</v>
      </c>
    </row>
    <row r="96" spans="1:13">
      <c r="A96" t="s">
        <v>22</v>
      </c>
      <c r="B96">
        <v>6</v>
      </c>
      <c r="C96">
        <v>4</v>
      </c>
      <c r="D96">
        <v>1171</v>
      </c>
      <c r="E96">
        <v>767</v>
      </c>
      <c r="F96">
        <v>538</v>
      </c>
      <c r="G96">
        <v>3.4487179487179489</v>
      </c>
      <c r="H96">
        <v>156</v>
      </c>
      <c r="I96">
        <v>0.2899628252788104</v>
      </c>
      <c r="J96">
        <v>13.93497042848996</v>
      </c>
      <c r="K96">
        <v>1.64017602409233</v>
      </c>
      <c r="L96">
        <v>464.622222220271</v>
      </c>
      <c r="M96">
        <v>18.701543209950071</v>
      </c>
    </row>
    <row r="97" spans="1:13">
      <c r="A97" t="s">
        <v>22</v>
      </c>
      <c r="B97">
        <v>6</v>
      </c>
      <c r="C97">
        <v>5</v>
      </c>
      <c r="D97">
        <v>915</v>
      </c>
      <c r="E97">
        <v>589</v>
      </c>
      <c r="F97">
        <v>421</v>
      </c>
      <c r="G97">
        <v>3.5083333333333329</v>
      </c>
      <c r="H97">
        <v>120</v>
      </c>
      <c r="I97">
        <v>0.28503562945368172</v>
      </c>
      <c r="J97">
        <v>15.156196943972819</v>
      </c>
      <c r="K97">
        <v>1.70110729714176</v>
      </c>
      <c r="L97">
        <v>418.75555555588898</v>
      </c>
      <c r="M97">
        <v>36.458333333333343</v>
      </c>
    </row>
    <row r="98" spans="1:13">
      <c r="A98" t="s">
        <v>22</v>
      </c>
      <c r="B98">
        <v>6</v>
      </c>
      <c r="C98">
        <v>6</v>
      </c>
      <c r="D98">
        <v>965</v>
      </c>
      <c r="E98">
        <v>624</v>
      </c>
      <c r="F98">
        <v>438</v>
      </c>
      <c r="G98">
        <v>3.619834710743802</v>
      </c>
      <c r="H98">
        <v>121</v>
      </c>
      <c r="I98">
        <v>0.27625570776255709</v>
      </c>
      <c r="J98">
        <v>14.442307692307709</v>
      </c>
      <c r="K98">
        <v>1.6815905645326501</v>
      </c>
      <c r="L98">
        <v>433.59999999812698</v>
      </c>
      <c r="M98">
        <v>32.986111111111107</v>
      </c>
    </row>
    <row r="99" spans="1:13">
      <c r="A99" t="s">
        <v>22</v>
      </c>
      <c r="B99">
        <v>6</v>
      </c>
      <c r="C99">
        <v>7</v>
      </c>
      <c r="D99">
        <v>1166</v>
      </c>
      <c r="E99">
        <v>771</v>
      </c>
      <c r="F99">
        <v>537</v>
      </c>
      <c r="G99">
        <v>3.6780821917808222</v>
      </c>
      <c r="H99">
        <v>146</v>
      </c>
      <c r="I99">
        <v>0.27188081936685288</v>
      </c>
      <c r="J99">
        <v>13.11284046692607</v>
      </c>
      <c r="K99">
        <v>1.52300840573267</v>
      </c>
      <c r="L99">
        <v>426.53333333585499</v>
      </c>
      <c r="M99">
        <v>19.027777777777779</v>
      </c>
    </row>
    <row r="100" spans="1:13">
      <c r="A100" t="s">
        <v>22</v>
      </c>
      <c r="B100">
        <v>6</v>
      </c>
      <c r="C100">
        <v>8</v>
      </c>
      <c r="D100">
        <v>1032</v>
      </c>
      <c r="E100">
        <v>667</v>
      </c>
      <c r="F100">
        <v>458</v>
      </c>
      <c r="G100">
        <v>3.318840579710145</v>
      </c>
      <c r="H100">
        <v>138</v>
      </c>
      <c r="I100">
        <v>0.30131004366812231</v>
      </c>
      <c r="J100">
        <v>14.740629685157471</v>
      </c>
      <c r="K100">
        <v>1.7546289182941299</v>
      </c>
      <c r="L100">
        <v>485.33333333325203</v>
      </c>
      <c r="M100">
        <v>28.333333333333339</v>
      </c>
    </row>
    <row r="101" spans="1:13">
      <c r="A101" t="s">
        <v>22</v>
      </c>
      <c r="B101">
        <v>6</v>
      </c>
      <c r="C101">
        <v>9</v>
      </c>
      <c r="D101">
        <v>1105</v>
      </c>
      <c r="E101">
        <v>719</v>
      </c>
      <c r="F101">
        <v>498</v>
      </c>
      <c r="G101">
        <v>3.4344827586206899</v>
      </c>
      <c r="H101">
        <v>145</v>
      </c>
      <c r="I101">
        <v>0.29116465863453822</v>
      </c>
      <c r="J101">
        <v>13.952712100139079</v>
      </c>
      <c r="K101">
        <v>1.6577488216794301</v>
      </c>
      <c r="L101">
        <v>505.911111111514</v>
      </c>
      <c r="M101">
        <v>23.263888888888889</v>
      </c>
    </row>
    <row r="102" spans="1:13">
      <c r="A102" t="s">
        <v>23</v>
      </c>
      <c r="B102">
        <v>6</v>
      </c>
      <c r="C102">
        <v>0</v>
      </c>
      <c r="D102">
        <v>1202</v>
      </c>
      <c r="E102">
        <v>779</v>
      </c>
      <c r="F102">
        <v>561</v>
      </c>
      <c r="G102">
        <v>3.666666666666667</v>
      </c>
      <c r="H102">
        <v>153</v>
      </c>
      <c r="I102">
        <v>0.27272727272727271</v>
      </c>
      <c r="J102">
        <v>13.97689345314506</v>
      </c>
      <c r="K102">
        <v>1.57649877255825</v>
      </c>
      <c r="L102">
        <v>460.93333333605801</v>
      </c>
      <c r="M102">
        <v>16.578703703850831</v>
      </c>
    </row>
    <row r="103" spans="1:13">
      <c r="A103" t="s">
        <v>23</v>
      </c>
      <c r="B103">
        <v>6</v>
      </c>
      <c r="C103">
        <v>1</v>
      </c>
      <c r="D103">
        <v>1207</v>
      </c>
      <c r="E103">
        <v>786</v>
      </c>
      <c r="F103">
        <v>535</v>
      </c>
      <c r="G103">
        <v>3.4967320261437909</v>
      </c>
      <c r="H103">
        <v>153</v>
      </c>
      <c r="I103">
        <v>0.28598130841121489</v>
      </c>
      <c r="J103">
        <v>13.4491094147584</v>
      </c>
      <c r="K103">
        <v>1.6032622107146399</v>
      </c>
      <c r="L103">
        <v>490.04444444734099</v>
      </c>
      <c r="M103">
        <v>16.215123456863751</v>
      </c>
    </row>
    <row r="104" spans="1:13">
      <c r="A104" t="s">
        <v>23</v>
      </c>
      <c r="B104">
        <v>6</v>
      </c>
      <c r="C104">
        <v>2</v>
      </c>
      <c r="D104">
        <v>1121</v>
      </c>
      <c r="E104">
        <v>751</v>
      </c>
      <c r="F104">
        <v>526</v>
      </c>
      <c r="G104">
        <v>3.6783216783216779</v>
      </c>
      <c r="H104">
        <v>143</v>
      </c>
      <c r="I104">
        <v>0.27186311787072243</v>
      </c>
      <c r="J104">
        <v>13.8375499334221</v>
      </c>
      <c r="K104">
        <v>1.6086763535451201</v>
      </c>
      <c r="L104">
        <v>433.82222222034801</v>
      </c>
      <c r="M104">
        <v>22.152777777777779</v>
      </c>
    </row>
    <row r="105" spans="1:13">
      <c r="A105" t="s">
        <v>23</v>
      </c>
      <c r="B105">
        <v>6</v>
      </c>
      <c r="C105">
        <v>3</v>
      </c>
      <c r="D105">
        <v>1161</v>
      </c>
      <c r="E105">
        <v>750</v>
      </c>
      <c r="F105">
        <v>518</v>
      </c>
      <c r="G105">
        <v>3.4533333333333331</v>
      </c>
      <c r="H105">
        <v>150</v>
      </c>
      <c r="I105">
        <v>0.28957528957528961</v>
      </c>
      <c r="J105">
        <v>14.206666666666671</v>
      </c>
      <c r="K105">
        <v>1.6795974778028</v>
      </c>
      <c r="L105">
        <v>477.06666666460598</v>
      </c>
      <c r="M105">
        <v>19.449691358172011</v>
      </c>
    </row>
    <row r="106" spans="1:13">
      <c r="A106" t="s">
        <v>23</v>
      </c>
      <c r="B106">
        <v>6</v>
      </c>
      <c r="C106">
        <v>4</v>
      </c>
      <c r="D106">
        <v>1196</v>
      </c>
      <c r="E106">
        <v>774</v>
      </c>
      <c r="F106">
        <v>542</v>
      </c>
      <c r="G106">
        <v>3.8439716312056742</v>
      </c>
      <c r="H106">
        <v>141</v>
      </c>
      <c r="I106">
        <v>0.26014760147601468</v>
      </c>
      <c r="J106">
        <v>13.607585055965631</v>
      </c>
      <c r="K106">
        <v>1.55703688848036</v>
      </c>
      <c r="L106">
        <v>456.75555555591899</v>
      </c>
      <c r="M106">
        <v>16.966049382789581</v>
      </c>
    </row>
    <row r="107" spans="1:13">
      <c r="A107" t="s">
        <v>23</v>
      </c>
      <c r="B107">
        <v>6</v>
      </c>
      <c r="C107">
        <v>5</v>
      </c>
      <c r="D107">
        <v>1251</v>
      </c>
      <c r="E107">
        <v>812</v>
      </c>
      <c r="F107">
        <v>572</v>
      </c>
      <c r="G107">
        <v>3.6202531645569618</v>
      </c>
      <c r="H107">
        <v>158</v>
      </c>
      <c r="I107">
        <v>0.2762237762237762</v>
      </c>
      <c r="J107">
        <v>13.487743269358379</v>
      </c>
      <c r="K107">
        <v>1.55550667498999</v>
      </c>
      <c r="L107">
        <v>422.93333333150599</v>
      </c>
      <c r="M107">
        <v>13.159567901381591</v>
      </c>
    </row>
    <row r="108" spans="1:13">
      <c r="A108" t="s">
        <v>23</v>
      </c>
      <c r="B108">
        <v>6</v>
      </c>
      <c r="C108">
        <v>6</v>
      </c>
      <c r="D108">
        <v>1232</v>
      </c>
      <c r="E108">
        <v>795</v>
      </c>
      <c r="F108">
        <v>547</v>
      </c>
      <c r="G108">
        <v>3.6711409395973149</v>
      </c>
      <c r="H108">
        <v>149</v>
      </c>
      <c r="I108">
        <v>0.27239488117001831</v>
      </c>
      <c r="J108">
        <v>12.97987421383648</v>
      </c>
      <c r="K108">
        <v>1.5276205346171701</v>
      </c>
      <c r="L108">
        <v>511.95555555858198</v>
      </c>
      <c r="M108">
        <v>14.488271605085339</v>
      </c>
    </row>
    <row r="109" spans="1:13">
      <c r="A109" t="s">
        <v>23</v>
      </c>
      <c r="B109">
        <v>6</v>
      </c>
      <c r="C109">
        <v>7</v>
      </c>
      <c r="D109">
        <v>1203</v>
      </c>
      <c r="E109">
        <v>786</v>
      </c>
      <c r="F109">
        <v>546</v>
      </c>
      <c r="G109">
        <v>3.6644295302013421</v>
      </c>
      <c r="H109">
        <v>149</v>
      </c>
      <c r="I109">
        <v>0.27289377289377292</v>
      </c>
      <c r="J109">
        <v>13.26523006783397</v>
      </c>
      <c r="K109">
        <v>1.5544291172332501</v>
      </c>
      <c r="L109">
        <v>430.57777777785998</v>
      </c>
      <c r="M109">
        <v>16.522530864271321</v>
      </c>
    </row>
    <row r="110" spans="1:13">
      <c r="A110" t="s">
        <v>23</v>
      </c>
      <c r="B110">
        <v>6</v>
      </c>
      <c r="C110">
        <v>8</v>
      </c>
      <c r="D110">
        <v>1219</v>
      </c>
      <c r="E110">
        <v>810</v>
      </c>
      <c r="F110">
        <v>557</v>
      </c>
      <c r="G110">
        <v>3.5253164556962031</v>
      </c>
      <c r="H110">
        <v>158</v>
      </c>
      <c r="I110">
        <v>0.28366247755834828</v>
      </c>
      <c r="J110">
        <v>13.326434846987899</v>
      </c>
      <c r="K110">
        <v>1.59903650039422</v>
      </c>
      <c r="L110">
        <v>395.68888889122798</v>
      </c>
      <c r="M110">
        <v>15.42592592607321</v>
      </c>
    </row>
    <row r="111" spans="1:13">
      <c r="A111" t="s">
        <v>23</v>
      </c>
      <c r="B111">
        <v>6</v>
      </c>
      <c r="C111">
        <v>9</v>
      </c>
      <c r="D111">
        <v>1185</v>
      </c>
      <c r="E111">
        <v>765</v>
      </c>
      <c r="F111">
        <v>532</v>
      </c>
      <c r="G111">
        <v>3.5466666666666669</v>
      </c>
      <c r="H111">
        <v>150</v>
      </c>
      <c r="I111">
        <v>0.28195488721804512</v>
      </c>
      <c r="J111">
        <v>13.759477124183009</v>
      </c>
      <c r="K111">
        <v>1.6111794430162001</v>
      </c>
      <c r="L111">
        <v>440.80000000035102</v>
      </c>
      <c r="M111">
        <v>17.80586419767825</v>
      </c>
    </row>
    <row r="112" spans="1:13">
      <c r="A112" t="s">
        <v>24</v>
      </c>
      <c r="B112">
        <v>6</v>
      </c>
      <c r="C112">
        <v>0</v>
      </c>
      <c r="D112">
        <v>1234</v>
      </c>
      <c r="E112">
        <v>805</v>
      </c>
      <c r="F112">
        <v>579</v>
      </c>
      <c r="G112">
        <v>3.7115384615384621</v>
      </c>
      <c r="H112">
        <v>156</v>
      </c>
      <c r="I112">
        <v>0.26943005181347152</v>
      </c>
      <c r="J112">
        <v>13.68092592588758</v>
      </c>
      <c r="K112">
        <v>1.5537358006409601</v>
      </c>
      <c r="L112">
        <v>438.97777777747001</v>
      </c>
      <c r="M112">
        <v>14.36234567908609</v>
      </c>
    </row>
    <row r="113" spans="1:13">
      <c r="A113" t="s">
        <v>24</v>
      </c>
      <c r="B113">
        <v>6</v>
      </c>
      <c r="C113">
        <v>1</v>
      </c>
      <c r="D113">
        <v>1262</v>
      </c>
      <c r="E113">
        <v>824</v>
      </c>
      <c r="F113">
        <v>565</v>
      </c>
      <c r="G113">
        <v>3.53125</v>
      </c>
      <c r="H113">
        <v>160</v>
      </c>
      <c r="I113">
        <v>0.2831858407079646</v>
      </c>
      <c r="J113">
        <v>13.383280964361409</v>
      </c>
      <c r="K113">
        <v>1.57584947505231</v>
      </c>
      <c r="L113">
        <v>435.15555555812801</v>
      </c>
      <c r="M113">
        <v>12.424691358171881</v>
      </c>
    </row>
    <row r="114" spans="1:13">
      <c r="A114" t="s">
        <v>24</v>
      </c>
      <c r="B114">
        <v>6</v>
      </c>
      <c r="C114">
        <v>2</v>
      </c>
      <c r="D114">
        <v>1245</v>
      </c>
      <c r="E114">
        <v>834</v>
      </c>
      <c r="F114">
        <v>573</v>
      </c>
      <c r="G114">
        <v>3.6967741935483871</v>
      </c>
      <c r="H114">
        <v>155</v>
      </c>
      <c r="I114">
        <v>0.27050610820244331</v>
      </c>
      <c r="J114">
        <v>13.72126798559245</v>
      </c>
      <c r="K114">
        <v>1.6091722037810099</v>
      </c>
      <c r="L114">
        <v>441.60000000261101</v>
      </c>
      <c r="M114">
        <v>13.583333333480409</v>
      </c>
    </row>
    <row r="115" spans="1:13">
      <c r="A115" t="s">
        <v>24</v>
      </c>
      <c r="B115">
        <v>6</v>
      </c>
      <c r="C115">
        <v>3</v>
      </c>
      <c r="D115">
        <v>1215</v>
      </c>
      <c r="E115">
        <v>784</v>
      </c>
      <c r="F115">
        <v>549</v>
      </c>
      <c r="G115">
        <v>3.7602739726027399</v>
      </c>
      <c r="H115">
        <v>146</v>
      </c>
      <c r="I115">
        <v>0.26593806921675772</v>
      </c>
      <c r="J115">
        <v>13.28316326530612</v>
      </c>
      <c r="K115">
        <v>1.53376836998662</v>
      </c>
      <c r="L115">
        <v>459.37777778049298</v>
      </c>
      <c r="M115">
        <v>15.64320987661673</v>
      </c>
    </row>
    <row r="116" spans="1:13">
      <c r="A116" t="s">
        <v>24</v>
      </c>
      <c r="B116">
        <v>6</v>
      </c>
      <c r="C116">
        <v>4</v>
      </c>
      <c r="D116">
        <v>1240</v>
      </c>
      <c r="E116">
        <v>807</v>
      </c>
      <c r="F116">
        <v>569</v>
      </c>
      <c r="G116">
        <v>3.4907975460122702</v>
      </c>
      <c r="H116">
        <v>163</v>
      </c>
      <c r="I116">
        <v>0.28646748681898071</v>
      </c>
      <c r="J116">
        <v>14.195786864931851</v>
      </c>
      <c r="K116">
        <v>1.63422792520143</v>
      </c>
      <c r="L116">
        <v>376.80000000222799</v>
      </c>
      <c r="M116">
        <v>13.91944444451803</v>
      </c>
    </row>
    <row r="117" spans="1:13">
      <c r="A117" t="s">
        <v>24</v>
      </c>
      <c r="B117">
        <v>6</v>
      </c>
      <c r="C117">
        <v>5</v>
      </c>
      <c r="D117">
        <v>1261</v>
      </c>
      <c r="E117">
        <v>810</v>
      </c>
      <c r="F117">
        <v>561</v>
      </c>
      <c r="G117">
        <v>3.842465753424658</v>
      </c>
      <c r="H117">
        <v>146</v>
      </c>
      <c r="I117">
        <v>0.26024955436720137</v>
      </c>
      <c r="J117">
        <v>13.265270156954809</v>
      </c>
      <c r="K117">
        <v>1.54468090485811</v>
      </c>
      <c r="L117">
        <v>480.44444444444201</v>
      </c>
      <c r="M117">
        <v>12.467283950690909</v>
      </c>
    </row>
    <row r="118" spans="1:13">
      <c r="A118" t="s">
        <v>24</v>
      </c>
      <c r="B118">
        <v>6</v>
      </c>
      <c r="C118">
        <v>6</v>
      </c>
      <c r="D118">
        <v>1165</v>
      </c>
      <c r="E118">
        <v>760</v>
      </c>
      <c r="F118">
        <v>524</v>
      </c>
      <c r="G118">
        <v>3.358974358974359</v>
      </c>
      <c r="H118">
        <v>156</v>
      </c>
      <c r="I118">
        <v>0.29770992366412208</v>
      </c>
      <c r="J118">
        <v>14.63658442980368</v>
      </c>
      <c r="K118">
        <v>1.7158518785949699</v>
      </c>
      <c r="L118">
        <v>459.15555555827001</v>
      </c>
      <c r="M118">
        <v>19.12839506187542</v>
      </c>
    </row>
    <row r="119" spans="1:13">
      <c r="A119" t="s">
        <v>24</v>
      </c>
      <c r="B119">
        <v>6</v>
      </c>
      <c r="C119">
        <v>7</v>
      </c>
      <c r="D119">
        <v>1301</v>
      </c>
      <c r="E119">
        <v>853</v>
      </c>
      <c r="F119">
        <v>601</v>
      </c>
      <c r="G119">
        <v>3.8525641025641031</v>
      </c>
      <c r="H119">
        <v>156</v>
      </c>
      <c r="I119">
        <v>0.25956738768718801</v>
      </c>
      <c r="J119">
        <v>12.72082867020797</v>
      </c>
      <c r="K119">
        <v>1.4730979669009501</v>
      </c>
      <c r="L119">
        <v>399.46666666902797</v>
      </c>
      <c r="M119">
        <v>9.716358024765146</v>
      </c>
    </row>
    <row r="120" spans="1:13">
      <c r="A120" t="s">
        <v>24</v>
      </c>
      <c r="B120">
        <v>6</v>
      </c>
      <c r="C120">
        <v>8</v>
      </c>
      <c r="D120">
        <v>1227</v>
      </c>
      <c r="E120">
        <v>814</v>
      </c>
      <c r="F120">
        <v>558</v>
      </c>
      <c r="G120">
        <v>3.5316455696202529</v>
      </c>
      <c r="H120">
        <v>158</v>
      </c>
      <c r="I120">
        <v>0.28315412186379929</v>
      </c>
      <c r="J120">
        <v>13.502486582223341</v>
      </c>
      <c r="K120">
        <v>1.6000123486851201</v>
      </c>
      <c r="L120">
        <v>413.77777778022403</v>
      </c>
      <c r="M120">
        <v>14.840123456937221</v>
      </c>
    </row>
    <row r="121" spans="1:13">
      <c r="A121" t="s">
        <v>24</v>
      </c>
      <c r="B121">
        <v>6</v>
      </c>
      <c r="C121">
        <v>9</v>
      </c>
      <c r="D121">
        <v>1264</v>
      </c>
      <c r="E121">
        <v>810</v>
      </c>
      <c r="F121">
        <v>562</v>
      </c>
      <c r="G121">
        <v>3.7972972972972969</v>
      </c>
      <c r="H121">
        <v>148</v>
      </c>
      <c r="I121">
        <v>0.26334519572953741</v>
      </c>
      <c r="J121">
        <v>13.044444444444441</v>
      </c>
      <c r="K121">
        <v>1.52779353183217</v>
      </c>
      <c r="L121">
        <v>483.82222222013201</v>
      </c>
      <c r="M121">
        <v>12.29043209883924</v>
      </c>
    </row>
    <row r="122" spans="1:13">
      <c r="A122" t="s">
        <v>25</v>
      </c>
      <c r="B122">
        <v>10</v>
      </c>
      <c r="C122">
        <v>0</v>
      </c>
      <c r="D122">
        <v>1085</v>
      </c>
      <c r="E122">
        <v>703</v>
      </c>
      <c r="F122">
        <v>504</v>
      </c>
      <c r="G122">
        <v>3.524475524475525</v>
      </c>
      <c r="H122">
        <v>143</v>
      </c>
      <c r="I122">
        <v>0.28373015873015872</v>
      </c>
      <c r="J122">
        <v>14.53769559032717</v>
      </c>
      <c r="K122">
        <v>1.70053371744496</v>
      </c>
      <c r="L122">
        <v>472.35555555834799</v>
      </c>
      <c r="M122">
        <v>24.652777777777779</v>
      </c>
    </row>
    <row r="123" spans="1:13">
      <c r="A123" t="s">
        <v>25</v>
      </c>
      <c r="B123">
        <v>10</v>
      </c>
      <c r="C123">
        <v>1</v>
      </c>
      <c r="D123">
        <v>1415</v>
      </c>
      <c r="E123">
        <v>917</v>
      </c>
      <c r="F123">
        <v>617</v>
      </c>
      <c r="G123">
        <v>3.1161616161616159</v>
      </c>
      <c r="H123">
        <v>198</v>
      </c>
      <c r="I123">
        <v>0.32090761750405189</v>
      </c>
      <c r="J123">
        <v>15.052618176715489</v>
      </c>
      <c r="K123">
        <v>1.84049497397286</v>
      </c>
      <c r="L123">
        <v>452.93333333137701</v>
      </c>
      <c r="M123">
        <v>1.83209876557948</v>
      </c>
    </row>
    <row r="124" spans="1:13">
      <c r="A124" t="s">
        <v>25</v>
      </c>
      <c r="B124">
        <v>10</v>
      </c>
      <c r="C124">
        <v>2</v>
      </c>
      <c r="D124">
        <v>1255</v>
      </c>
      <c r="E124">
        <v>832</v>
      </c>
      <c r="F124">
        <v>564</v>
      </c>
      <c r="G124">
        <v>3.204545454545455</v>
      </c>
      <c r="H124">
        <v>176</v>
      </c>
      <c r="I124">
        <v>0.31205673758865249</v>
      </c>
      <c r="J124">
        <v>14.41706730769231</v>
      </c>
      <c r="K124">
        <v>1.7795659727356801</v>
      </c>
      <c r="L124">
        <v>442.799999998087</v>
      </c>
      <c r="M124">
        <v>12.84722222222222</v>
      </c>
    </row>
    <row r="125" spans="1:13">
      <c r="A125" t="s">
        <v>25</v>
      </c>
      <c r="B125">
        <v>10</v>
      </c>
      <c r="C125">
        <v>3</v>
      </c>
      <c r="D125">
        <v>1384</v>
      </c>
      <c r="E125">
        <v>909</v>
      </c>
      <c r="F125">
        <v>606</v>
      </c>
      <c r="G125">
        <v>3.2063492063492069</v>
      </c>
      <c r="H125">
        <v>189</v>
      </c>
      <c r="I125">
        <v>0.31188118811881188</v>
      </c>
      <c r="J125">
        <v>14.511555233840371</v>
      </c>
      <c r="K125">
        <v>1.80955528536646</v>
      </c>
      <c r="L125">
        <v>569.86666666686995</v>
      </c>
      <c r="M125">
        <v>4.0040123458265144</v>
      </c>
    </row>
    <row r="126" spans="1:13">
      <c r="A126" t="s">
        <v>25</v>
      </c>
      <c r="B126">
        <v>10</v>
      </c>
      <c r="C126">
        <v>4</v>
      </c>
      <c r="D126">
        <v>1389</v>
      </c>
      <c r="E126">
        <v>904</v>
      </c>
      <c r="F126">
        <v>607</v>
      </c>
      <c r="G126">
        <v>3.228723404255319</v>
      </c>
      <c r="H126">
        <v>188</v>
      </c>
      <c r="I126">
        <v>0.30971993410214171</v>
      </c>
      <c r="J126">
        <v>14.903191166813381</v>
      </c>
      <c r="K126">
        <v>1.8417754298337099</v>
      </c>
      <c r="L126">
        <v>463.55555555570999</v>
      </c>
      <c r="M126">
        <v>3.6706790124932569</v>
      </c>
    </row>
    <row r="127" spans="1:13">
      <c r="A127" t="s">
        <v>25</v>
      </c>
      <c r="B127">
        <v>10</v>
      </c>
      <c r="C127">
        <v>5</v>
      </c>
      <c r="D127">
        <v>1408</v>
      </c>
      <c r="E127">
        <v>919</v>
      </c>
      <c r="F127">
        <v>634</v>
      </c>
      <c r="G127">
        <v>3.218274111675127</v>
      </c>
      <c r="H127">
        <v>197</v>
      </c>
      <c r="I127">
        <v>0.3107255520504732</v>
      </c>
      <c r="J127">
        <v>14.81001541528923</v>
      </c>
      <c r="K127">
        <v>1.7856657662503399</v>
      </c>
      <c r="L127">
        <v>461.19999999800802</v>
      </c>
      <c r="M127">
        <v>2.2817901236039648</v>
      </c>
    </row>
    <row r="128" spans="1:13">
      <c r="A128" t="s">
        <v>25</v>
      </c>
      <c r="B128">
        <v>10</v>
      </c>
      <c r="C128">
        <v>6</v>
      </c>
      <c r="D128">
        <v>1394</v>
      </c>
      <c r="E128">
        <v>904</v>
      </c>
      <c r="F128">
        <v>611</v>
      </c>
      <c r="G128">
        <v>3.1989528795811522</v>
      </c>
      <c r="H128">
        <v>191</v>
      </c>
      <c r="I128">
        <v>0.31260229132569561</v>
      </c>
      <c r="J128">
        <v>14.77227599555774</v>
      </c>
      <c r="K128">
        <v>1.78429502145746</v>
      </c>
      <c r="L128">
        <v>471.86666666687898</v>
      </c>
      <c r="M128">
        <v>3.2811728396534998</v>
      </c>
    </row>
    <row r="129" spans="1:13">
      <c r="A129" t="s">
        <v>25</v>
      </c>
      <c r="B129">
        <v>10</v>
      </c>
      <c r="C129">
        <v>7</v>
      </c>
      <c r="D129">
        <v>1415</v>
      </c>
      <c r="E129">
        <v>932</v>
      </c>
      <c r="F129">
        <v>634</v>
      </c>
      <c r="G129">
        <v>3.4270270270270271</v>
      </c>
      <c r="H129">
        <v>185</v>
      </c>
      <c r="I129">
        <v>0.29179810725552052</v>
      </c>
      <c r="J129">
        <v>14.548073140183259</v>
      </c>
      <c r="K129">
        <v>1.7630762806861799</v>
      </c>
      <c r="L129">
        <v>487.51111110900501</v>
      </c>
      <c r="M129">
        <v>1.775308642122357</v>
      </c>
    </row>
    <row r="130" spans="1:13">
      <c r="A130" t="s">
        <v>25</v>
      </c>
      <c r="B130">
        <v>10</v>
      </c>
      <c r="C130">
        <v>8</v>
      </c>
      <c r="D130">
        <v>1231</v>
      </c>
      <c r="E130">
        <v>810</v>
      </c>
      <c r="F130">
        <v>545</v>
      </c>
      <c r="G130">
        <v>3.1502890173410401</v>
      </c>
      <c r="H130">
        <v>173</v>
      </c>
      <c r="I130">
        <v>0.31743119266055048</v>
      </c>
      <c r="J130">
        <v>14.39259259259272</v>
      </c>
      <c r="K130">
        <v>1.7606204178181899</v>
      </c>
      <c r="L130">
        <v>429.55555555633498</v>
      </c>
      <c r="M130">
        <v>14.513888888888889</v>
      </c>
    </row>
    <row r="131" spans="1:13">
      <c r="A131" t="s">
        <v>25</v>
      </c>
      <c r="B131">
        <v>10</v>
      </c>
      <c r="C131">
        <v>9</v>
      </c>
      <c r="D131">
        <v>1306</v>
      </c>
      <c r="E131">
        <v>845</v>
      </c>
      <c r="F131">
        <v>576</v>
      </c>
      <c r="G131">
        <v>3.4285714285714279</v>
      </c>
      <c r="H131">
        <v>168</v>
      </c>
      <c r="I131">
        <v>0.29166666666666669</v>
      </c>
      <c r="J131">
        <v>14.648520710059289</v>
      </c>
      <c r="K131">
        <v>1.7693654361554301</v>
      </c>
      <c r="L131">
        <v>470.933333331771</v>
      </c>
      <c r="M131">
        <v>9.3055555555555483</v>
      </c>
    </row>
    <row r="132" spans="1:13">
      <c r="A132" t="s">
        <v>26</v>
      </c>
      <c r="B132">
        <v>10</v>
      </c>
      <c r="C132">
        <v>0</v>
      </c>
      <c r="D132">
        <v>1398</v>
      </c>
      <c r="E132">
        <v>909</v>
      </c>
      <c r="F132">
        <v>630</v>
      </c>
      <c r="G132">
        <v>3.2307692307692308</v>
      </c>
      <c r="H132">
        <v>195</v>
      </c>
      <c r="I132">
        <v>0.30952380952380948</v>
      </c>
      <c r="J132">
        <v>14.77845764319285</v>
      </c>
      <c r="K132">
        <v>1.7676245902064001</v>
      </c>
      <c r="L132">
        <v>453.91111111379502</v>
      </c>
      <c r="M132">
        <v>2.981790123603993</v>
      </c>
    </row>
    <row r="133" spans="1:13">
      <c r="A133" t="s">
        <v>26</v>
      </c>
      <c r="B133">
        <v>10</v>
      </c>
      <c r="C133">
        <v>1</v>
      </c>
      <c r="D133">
        <v>1392</v>
      </c>
      <c r="E133">
        <v>892</v>
      </c>
      <c r="F133">
        <v>596</v>
      </c>
      <c r="G133">
        <v>3.204301075268817</v>
      </c>
      <c r="H133">
        <v>186</v>
      </c>
      <c r="I133">
        <v>0.31208053691275173</v>
      </c>
      <c r="J133">
        <v>15.060442029258629</v>
      </c>
      <c r="K133">
        <v>1.85835486991572</v>
      </c>
      <c r="L133">
        <v>541.24444444487494</v>
      </c>
      <c r="M133">
        <v>3.3978395063200479</v>
      </c>
    </row>
    <row r="134" spans="1:13">
      <c r="A134" t="s">
        <v>26</v>
      </c>
      <c r="B134">
        <v>10</v>
      </c>
      <c r="C134">
        <v>2</v>
      </c>
      <c r="D134">
        <v>1416</v>
      </c>
      <c r="E134">
        <v>954</v>
      </c>
      <c r="F134">
        <v>637</v>
      </c>
      <c r="G134">
        <v>3.2171717171717171</v>
      </c>
      <c r="H134">
        <v>198</v>
      </c>
      <c r="I134">
        <v>0.31083202511773939</v>
      </c>
      <c r="J134">
        <v>14.52410901467516</v>
      </c>
      <c r="K134">
        <v>1.8017739710087699</v>
      </c>
      <c r="L134">
        <v>510.888888891909</v>
      </c>
      <c r="M134">
        <v>1.7246913581718539</v>
      </c>
    </row>
    <row r="135" spans="1:13">
      <c r="A135" t="s">
        <v>26</v>
      </c>
      <c r="B135">
        <v>10</v>
      </c>
      <c r="C135">
        <v>3</v>
      </c>
      <c r="D135">
        <v>1393</v>
      </c>
      <c r="E135">
        <v>901</v>
      </c>
      <c r="F135">
        <v>609</v>
      </c>
      <c r="G135">
        <v>3.171875</v>
      </c>
      <c r="H135">
        <v>192</v>
      </c>
      <c r="I135">
        <v>0.31527093596059108</v>
      </c>
      <c r="J135">
        <v>15.10124090510644</v>
      </c>
      <c r="K135">
        <v>1.8442051820524601</v>
      </c>
      <c r="L135">
        <v>500.755555555954</v>
      </c>
      <c r="M135">
        <v>3.369753086567195</v>
      </c>
    </row>
    <row r="136" spans="1:13">
      <c r="A136" t="s">
        <v>26</v>
      </c>
      <c r="B136">
        <v>10</v>
      </c>
      <c r="C136">
        <v>4</v>
      </c>
      <c r="D136">
        <v>1420</v>
      </c>
      <c r="E136">
        <v>919</v>
      </c>
      <c r="F136">
        <v>620</v>
      </c>
      <c r="G136">
        <v>3.3879781420765029</v>
      </c>
      <c r="H136">
        <v>183</v>
      </c>
      <c r="I136">
        <v>0.29516129032258059</v>
      </c>
      <c r="J136">
        <v>14.034820457018609</v>
      </c>
      <c r="K136">
        <v>1.7252975864846201</v>
      </c>
      <c r="L136">
        <v>551.68888888890899</v>
      </c>
      <c r="M136">
        <v>1.478395061875746</v>
      </c>
    </row>
    <row r="137" spans="1:13">
      <c r="A137" t="s">
        <v>26</v>
      </c>
      <c r="B137">
        <v>10</v>
      </c>
      <c r="C137">
        <v>5</v>
      </c>
      <c r="D137">
        <v>1377</v>
      </c>
      <c r="E137">
        <v>895</v>
      </c>
      <c r="F137">
        <v>611</v>
      </c>
      <c r="G137">
        <v>3.0858585858585861</v>
      </c>
      <c r="H137">
        <v>198</v>
      </c>
      <c r="I137">
        <v>0.32405891980360058</v>
      </c>
      <c r="J137">
        <v>15.42431925905553</v>
      </c>
      <c r="K137">
        <v>1.85868061303277</v>
      </c>
      <c r="L137">
        <v>441.55555555816602</v>
      </c>
      <c r="M137">
        <v>4.4641975310115347</v>
      </c>
    </row>
    <row r="138" spans="1:13">
      <c r="A138" t="s">
        <v>26</v>
      </c>
      <c r="B138">
        <v>10</v>
      </c>
      <c r="C138">
        <v>6</v>
      </c>
      <c r="D138">
        <v>1359</v>
      </c>
      <c r="E138">
        <v>887</v>
      </c>
      <c r="F138">
        <v>594</v>
      </c>
      <c r="G138">
        <v>3.09375</v>
      </c>
      <c r="H138">
        <v>192</v>
      </c>
      <c r="I138">
        <v>0.32323232323232332</v>
      </c>
      <c r="J138">
        <v>15.21929005383191</v>
      </c>
      <c r="K138">
        <v>1.86183051596439</v>
      </c>
      <c r="L138">
        <v>511.06666666707298</v>
      </c>
      <c r="M138">
        <v>5.6370370371105203</v>
      </c>
    </row>
    <row r="139" spans="1:13">
      <c r="A139" t="s">
        <v>26</v>
      </c>
      <c r="B139">
        <v>10</v>
      </c>
      <c r="C139">
        <v>7</v>
      </c>
      <c r="D139">
        <v>1410</v>
      </c>
      <c r="E139">
        <v>925</v>
      </c>
      <c r="F139">
        <v>623</v>
      </c>
      <c r="G139">
        <v>3.244791666666667</v>
      </c>
      <c r="H139">
        <v>192</v>
      </c>
      <c r="I139">
        <v>0.30818619582664519</v>
      </c>
      <c r="J139">
        <v>14.44436542790703</v>
      </c>
      <c r="K139">
        <v>1.7596411268671699</v>
      </c>
      <c r="L139">
        <v>440.800000002606</v>
      </c>
      <c r="M139">
        <v>2.2083333334808888</v>
      </c>
    </row>
    <row r="140" spans="1:13">
      <c r="A140" t="s">
        <v>26</v>
      </c>
      <c r="B140">
        <v>10</v>
      </c>
      <c r="C140">
        <v>8</v>
      </c>
      <c r="D140">
        <v>1339</v>
      </c>
      <c r="E140">
        <v>873</v>
      </c>
      <c r="F140">
        <v>572</v>
      </c>
      <c r="G140">
        <v>2.9484536082474229</v>
      </c>
      <c r="H140">
        <v>194</v>
      </c>
      <c r="I140">
        <v>0.33916083916083922</v>
      </c>
      <c r="J140">
        <v>15.70925141501146</v>
      </c>
      <c r="K140">
        <v>1.9930334351527399</v>
      </c>
      <c r="L140">
        <v>534.79999999992401</v>
      </c>
      <c r="M140">
        <v>7.095987654468292</v>
      </c>
    </row>
    <row r="141" spans="1:13">
      <c r="A141" t="s">
        <v>26</v>
      </c>
      <c r="B141">
        <v>10</v>
      </c>
      <c r="C141">
        <v>9</v>
      </c>
      <c r="D141">
        <v>1391</v>
      </c>
      <c r="E141">
        <v>898</v>
      </c>
      <c r="F141">
        <v>600</v>
      </c>
      <c r="G141">
        <v>3.2085561497326198</v>
      </c>
      <c r="H141">
        <v>187</v>
      </c>
      <c r="I141">
        <v>0.31166666666666659</v>
      </c>
      <c r="J141">
        <v>14.94654788418719</v>
      </c>
      <c r="K141">
        <v>1.82957526886467</v>
      </c>
      <c r="L141">
        <v>510.84444444746401</v>
      </c>
      <c r="M141">
        <v>3.4740740742213121</v>
      </c>
    </row>
    <row r="142" spans="1:13">
      <c r="A142" t="s">
        <v>27</v>
      </c>
      <c r="B142">
        <v>10</v>
      </c>
      <c r="C142">
        <v>0</v>
      </c>
      <c r="D142">
        <v>1403</v>
      </c>
      <c r="E142">
        <v>918</v>
      </c>
      <c r="F142">
        <v>634</v>
      </c>
      <c r="G142">
        <v>3.2512820512820508</v>
      </c>
      <c r="H142">
        <v>195</v>
      </c>
      <c r="I142">
        <v>0.30757097791798099</v>
      </c>
      <c r="J142">
        <v>15.11772005447026</v>
      </c>
      <c r="K142">
        <v>1.7942116396946299</v>
      </c>
      <c r="L142">
        <v>501.06666666706502</v>
      </c>
      <c r="M142">
        <v>2.6194444445915548</v>
      </c>
    </row>
    <row r="143" spans="1:13">
      <c r="A143" t="s">
        <v>27</v>
      </c>
      <c r="B143">
        <v>10</v>
      </c>
      <c r="C143">
        <v>1</v>
      </c>
      <c r="D143">
        <v>1420</v>
      </c>
      <c r="E143">
        <v>917</v>
      </c>
      <c r="F143">
        <v>605</v>
      </c>
      <c r="G143">
        <v>3.252688172043011</v>
      </c>
      <c r="H143">
        <v>186</v>
      </c>
      <c r="I143">
        <v>0.30743801652892561</v>
      </c>
      <c r="J143">
        <v>14.56009178478822</v>
      </c>
      <c r="K143">
        <v>1.81060096192953</v>
      </c>
      <c r="L143">
        <v>547.555555558793</v>
      </c>
      <c r="M143">
        <v>1.487962963110375</v>
      </c>
    </row>
    <row r="144" spans="1:13">
      <c r="A144" t="s">
        <v>27</v>
      </c>
      <c r="B144">
        <v>10</v>
      </c>
      <c r="C144">
        <v>2</v>
      </c>
      <c r="D144">
        <v>1427</v>
      </c>
      <c r="E144">
        <v>955</v>
      </c>
      <c r="F144">
        <v>632</v>
      </c>
      <c r="G144">
        <v>3.3263157894736839</v>
      </c>
      <c r="H144">
        <v>190</v>
      </c>
      <c r="I144">
        <v>0.30063291139240511</v>
      </c>
      <c r="J144">
        <v>14.583962752883769</v>
      </c>
      <c r="K144">
        <v>1.8219929968472099</v>
      </c>
      <c r="L144">
        <v>500.93333333629499</v>
      </c>
      <c r="M144">
        <v>0.94907407422116674</v>
      </c>
    </row>
    <row r="145" spans="1:13">
      <c r="A145" t="s">
        <v>27</v>
      </c>
      <c r="B145">
        <v>10</v>
      </c>
      <c r="C145">
        <v>3</v>
      </c>
      <c r="D145">
        <v>1411</v>
      </c>
      <c r="E145">
        <v>927</v>
      </c>
      <c r="F145">
        <v>618</v>
      </c>
      <c r="G145">
        <v>3.1370558375634521</v>
      </c>
      <c r="H145">
        <v>197</v>
      </c>
      <c r="I145">
        <v>0.31877022653721682</v>
      </c>
      <c r="J145">
        <v>15.46170441870766</v>
      </c>
      <c r="K145">
        <v>1.8856297205992401</v>
      </c>
      <c r="L145">
        <v>535.37777777770202</v>
      </c>
      <c r="M145">
        <v>2.0734567902706318</v>
      </c>
    </row>
    <row r="146" spans="1:13">
      <c r="A146" t="s">
        <v>27</v>
      </c>
      <c r="B146">
        <v>10</v>
      </c>
      <c r="C146">
        <v>4</v>
      </c>
      <c r="D146">
        <v>1408</v>
      </c>
      <c r="E146">
        <v>925</v>
      </c>
      <c r="F146">
        <v>619</v>
      </c>
      <c r="G146">
        <v>3.223958333333333</v>
      </c>
      <c r="H146">
        <v>192</v>
      </c>
      <c r="I146">
        <v>0.31017770597738292</v>
      </c>
      <c r="J146">
        <v>14.84063619451276</v>
      </c>
      <c r="K146">
        <v>1.8234144406097399</v>
      </c>
      <c r="L146">
        <v>581.02222222565695</v>
      </c>
      <c r="M146">
        <v>2.290740740887971</v>
      </c>
    </row>
    <row r="147" spans="1:13">
      <c r="A147" t="s">
        <v>27</v>
      </c>
      <c r="B147">
        <v>10</v>
      </c>
      <c r="C147">
        <v>5</v>
      </c>
      <c r="D147">
        <v>1409</v>
      </c>
      <c r="E147">
        <v>906</v>
      </c>
      <c r="F147">
        <v>609</v>
      </c>
      <c r="G147">
        <v>3.2222222222222219</v>
      </c>
      <c r="H147">
        <v>189</v>
      </c>
      <c r="I147">
        <v>0.31034482758620691</v>
      </c>
      <c r="J147">
        <v>14.951435836705519</v>
      </c>
      <c r="K147">
        <v>1.8258045830987</v>
      </c>
      <c r="L147">
        <v>551.11111111436901</v>
      </c>
      <c r="M147">
        <v>2.2645061729869789</v>
      </c>
    </row>
    <row r="148" spans="1:13">
      <c r="A148" t="s">
        <v>27</v>
      </c>
      <c r="B148">
        <v>10</v>
      </c>
      <c r="C148">
        <v>6</v>
      </c>
      <c r="D148">
        <v>1419</v>
      </c>
      <c r="E148">
        <v>920</v>
      </c>
      <c r="F148">
        <v>616</v>
      </c>
      <c r="G148">
        <v>3.2765957446808511</v>
      </c>
      <c r="H148">
        <v>188</v>
      </c>
      <c r="I148">
        <v>0.30519480519480519</v>
      </c>
      <c r="J148">
        <v>14.490294384040761</v>
      </c>
      <c r="K148">
        <v>1.7827959251408001</v>
      </c>
      <c r="L148">
        <v>498.13333333118101</v>
      </c>
      <c r="M148">
        <v>1.501234568048303</v>
      </c>
    </row>
    <row r="149" spans="1:13">
      <c r="A149" t="s">
        <v>27</v>
      </c>
      <c r="B149">
        <v>10</v>
      </c>
      <c r="C149">
        <v>7</v>
      </c>
      <c r="D149">
        <v>1420</v>
      </c>
      <c r="E149">
        <v>934</v>
      </c>
      <c r="F149">
        <v>632</v>
      </c>
      <c r="G149">
        <v>3.3439153439153442</v>
      </c>
      <c r="H149">
        <v>189</v>
      </c>
      <c r="I149">
        <v>0.29905063291139239</v>
      </c>
      <c r="J149">
        <v>14.527689708238221</v>
      </c>
      <c r="K149">
        <v>1.76203282654704</v>
      </c>
      <c r="L149">
        <v>513.11111110889397</v>
      </c>
      <c r="M149">
        <v>1.465740740888021</v>
      </c>
    </row>
    <row r="150" spans="1:13">
      <c r="A150" t="s">
        <v>27</v>
      </c>
      <c r="B150">
        <v>10</v>
      </c>
      <c r="C150">
        <v>8</v>
      </c>
      <c r="D150">
        <v>1406</v>
      </c>
      <c r="E150">
        <v>926</v>
      </c>
      <c r="F150">
        <v>618</v>
      </c>
      <c r="G150">
        <v>3.1692307692307691</v>
      </c>
      <c r="H150">
        <v>195</v>
      </c>
      <c r="I150">
        <v>0.3155339805825243</v>
      </c>
      <c r="J150">
        <v>15.38438825660778</v>
      </c>
      <c r="K150">
        <v>1.8903468224478399</v>
      </c>
      <c r="L150">
        <v>477.11111110905</v>
      </c>
      <c r="M150">
        <v>2.458024691505424</v>
      </c>
    </row>
    <row r="151" spans="1:13">
      <c r="A151" t="s">
        <v>27</v>
      </c>
      <c r="B151">
        <v>10</v>
      </c>
      <c r="C151">
        <v>9</v>
      </c>
      <c r="D151">
        <v>1402</v>
      </c>
      <c r="E151">
        <v>909</v>
      </c>
      <c r="F151">
        <v>606</v>
      </c>
      <c r="G151">
        <v>3.091836734693878</v>
      </c>
      <c r="H151">
        <v>196</v>
      </c>
      <c r="I151">
        <v>0.32343234323432341</v>
      </c>
      <c r="J151">
        <v>15.159515951595271</v>
      </c>
      <c r="K151">
        <v>1.8750253132634001</v>
      </c>
      <c r="L151">
        <v>539.28888888749702</v>
      </c>
      <c r="M151">
        <v>2.711728395208985</v>
      </c>
    </row>
    <row r="152" spans="1:13">
      <c r="A152" t="s">
        <v>28</v>
      </c>
      <c r="B152">
        <v>10</v>
      </c>
      <c r="C152">
        <v>0</v>
      </c>
      <c r="D152">
        <v>1395</v>
      </c>
      <c r="E152">
        <v>905</v>
      </c>
      <c r="F152">
        <v>620</v>
      </c>
      <c r="G152">
        <v>3.131313131313131</v>
      </c>
      <c r="H152">
        <v>198</v>
      </c>
      <c r="I152">
        <v>0.3193548387096774</v>
      </c>
      <c r="J152">
        <v>15.631927865552489</v>
      </c>
      <c r="K152">
        <v>1.8871299729779201</v>
      </c>
      <c r="L152">
        <v>488.04444444476502</v>
      </c>
      <c r="M152">
        <v>3.167901234714972</v>
      </c>
    </row>
    <row r="153" spans="1:13">
      <c r="A153" t="s">
        <v>28</v>
      </c>
      <c r="B153">
        <v>10</v>
      </c>
      <c r="C153">
        <v>1</v>
      </c>
      <c r="D153">
        <v>1425</v>
      </c>
      <c r="E153">
        <v>927</v>
      </c>
      <c r="F153">
        <v>618</v>
      </c>
      <c r="G153">
        <v>3.2526315789473679</v>
      </c>
      <c r="H153">
        <v>190</v>
      </c>
      <c r="I153">
        <v>0.30744336569579289</v>
      </c>
      <c r="J153">
        <v>14.511690938494279</v>
      </c>
      <c r="K153">
        <v>1.8164028277602899</v>
      </c>
      <c r="L153">
        <v>550.977777781035</v>
      </c>
      <c r="M153">
        <v>1.1006172840977859</v>
      </c>
    </row>
    <row r="154" spans="1:13">
      <c r="A154" t="s">
        <v>28</v>
      </c>
      <c r="B154">
        <v>10</v>
      </c>
      <c r="C154">
        <v>2</v>
      </c>
      <c r="D154">
        <v>1416</v>
      </c>
      <c r="E154">
        <v>959</v>
      </c>
      <c r="F154">
        <v>643</v>
      </c>
      <c r="G154">
        <v>3.1674876847290641</v>
      </c>
      <c r="H154">
        <v>203</v>
      </c>
      <c r="I154">
        <v>0.31570762052877138</v>
      </c>
      <c r="J154">
        <v>15.26249999998352</v>
      </c>
      <c r="K154">
        <v>1.8728467945071201</v>
      </c>
      <c r="L154">
        <v>539.11111111429796</v>
      </c>
      <c r="M154">
        <v>1.710802469282882</v>
      </c>
    </row>
    <row r="155" spans="1:13">
      <c r="A155" t="s">
        <v>28</v>
      </c>
      <c r="B155">
        <v>10</v>
      </c>
      <c r="C155">
        <v>3</v>
      </c>
      <c r="D155">
        <v>1428</v>
      </c>
      <c r="E155">
        <v>925</v>
      </c>
      <c r="F155">
        <v>620</v>
      </c>
      <c r="G155">
        <v>3.229166666666667</v>
      </c>
      <c r="H155">
        <v>192</v>
      </c>
      <c r="I155">
        <v>0.30967741935483872</v>
      </c>
      <c r="J155">
        <v>15.17837837837849</v>
      </c>
      <c r="K155">
        <v>1.8626158329559099</v>
      </c>
      <c r="L155">
        <v>581.77777777814197</v>
      </c>
      <c r="M155">
        <v>0.94043209891289303</v>
      </c>
    </row>
    <row r="156" spans="1:13">
      <c r="A156" t="s">
        <v>28</v>
      </c>
      <c r="B156">
        <v>10</v>
      </c>
      <c r="C156">
        <v>4</v>
      </c>
      <c r="D156">
        <v>1424</v>
      </c>
      <c r="E156">
        <v>928</v>
      </c>
      <c r="F156">
        <v>622</v>
      </c>
      <c r="G156">
        <v>3.3262032085561501</v>
      </c>
      <c r="H156">
        <v>187</v>
      </c>
      <c r="I156">
        <v>0.30064308681672031</v>
      </c>
      <c r="J156">
        <v>14.85775862068976</v>
      </c>
      <c r="K156">
        <v>1.8337327476882499</v>
      </c>
      <c r="L156">
        <v>570.53333333086903</v>
      </c>
      <c r="M156">
        <v>1.1750000001471981</v>
      </c>
    </row>
    <row r="157" spans="1:13">
      <c r="A157" t="s">
        <v>28</v>
      </c>
      <c r="B157">
        <v>10</v>
      </c>
      <c r="C157">
        <v>5</v>
      </c>
      <c r="D157">
        <v>1421</v>
      </c>
      <c r="E157">
        <v>923</v>
      </c>
      <c r="F157">
        <v>619</v>
      </c>
      <c r="G157">
        <v>3.240837696335078</v>
      </c>
      <c r="H157">
        <v>191</v>
      </c>
      <c r="I157">
        <v>0.30856219709208399</v>
      </c>
      <c r="J157">
        <v>15.236078002315599</v>
      </c>
      <c r="K157">
        <v>1.8614177235154401</v>
      </c>
      <c r="L157">
        <v>543.95555555548697</v>
      </c>
      <c r="M157">
        <v>1.38425925940646</v>
      </c>
    </row>
    <row r="158" spans="1:13">
      <c r="A158" t="s">
        <v>28</v>
      </c>
      <c r="B158">
        <v>10</v>
      </c>
      <c r="C158">
        <v>6</v>
      </c>
      <c r="D158">
        <v>1423</v>
      </c>
      <c r="E158">
        <v>919</v>
      </c>
      <c r="F158">
        <v>618</v>
      </c>
      <c r="G158">
        <v>3.202072538860103</v>
      </c>
      <c r="H158">
        <v>193</v>
      </c>
      <c r="I158">
        <v>0.31229773462783172</v>
      </c>
      <c r="J158">
        <v>14.691074575318391</v>
      </c>
      <c r="K158">
        <v>1.78257520436752</v>
      </c>
      <c r="L158">
        <v>502.04444444741199</v>
      </c>
      <c r="M158">
        <v>1.2354938273076379</v>
      </c>
    </row>
    <row r="159" spans="1:13">
      <c r="A159" t="s">
        <v>28</v>
      </c>
      <c r="B159">
        <v>10</v>
      </c>
      <c r="C159">
        <v>7</v>
      </c>
      <c r="D159">
        <v>1420</v>
      </c>
      <c r="E159">
        <v>930</v>
      </c>
      <c r="F159">
        <v>635</v>
      </c>
      <c r="G159">
        <v>3.2233502538071059</v>
      </c>
      <c r="H159">
        <v>197</v>
      </c>
      <c r="I159">
        <v>0.31023622047244093</v>
      </c>
      <c r="J159">
        <v>15.178133815365911</v>
      </c>
      <c r="K159">
        <v>1.8218332625706199</v>
      </c>
      <c r="L159">
        <v>477.95555555838098</v>
      </c>
      <c r="M159">
        <v>1.474074074221404</v>
      </c>
    </row>
    <row r="160" spans="1:13">
      <c r="A160" t="s">
        <v>28</v>
      </c>
      <c r="B160">
        <v>10</v>
      </c>
      <c r="C160">
        <v>8</v>
      </c>
      <c r="D160">
        <v>1422</v>
      </c>
      <c r="E160">
        <v>934</v>
      </c>
      <c r="F160">
        <v>618</v>
      </c>
      <c r="G160">
        <v>3.2698412698412702</v>
      </c>
      <c r="H160">
        <v>189</v>
      </c>
      <c r="I160">
        <v>0.30582524271844658</v>
      </c>
      <c r="J160">
        <v>15.02209716273137</v>
      </c>
      <c r="K160">
        <v>1.86333161373804</v>
      </c>
      <c r="L160">
        <v>561.15555555887295</v>
      </c>
      <c r="M160">
        <v>1.367592592740104</v>
      </c>
    </row>
    <row r="161" spans="1:13">
      <c r="A161" t="s">
        <v>28</v>
      </c>
      <c r="B161">
        <v>10</v>
      </c>
      <c r="C161">
        <v>9</v>
      </c>
      <c r="D161">
        <v>1407</v>
      </c>
      <c r="E161">
        <v>902</v>
      </c>
      <c r="F161">
        <v>606</v>
      </c>
      <c r="G161">
        <v>3.2063492063492069</v>
      </c>
      <c r="H161">
        <v>189</v>
      </c>
      <c r="I161">
        <v>0.31188118811881188</v>
      </c>
      <c r="J161">
        <v>15.06940139450588</v>
      </c>
      <c r="K161">
        <v>1.85099541225977</v>
      </c>
      <c r="L161">
        <v>500.97777778073902</v>
      </c>
      <c r="M161">
        <v>2.3746913581719999</v>
      </c>
    </row>
    <row r="162" spans="1:13">
      <c r="A162" t="s">
        <v>29</v>
      </c>
      <c r="B162">
        <v>10</v>
      </c>
      <c r="C162">
        <v>0</v>
      </c>
      <c r="D162">
        <v>1423</v>
      </c>
      <c r="E162">
        <v>926</v>
      </c>
      <c r="F162">
        <v>644</v>
      </c>
      <c r="G162">
        <v>3.3025641025641019</v>
      </c>
      <c r="H162">
        <v>195</v>
      </c>
      <c r="I162">
        <v>0.30279503105590061</v>
      </c>
      <c r="J162">
        <v>15.200724442027539</v>
      </c>
      <c r="K162">
        <v>1.8022611168771501</v>
      </c>
      <c r="L162">
        <v>541.06666666709702</v>
      </c>
      <c r="M162">
        <v>1.277469135949862</v>
      </c>
    </row>
    <row r="163" spans="1:13">
      <c r="A163" t="s">
        <v>29</v>
      </c>
      <c r="B163">
        <v>10</v>
      </c>
      <c r="C163">
        <v>1</v>
      </c>
      <c r="D163">
        <v>1426</v>
      </c>
      <c r="E163">
        <v>926</v>
      </c>
      <c r="F163">
        <v>608</v>
      </c>
      <c r="G163">
        <v>3.2340425531914891</v>
      </c>
      <c r="H163">
        <v>188</v>
      </c>
      <c r="I163">
        <v>0.30921052631578949</v>
      </c>
      <c r="J163">
        <v>15.159827213823</v>
      </c>
      <c r="K163">
        <v>1.9015140845412399</v>
      </c>
      <c r="L163">
        <v>555.82222221982101</v>
      </c>
      <c r="M163">
        <v>1.0126543211347201</v>
      </c>
    </row>
    <row r="164" spans="1:13">
      <c r="A164" t="s">
        <v>29</v>
      </c>
      <c r="B164">
        <v>10</v>
      </c>
      <c r="C164">
        <v>2</v>
      </c>
      <c r="D164">
        <v>1424</v>
      </c>
      <c r="E164">
        <v>951</v>
      </c>
      <c r="F164">
        <v>632</v>
      </c>
      <c r="G164">
        <v>3.3263157894736839</v>
      </c>
      <c r="H164">
        <v>190</v>
      </c>
      <c r="I164">
        <v>0.30063291139240511</v>
      </c>
      <c r="J164">
        <v>14.93098332974669</v>
      </c>
      <c r="K164">
        <v>1.8564792763114699</v>
      </c>
      <c r="L164">
        <v>536.48888889206</v>
      </c>
      <c r="M164">
        <v>1.154938271678609</v>
      </c>
    </row>
    <row r="165" spans="1:13">
      <c r="A165" t="s">
        <v>29</v>
      </c>
      <c r="B165">
        <v>10</v>
      </c>
      <c r="C165">
        <v>3</v>
      </c>
      <c r="D165">
        <v>1419</v>
      </c>
      <c r="E165">
        <v>917</v>
      </c>
      <c r="F165">
        <v>613</v>
      </c>
      <c r="G165">
        <v>3.295698924731183</v>
      </c>
      <c r="H165">
        <v>186</v>
      </c>
      <c r="I165">
        <v>0.30342577487765088</v>
      </c>
      <c r="J165">
        <v>15.09617432464929</v>
      </c>
      <c r="K165">
        <v>1.8505809495282399</v>
      </c>
      <c r="L165">
        <v>563.64444444200899</v>
      </c>
      <c r="M165">
        <v>1.516358024838526</v>
      </c>
    </row>
    <row r="166" spans="1:13">
      <c r="A166" t="s">
        <v>29</v>
      </c>
      <c r="B166">
        <v>10</v>
      </c>
      <c r="C166">
        <v>4</v>
      </c>
      <c r="D166">
        <v>1423</v>
      </c>
      <c r="E166">
        <v>927</v>
      </c>
      <c r="F166">
        <v>626</v>
      </c>
      <c r="G166">
        <v>3.2435233160621761</v>
      </c>
      <c r="H166">
        <v>193</v>
      </c>
      <c r="I166">
        <v>0.30830670926517573</v>
      </c>
      <c r="J166">
        <v>14.82350772684455</v>
      </c>
      <c r="K166">
        <v>1.8107714338907499</v>
      </c>
      <c r="L166">
        <v>548.31111111104599</v>
      </c>
      <c r="M166">
        <v>1.259259259406545</v>
      </c>
    </row>
    <row r="167" spans="1:13">
      <c r="A167" t="s">
        <v>29</v>
      </c>
      <c r="B167">
        <v>10</v>
      </c>
      <c r="C167">
        <v>5</v>
      </c>
      <c r="D167">
        <v>1425</v>
      </c>
      <c r="E167">
        <v>922</v>
      </c>
      <c r="F167">
        <v>616</v>
      </c>
      <c r="G167">
        <v>3.347826086956522</v>
      </c>
      <c r="H167">
        <v>184</v>
      </c>
      <c r="I167">
        <v>0.29870129870129869</v>
      </c>
      <c r="J167">
        <v>14.951970358472989</v>
      </c>
      <c r="K167">
        <v>1.82983681870665</v>
      </c>
      <c r="L167">
        <v>525.15555555506398</v>
      </c>
      <c r="M167">
        <v>1.118827160641102</v>
      </c>
    </row>
    <row r="168" spans="1:13">
      <c r="A168" t="s">
        <v>29</v>
      </c>
      <c r="B168">
        <v>10</v>
      </c>
      <c r="C168">
        <v>6</v>
      </c>
      <c r="D168">
        <v>1425</v>
      </c>
      <c r="E168">
        <v>926</v>
      </c>
      <c r="F168">
        <v>617</v>
      </c>
      <c r="G168">
        <v>3.2303664921465969</v>
      </c>
      <c r="H168">
        <v>191</v>
      </c>
      <c r="I168">
        <v>0.30956239870340357</v>
      </c>
      <c r="J168">
        <v>14.93556965441058</v>
      </c>
      <c r="K168">
        <v>1.83803862291092</v>
      </c>
      <c r="L168">
        <v>523.24444444218398</v>
      </c>
      <c r="M168">
        <v>1.077469135949497</v>
      </c>
    </row>
    <row r="169" spans="1:13">
      <c r="A169" t="s">
        <v>29</v>
      </c>
      <c r="B169">
        <v>10</v>
      </c>
      <c r="C169">
        <v>7</v>
      </c>
      <c r="D169">
        <v>1427</v>
      </c>
      <c r="E169">
        <v>933</v>
      </c>
      <c r="F169">
        <v>636</v>
      </c>
      <c r="G169">
        <v>3.278350515463917</v>
      </c>
      <c r="H169">
        <v>194</v>
      </c>
      <c r="I169">
        <v>0.30503144654088049</v>
      </c>
      <c r="J169">
        <v>15.079747231136979</v>
      </c>
      <c r="K169">
        <v>1.80008422401659</v>
      </c>
      <c r="L169">
        <v>509.68888889107598</v>
      </c>
      <c r="M169">
        <v>1.0265432100240921</v>
      </c>
    </row>
    <row r="170" spans="1:13">
      <c r="A170" t="s">
        <v>29</v>
      </c>
      <c r="B170">
        <v>10</v>
      </c>
      <c r="C170">
        <v>8</v>
      </c>
      <c r="D170">
        <v>1412</v>
      </c>
      <c r="E170">
        <v>917</v>
      </c>
      <c r="F170">
        <v>613</v>
      </c>
      <c r="G170">
        <v>3.2780748663101602</v>
      </c>
      <c r="H170">
        <v>187</v>
      </c>
      <c r="I170">
        <v>0.30505709624796079</v>
      </c>
      <c r="J170">
        <v>14.996595686561941</v>
      </c>
      <c r="K170">
        <v>1.83398941191834</v>
      </c>
      <c r="L170">
        <v>513.19999999778304</v>
      </c>
      <c r="M170">
        <v>1.9901234569372139</v>
      </c>
    </row>
    <row r="171" spans="1:13">
      <c r="A171" t="s">
        <v>29</v>
      </c>
      <c r="B171">
        <v>10</v>
      </c>
      <c r="C171">
        <v>9</v>
      </c>
      <c r="D171">
        <v>1421</v>
      </c>
      <c r="E171">
        <v>926</v>
      </c>
      <c r="F171">
        <v>613</v>
      </c>
      <c r="G171">
        <v>3.2094240837696342</v>
      </c>
      <c r="H171">
        <v>191</v>
      </c>
      <c r="I171">
        <v>0.31158238172920072</v>
      </c>
      <c r="J171">
        <v>15.534465034444381</v>
      </c>
      <c r="K171">
        <v>1.9182074183473501</v>
      </c>
      <c r="L171">
        <v>514.133333331112</v>
      </c>
      <c r="M171">
        <v>1.35987654335694</v>
      </c>
    </row>
    <row r="172" spans="1:13">
      <c r="A172" t="s">
        <v>30</v>
      </c>
      <c r="B172">
        <v>10</v>
      </c>
      <c r="C172">
        <v>0</v>
      </c>
      <c r="D172">
        <v>1426</v>
      </c>
      <c r="E172">
        <v>931</v>
      </c>
      <c r="F172">
        <v>639</v>
      </c>
      <c r="G172">
        <v>3.3108808290155438</v>
      </c>
      <c r="H172">
        <v>193</v>
      </c>
      <c r="I172">
        <v>0.30203442879499209</v>
      </c>
      <c r="J172">
        <v>15.36738433799151</v>
      </c>
      <c r="K172">
        <v>1.8440473212058901</v>
      </c>
      <c r="L172">
        <v>480.88888889173199</v>
      </c>
      <c r="M172">
        <v>1.079012345826462</v>
      </c>
    </row>
    <row r="173" spans="1:13">
      <c r="A173" t="s">
        <v>30</v>
      </c>
      <c r="B173">
        <v>10</v>
      </c>
      <c r="C173">
        <v>1</v>
      </c>
      <c r="D173">
        <v>1418</v>
      </c>
      <c r="E173">
        <v>910</v>
      </c>
      <c r="F173">
        <v>609</v>
      </c>
      <c r="G173">
        <v>3.274193548387097</v>
      </c>
      <c r="H173">
        <v>186</v>
      </c>
      <c r="I173">
        <v>0.30541871921182268</v>
      </c>
      <c r="J173">
        <v>15.505607961060109</v>
      </c>
      <c r="K173">
        <v>1.87374399408054</v>
      </c>
      <c r="L173">
        <v>542.62222222260698</v>
      </c>
      <c r="M173">
        <v>1.638888889036358</v>
      </c>
    </row>
    <row r="174" spans="1:13">
      <c r="A174" t="s">
        <v>30</v>
      </c>
      <c r="B174">
        <v>10</v>
      </c>
      <c r="C174">
        <v>2</v>
      </c>
      <c r="D174">
        <v>1427</v>
      </c>
      <c r="E174">
        <v>955</v>
      </c>
      <c r="F174">
        <v>639</v>
      </c>
      <c r="G174">
        <v>3.3631578947368421</v>
      </c>
      <c r="H174">
        <v>190</v>
      </c>
      <c r="I174">
        <v>0.29733959311424102</v>
      </c>
      <c r="J174">
        <v>15.27547120415529</v>
      </c>
      <c r="K174">
        <v>1.8904424312219099</v>
      </c>
      <c r="L174">
        <v>570.57777777808303</v>
      </c>
      <c r="M174">
        <v>0.98148148162876525</v>
      </c>
    </row>
    <row r="175" spans="1:13">
      <c r="A175" t="s">
        <v>30</v>
      </c>
      <c r="B175">
        <v>10</v>
      </c>
      <c r="C175">
        <v>3</v>
      </c>
      <c r="D175">
        <v>1430</v>
      </c>
      <c r="E175">
        <v>925</v>
      </c>
      <c r="F175">
        <v>617</v>
      </c>
      <c r="G175">
        <v>3.2645502645502651</v>
      </c>
      <c r="H175">
        <v>189</v>
      </c>
      <c r="I175">
        <v>0.30632090761750408</v>
      </c>
      <c r="J175">
        <v>15.163442400698271</v>
      </c>
      <c r="K175">
        <v>1.8467447771619301</v>
      </c>
      <c r="L175">
        <v>561.02222222266903</v>
      </c>
      <c r="M175">
        <v>0.75864197545583623</v>
      </c>
    </row>
    <row r="176" spans="1:13">
      <c r="A176" t="s">
        <v>30</v>
      </c>
      <c r="B176">
        <v>10</v>
      </c>
      <c r="C176">
        <v>4</v>
      </c>
      <c r="D176">
        <v>1421</v>
      </c>
      <c r="E176">
        <v>936</v>
      </c>
      <c r="F176">
        <v>636</v>
      </c>
      <c r="G176">
        <v>3.2448979591836729</v>
      </c>
      <c r="H176">
        <v>196</v>
      </c>
      <c r="I176">
        <v>0.3081761006289308</v>
      </c>
      <c r="J176">
        <v>15.39177442699487</v>
      </c>
      <c r="K176">
        <v>1.8703828538540599</v>
      </c>
      <c r="L176">
        <v>512.40000000000998</v>
      </c>
      <c r="M176">
        <v>1.454320987801935</v>
      </c>
    </row>
    <row r="177" spans="1:13">
      <c r="A177" t="s">
        <v>30</v>
      </c>
      <c r="B177">
        <v>10</v>
      </c>
      <c r="C177">
        <v>5</v>
      </c>
      <c r="D177">
        <v>1429</v>
      </c>
      <c r="E177">
        <v>930</v>
      </c>
      <c r="F177">
        <v>619</v>
      </c>
      <c r="G177">
        <v>3.327956989247312</v>
      </c>
      <c r="H177">
        <v>186</v>
      </c>
      <c r="I177">
        <v>0.30048465266558971</v>
      </c>
      <c r="J177">
        <v>15.035058243710539</v>
      </c>
      <c r="K177">
        <v>1.8597718456877299</v>
      </c>
      <c r="L177">
        <v>576.62222222217997</v>
      </c>
      <c r="M177">
        <v>0.87222222236968538</v>
      </c>
    </row>
    <row r="178" spans="1:13">
      <c r="A178" t="s">
        <v>30</v>
      </c>
      <c r="B178">
        <v>10</v>
      </c>
      <c r="C178">
        <v>6</v>
      </c>
      <c r="D178">
        <v>1407</v>
      </c>
      <c r="E178">
        <v>915</v>
      </c>
      <c r="F178">
        <v>610</v>
      </c>
      <c r="G178">
        <v>3.279569892473118</v>
      </c>
      <c r="H178">
        <v>186</v>
      </c>
      <c r="I178">
        <v>0.30491803278688517</v>
      </c>
      <c r="J178">
        <v>15.54316939890721</v>
      </c>
      <c r="K178">
        <v>1.91768918864923</v>
      </c>
      <c r="L178">
        <v>500.00000000039802</v>
      </c>
      <c r="M178">
        <v>2.3657407408880071</v>
      </c>
    </row>
    <row r="179" spans="1:13">
      <c r="A179" t="s">
        <v>30</v>
      </c>
      <c r="B179">
        <v>10</v>
      </c>
      <c r="C179">
        <v>7</v>
      </c>
      <c r="D179">
        <v>1422</v>
      </c>
      <c r="E179">
        <v>929</v>
      </c>
      <c r="F179">
        <v>619</v>
      </c>
      <c r="G179">
        <v>3.310160427807487</v>
      </c>
      <c r="H179">
        <v>187</v>
      </c>
      <c r="I179">
        <v>0.30210016155088848</v>
      </c>
      <c r="J179">
        <v>14.83264811240624</v>
      </c>
      <c r="K179">
        <v>1.83281033512809</v>
      </c>
      <c r="L179">
        <v>542.84444444765404</v>
      </c>
      <c r="M179">
        <v>1.3021604939742899</v>
      </c>
    </row>
    <row r="180" spans="1:13">
      <c r="A180" t="s">
        <v>30</v>
      </c>
      <c r="B180">
        <v>10</v>
      </c>
      <c r="C180">
        <v>8</v>
      </c>
      <c r="D180">
        <v>1427</v>
      </c>
      <c r="E180">
        <v>933</v>
      </c>
      <c r="F180">
        <v>630</v>
      </c>
      <c r="G180">
        <v>3.2984293193717278</v>
      </c>
      <c r="H180">
        <v>191</v>
      </c>
      <c r="I180">
        <v>0.30317460317460321</v>
      </c>
      <c r="J180">
        <v>15.600559430094529</v>
      </c>
      <c r="K180">
        <v>1.8924148626067001</v>
      </c>
      <c r="L180">
        <v>493.02222222009198</v>
      </c>
      <c r="M180">
        <v>0.9700617285422819</v>
      </c>
    </row>
    <row r="181" spans="1:13">
      <c r="A181" t="s">
        <v>30</v>
      </c>
      <c r="B181">
        <v>10</v>
      </c>
      <c r="C181">
        <v>9</v>
      </c>
      <c r="D181">
        <v>1418</v>
      </c>
      <c r="E181">
        <v>919</v>
      </c>
      <c r="F181">
        <v>616</v>
      </c>
      <c r="G181">
        <v>3.3661202185792352</v>
      </c>
      <c r="H181">
        <v>183</v>
      </c>
      <c r="I181">
        <v>0.29707792207792211</v>
      </c>
      <c r="J181">
        <v>15.05467032987726</v>
      </c>
      <c r="K181">
        <v>1.85094074396931</v>
      </c>
      <c r="L181">
        <v>512.444444444125</v>
      </c>
      <c r="M181">
        <v>1.577160493974276</v>
      </c>
    </row>
    <row r="182" spans="1:13">
      <c r="A182" t="s">
        <v>31</v>
      </c>
      <c r="B182">
        <v>10</v>
      </c>
      <c r="C182">
        <v>0</v>
      </c>
      <c r="D182">
        <v>1423</v>
      </c>
      <c r="E182">
        <v>924</v>
      </c>
      <c r="F182">
        <v>636</v>
      </c>
      <c r="G182">
        <v>3.295336787564767</v>
      </c>
      <c r="H182">
        <v>193</v>
      </c>
      <c r="I182">
        <v>0.30345911949685528</v>
      </c>
      <c r="J182">
        <v>16.047619047619161</v>
      </c>
      <c r="K182">
        <v>1.91071318771565</v>
      </c>
      <c r="L182">
        <v>507.46666666966701</v>
      </c>
      <c r="M182">
        <v>1.2885802470610399</v>
      </c>
    </row>
    <row r="183" spans="1:13">
      <c r="A183" t="s">
        <v>31</v>
      </c>
      <c r="B183">
        <v>10</v>
      </c>
      <c r="C183">
        <v>1</v>
      </c>
      <c r="D183">
        <v>1425</v>
      </c>
      <c r="E183">
        <v>926</v>
      </c>
      <c r="F183">
        <v>615</v>
      </c>
      <c r="G183">
        <v>3.271276595744681</v>
      </c>
      <c r="H183">
        <v>188</v>
      </c>
      <c r="I183">
        <v>0.30569105691056908</v>
      </c>
      <c r="J183">
        <v>15.50629208377808</v>
      </c>
      <c r="K183">
        <v>1.87621467371536</v>
      </c>
      <c r="L183">
        <v>565.59999999994898</v>
      </c>
      <c r="M183">
        <v>1.154012345826499</v>
      </c>
    </row>
    <row r="184" spans="1:13">
      <c r="A184" t="s">
        <v>31</v>
      </c>
      <c r="B184">
        <v>10</v>
      </c>
      <c r="C184">
        <v>2</v>
      </c>
      <c r="D184">
        <v>1426</v>
      </c>
      <c r="E184">
        <v>959</v>
      </c>
      <c r="F184">
        <v>638</v>
      </c>
      <c r="G184">
        <v>3.3756613756613758</v>
      </c>
      <c r="H184">
        <v>189</v>
      </c>
      <c r="I184">
        <v>0.29623824451410657</v>
      </c>
      <c r="J184">
        <v>15.256517205422419</v>
      </c>
      <c r="K184">
        <v>1.9018365683296099</v>
      </c>
      <c r="L184">
        <v>541.11111111154196</v>
      </c>
      <c r="M184">
        <v>1.042592592739831</v>
      </c>
    </row>
    <row r="185" spans="1:13">
      <c r="A185" t="s">
        <v>31</v>
      </c>
      <c r="B185">
        <v>10</v>
      </c>
      <c r="C185">
        <v>3</v>
      </c>
      <c r="D185">
        <v>1410</v>
      </c>
      <c r="E185">
        <v>914</v>
      </c>
      <c r="F185">
        <v>608</v>
      </c>
      <c r="G185">
        <v>3.2864864864864871</v>
      </c>
      <c r="H185">
        <v>185</v>
      </c>
      <c r="I185">
        <v>0.30427631578947367</v>
      </c>
      <c r="J185">
        <v>14.773135820835339</v>
      </c>
      <c r="K185">
        <v>1.8304591131808401</v>
      </c>
      <c r="L185">
        <v>581.68888888637605</v>
      </c>
      <c r="M185">
        <v>2.1447530865669369</v>
      </c>
    </row>
    <row r="186" spans="1:13">
      <c r="A186" t="s">
        <v>31</v>
      </c>
      <c r="B186">
        <v>10</v>
      </c>
      <c r="C186">
        <v>4</v>
      </c>
      <c r="D186">
        <v>1420</v>
      </c>
      <c r="E186">
        <v>929</v>
      </c>
      <c r="F186">
        <v>624</v>
      </c>
      <c r="G186">
        <v>3.3368983957219251</v>
      </c>
      <c r="H186">
        <v>187</v>
      </c>
      <c r="I186">
        <v>0.29967948717948723</v>
      </c>
      <c r="J186">
        <v>15.97548345739526</v>
      </c>
      <c r="K186">
        <v>1.95429005363987</v>
      </c>
      <c r="L186">
        <v>550.13333333095704</v>
      </c>
      <c r="M186">
        <v>1.45092592607312</v>
      </c>
    </row>
    <row r="187" spans="1:13">
      <c r="A187" t="s">
        <v>31</v>
      </c>
      <c r="B187">
        <v>10</v>
      </c>
      <c r="C187">
        <v>5</v>
      </c>
      <c r="D187">
        <v>1423</v>
      </c>
      <c r="E187">
        <v>922</v>
      </c>
      <c r="F187">
        <v>613</v>
      </c>
      <c r="G187">
        <v>3.192708333333333</v>
      </c>
      <c r="H187">
        <v>192</v>
      </c>
      <c r="I187">
        <v>0.31321370309951058</v>
      </c>
      <c r="J187">
        <v>15.629440582154659</v>
      </c>
      <c r="K187">
        <v>1.93844661549185</v>
      </c>
      <c r="L187">
        <v>556.08888888933097</v>
      </c>
      <c r="M187">
        <v>1.228395061875504</v>
      </c>
    </row>
    <row r="188" spans="1:13">
      <c r="A188" t="s">
        <v>31</v>
      </c>
      <c r="B188">
        <v>10</v>
      </c>
      <c r="C188">
        <v>6</v>
      </c>
      <c r="D188">
        <v>1422</v>
      </c>
      <c r="E188">
        <v>927</v>
      </c>
      <c r="F188">
        <v>615</v>
      </c>
      <c r="G188">
        <v>3.253968253968254</v>
      </c>
      <c r="H188">
        <v>189</v>
      </c>
      <c r="I188">
        <v>0.3073170731707317</v>
      </c>
      <c r="J188">
        <v>15.07335490830647</v>
      </c>
      <c r="K188">
        <v>1.8484801445293999</v>
      </c>
      <c r="L188">
        <v>515.60000000304797</v>
      </c>
      <c r="M188">
        <v>1.3185185186657451</v>
      </c>
    </row>
    <row r="189" spans="1:13">
      <c r="A189" t="s">
        <v>31</v>
      </c>
      <c r="B189">
        <v>10</v>
      </c>
      <c r="C189">
        <v>7</v>
      </c>
      <c r="D189">
        <v>1430</v>
      </c>
      <c r="E189">
        <v>945</v>
      </c>
      <c r="F189">
        <v>637</v>
      </c>
      <c r="G189">
        <v>3.3703703703703698</v>
      </c>
      <c r="H189">
        <v>189</v>
      </c>
      <c r="I189">
        <v>0.2967032967032967</v>
      </c>
      <c r="J189">
        <v>14.70687830687841</v>
      </c>
      <c r="K189">
        <v>1.7804268077693699</v>
      </c>
      <c r="L189">
        <v>507.24444444225298</v>
      </c>
      <c r="M189">
        <v>0.7614197532336292</v>
      </c>
    </row>
    <row r="190" spans="1:13">
      <c r="A190" t="s">
        <v>31</v>
      </c>
      <c r="B190">
        <v>10</v>
      </c>
      <c r="C190">
        <v>8</v>
      </c>
      <c r="D190">
        <v>1421</v>
      </c>
      <c r="E190">
        <v>944</v>
      </c>
      <c r="F190">
        <v>634</v>
      </c>
      <c r="G190">
        <v>3.4270270270270271</v>
      </c>
      <c r="H190">
        <v>185</v>
      </c>
      <c r="I190">
        <v>0.29179810725552052</v>
      </c>
      <c r="J190">
        <v>14.913277387853389</v>
      </c>
      <c r="K190">
        <v>1.8239560864147999</v>
      </c>
      <c r="L190">
        <v>510.84444444746401</v>
      </c>
      <c r="M190">
        <v>1.3953703705176379</v>
      </c>
    </row>
    <row r="191" spans="1:13">
      <c r="A191" t="s">
        <v>31</v>
      </c>
      <c r="B191">
        <v>10</v>
      </c>
      <c r="C191">
        <v>9</v>
      </c>
      <c r="D191">
        <v>1424</v>
      </c>
      <c r="E191">
        <v>925</v>
      </c>
      <c r="F191">
        <v>621</v>
      </c>
      <c r="G191">
        <v>3.375</v>
      </c>
      <c r="H191">
        <v>184</v>
      </c>
      <c r="I191">
        <v>0.29629629629629628</v>
      </c>
      <c r="J191">
        <v>15.41133623205384</v>
      </c>
      <c r="K191">
        <v>1.8835771862675299</v>
      </c>
      <c r="L191">
        <v>539.02222222215005</v>
      </c>
      <c r="M191">
        <v>1.172839506320023</v>
      </c>
    </row>
    <row r="192" spans="1:13">
      <c r="A192" t="s">
        <v>32</v>
      </c>
      <c r="B192">
        <v>10</v>
      </c>
      <c r="C192">
        <v>0</v>
      </c>
      <c r="D192">
        <v>1085</v>
      </c>
      <c r="E192">
        <v>703</v>
      </c>
      <c r="F192">
        <v>504</v>
      </c>
      <c r="G192">
        <v>3.524475524475525</v>
      </c>
      <c r="H192">
        <v>143</v>
      </c>
      <c r="I192">
        <v>0.28373015873015872</v>
      </c>
      <c r="J192">
        <v>14.53769559032717</v>
      </c>
      <c r="K192">
        <v>1.70053371744496</v>
      </c>
      <c r="L192">
        <v>472.35555555834799</v>
      </c>
      <c r="M192">
        <v>24.652777777777779</v>
      </c>
    </row>
    <row r="193" spans="1:13">
      <c r="A193" t="s">
        <v>32</v>
      </c>
      <c r="B193">
        <v>10</v>
      </c>
      <c r="C193">
        <v>1</v>
      </c>
      <c r="D193">
        <v>1415</v>
      </c>
      <c r="E193">
        <v>917</v>
      </c>
      <c r="F193">
        <v>617</v>
      </c>
      <c r="G193">
        <v>3.1161616161616159</v>
      </c>
      <c r="H193">
        <v>198</v>
      </c>
      <c r="I193">
        <v>0.32090761750405189</v>
      </c>
      <c r="J193">
        <v>15.052618176715489</v>
      </c>
      <c r="K193">
        <v>1.84049497397286</v>
      </c>
      <c r="L193">
        <v>452.93333333137701</v>
      </c>
      <c r="M193">
        <v>1.83209876557948</v>
      </c>
    </row>
    <row r="194" spans="1:13">
      <c r="A194" t="s">
        <v>32</v>
      </c>
      <c r="B194">
        <v>10</v>
      </c>
      <c r="C194">
        <v>2</v>
      </c>
      <c r="D194">
        <v>1255</v>
      </c>
      <c r="E194">
        <v>832</v>
      </c>
      <c r="F194">
        <v>564</v>
      </c>
      <c r="G194">
        <v>3.204545454545455</v>
      </c>
      <c r="H194">
        <v>176</v>
      </c>
      <c r="I194">
        <v>0.31205673758865249</v>
      </c>
      <c r="J194">
        <v>14.41706730769231</v>
      </c>
      <c r="K194">
        <v>1.7795659727356801</v>
      </c>
      <c r="L194">
        <v>442.799999998087</v>
      </c>
      <c r="M194">
        <v>12.84722222222222</v>
      </c>
    </row>
    <row r="195" spans="1:13">
      <c r="A195" t="s">
        <v>32</v>
      </c>
      <c r="B195">
        <v>10</v>
      </c>
      <c r="C195">
        <v>3</v>
      </c>
      <c r="D195">
        <v>1384</v>
      </c>
      <c r="E195">
        <v>909</v>
      </c>
      <c r="F195">
        <v>606</v>
      </c>
      <c r="G195">
        <v>3.2063492063492069</v>
      </c>
      <c r="H195">
        <v>189</v>
      </c>
      <c r="I195">
        <v>0.31188118811881188</v>
      </c>
      <c r="J195">
        <v>14.511555233840371</v>
      </c>
      <c r="K195">
        <v>1.80955528536646</v>
      </c>
      <c r="L195">
        <v>569.86666666686995</v>
      </c>
      <c r="M195">
        <v>4.0040123458265144</v>
      </c>
    </row>
    <row r="196" spans="1:13">
      <c r="A196" t="s">
        <v>32</v>
      </c>
      <c r="B196">
        <v>10</v>
      </c>
      <c r="C196">
        <v>4</v>
      </c>
      <c r="D196">
        <v>1389</v>
      </c>
      <c r="E196">
        <v>904</v>
      </c>
      <c r="F196">
        <v>607</v>
      </c>
      <c r="G196">
        <v>3.228723404255319</v>
      </c>
      <c r="H196">
        <v>188</v>
      </c>
      <c r="I196">
        <v>0.30971993410214171</v>
      </c>
      <c r="J196">
        <v>14.903191166813381</v>
      </c>
      <c r="K196">
        <v>1.8417754298337099</v>
      </c>
      <c r="L196">
        <v>463.55555555570999</v>
      </c>
      <c r="M196">
        <v>3.6706790124932569</v>
      </c>
    </row>
    <row r="197" spans="1:13">
      <c r="A197" t="s">
        <v>32</v>
      </c>
      <c r="B197">
        <v>10</v>
      </c>
      <c r="C197">
        <v>5</v>
      </c>
      <c r="D197">
        <v>1408</v>
      </c>
      <c r="E197">
        <v>919</v>
      </c>
      <c r="F197">
        <v>634</v>
      </c>
      <c r="G197">
        <v>3.218274111675127</v>
      </c>
      <c r="H197">
        <v>197</v>
      </c>
      <c r="I197">
        <v>0.3107255520504732</v>
      </c>
      <c r="J197">
        <v>14.81001541528923</v>
      </c>
      <c r="K197">
        <v>1.7856657662503399</v>
      </c>
      <c r="L197">
        <v>461.19999999800802</v>
      </c>
      <c r="M197">
        <v>2.2817901236039648</v>
      </c>
    </row>
    <row r="198" spans="1:13">
      <c r="A198" t="s">
        <v>32</v>
      </c>
      <c r="B198">
        <v>10</v>
      </c>
      <c r="C198">
        <v>6</v>
      </c>
      <c r="D198">
        <v>1394</v>
      </c>
      <c r="E198">
        <v>904</v>
      </c>
      <c r="F198">
        <v>611</v>
      </c>
      <c r="G198">
        <v>3.1989528795811522</v>
      </c>
      <c r="H198">
        <v>191</v>
      </c>
      <c r="I198">
        <v>0.31260229132569561</v>
      </c>
      <c r="J198">
        <v>14.77227599555774</v>
      </c>
      <c r="K198">
        <v>1.78429502145746</v>
      </c>
      <c r="L198">
        <v>471.86666666687898</v>
      </c>
      <c r="M198">
        <v>3.2811728396534998</v>
      </c>
    </row>
    <row r="199" spans="1:13">
      <c r="A199" t="s">
        <v>32</v>
      </c>
      <c r="B199">
        <v>10</v>
      </c>
      <c r="C199">
        <v>7</v>
      </c>
      <c r="D199">
        <v>1415</v>
      </c>
      <c r="E199">
        <v>932</v>
      </c>
      <c r="F199">
        <v>634</v>
      </c>
      <c r="G199">
        <v>3.4270270270270271</v>
      </c>
      <c r="H199">
        <v>185</v>
      </c>
      <c r="I199">
        <v>0.29179810725552052</v>
      </c>
      <c r="J199">
        <v>14.548073140183259</v>
      </c>
      <c r="K199">
        <v>1.7630762806861799</v>
      </c>
      <c r="L199">
        <v>487.51111110900501</v>
      </c>
      <c r="M199">
        <v>1.775308642122357</v>
      </c>
    </row>
    <row r="200" spans="1:13">
      <c r="A200" t="s">
        <v>32</v>
      </c>
      <c r="B200">
        <v>10</v>
      </c>
      <c r="C200">
        <v>8</v>
      </c>
      <c r="D200">
        <v>1231</v>
      </c>
      <c r="E200">
        <v>810</v>
      </c>
      <c r="F200">
        <v>545</v>
      </c>
      <c r="G200">
        <v>3.1502890173410401</v>
      </c>
      <c r="H200">
        <v>173</v>
      </c>
      <c r="I200">
        <v>0.31743119266055048</v>
      </c>
      <c r="J200">
        <v>14.39259259259272</v>
      </c>
      <c r="K200">
        <v>1.7606204178181899</v>
      </c>
      <c r="L200">
        <v>429.55555555633498</v>
      </c>
      <c r="M200">
        <v>14.513888888888889</v>
      </c>
    </row>
    <row r="201" spans="1:13">
      <c r="A201" t="s">
        <v>32</v>
      </c>
      <c r="B201">
        <v>10</v>
      </c>
      <c r="C201">
        <v>9</v>
      </c>
      <c r="D201">
        <v>1306</v>
      </c>
      <c r="E201">
        <v>845</v>
      </c>
      <c r="F201">
        <v>576</v>
      </c>
      <c r="G201">
        <v>3.4285714285714279</v>
      </c>
      <c r="H201">
        <v>168</v>
      </c>
      <c r="I201">
        <v>0.29166666666666669</v>
      </c>
      <c r="J201">
        <v>14.648520710059289</v>
      </c>
      <c r="K201">
        <v>1.7693654361554301</v>
      </c>
      <c r="L201">
        <v>470.933333331771</v>
      </c>
      <c r="M201">
        <v>9.3055555555555483</v>
      </c>
    </row>
    <row r="202" spans="1:13">
      <c r="A202" t="s">
        <v>33</v>
      </c>
      <c r="B202">
        <v>10</v>
      </c>
      <c r="C202">
        <v>0</v>
      </c>
      <c r="D202">
        <v>1403</v>
      </c>
      <c r="E202">
        <v>918</v>
      </c>
      <c r="F202">
        <v>634</v>
      </c>
      <c r="G202">
        <v>3.2512820512820508</v>
      </c>
      <c r="H202">
        <v>195</v>
      </c>
      <c r="I202">
        <v>0.30757097791798099</v>
      </c>
      <c r="J202">
        <v>15.11772005447026</v>
      </c>
      <c r="K202">
        <v>1.7942116396946299</v>
      </c>
      <c r="L202">
        <v>501.06666666706502</v>
      </c>
      <c r="M202">
        <v>2.6194444445915548</v>
      </c>
    </row>
    <row r="203" spans="1:13">
      <c r="A203" t="s">
        <v>33</v>
      </c>
      <c r="B203">
        <v>10</v>
      </c>
      <c r="C203">
        <v>1</v>
      </c>
      <c r="D203">
        <v>1420</v>
      </c>
      <c r="E203">
        <v>917</v>
      </c>
      <c r="F203">
        <v>605</v>
      </c>
      <c r="G203">
        <v>3.252688172043011</v>
      </c>
      <c r="H203">
        <v>186</v>
      </c>
      <c r="I203">
        <v>0.30743801652892561</v>
      </c>
      <c r="J203">
        <v>14.56009178478822</v>
      </c>
      <c r="K203">
        <v>1.81060096192953</v>
      </c>
      <c r="L203">
        <v>547.555555558793</v>
      </c>
      <c r="M203">
        <v>1.487962963110375</v>
      </c>
    </row>
    <row r="204" spans="1:13">
      <c r="A204" t="s">
        <v>33</v>
      </c>
      <c r="B204">
        <v>10</v>
      </c>
      <c r="C204">
        <v>2</v>
      </c>
      <c r="D204">
        <v>1427</v>
      </c>
      <c r="E204">
        <v>955</v>
      </c>
      <c r="F204">
        <v>632</v>
      </c>
      <c r="G204">
        <v>3.3263157894736839</v>
      </c>
      <c r="H204">
        <v>190</v>
      </c>
      <c r="I204">
        <v>0.30063291139240511</v>
      </c>
      <c r="J204">
        <v>14.583962752883769</v>
      </c>
      <c r="K204">
        <v>1.8219929968472099</v>
      </c>
      <c r="L204">
        <v>500.93333333629499</v>
      </c>
      <c r="M204">
        <v>0.94907407422116674</v>
      </c>
    </row>
    <row r="205" spans="1:13">
      <c r="A205" t="s">
        <v>33</v>
      </c>
      <c r="B205">
        <v>10</v>
      </c>
      <c r="C205">
        <v>3</v>
      </c>
      <c r="D205">
        <v>1411</v>
      </c>
      <c r="E205">
        <v>927</v>
      </c>
      <c r="F205">
        <v>618</v>
      </c>
      <c r="G205">
        <v>3.1370558375634521</v>
      </c>
      <c r="H205">
        <v>197</v>
      </c>
      <c r="I205">
        <v>0.31877022653721682</v>
      </c>
      <c r="J205">
        <v>15.46170441870766</v>
      </c>
      <c r="K205">
        <v>1.8856297205992401</v>
      </c>
      <c r="L205">
        <v>535.37777777770202</v>
      </c>
      <c r="M205">
        <v>2.0734567902706318</v>
      </c>
    </row>
    <row r="206" spans="1:13">
      <c r="A206" t="s">
        <v>33</v>
      </c>
      <c r="B206">
        <v>10</v>
      </c>
      <c r="C206">
        <v>4</v>
      </c>
      <c r="D206">
        <v>1408</v>
      </c>
      <c r="E206">
        <v>925</v>
      </c>
      <c r="F206">
        <v>619</v>
      </c>
      <c r="G206">
        <v>3.223958333333333</v>
      </c>
      <c r="H206">
        <v>192</v>
      </c>
      <c r="I206">
        <v>0.31017770597738292</v>
      </c>
      <c r="J206">
        <v>14.84063619451276</v>
      </c>
      <c r="K206">
        <v>1.8234144406097399</v>
      </c>
      <c r="L206">
        <v>581.02222222565695</v>
      </c>
      <c r="M206">
        <v>2.290740740887971</v>
      </c>
    </row>
    <row r="207" spans="1:13">
      <c r="A207" t="s">
        <v>33</v>
      </c>
      <c r="B207">
        <v>10</v>
      </c>
      <c r="C207">
        <v>5</v>
      </c>
      <c r="D207">
        <v>1409</v>
      </c>
      <c r="E207">
        <v>906</v>
      </c>
      <c r="F207">
        <v>609</v>
      </c>
      <c r="G207">
        <v>3.2222222222222219</v>
      </c>
      <c r="H207">
        <v>189</v>
      </c>
      <c r="I207">
        <v>0.31034482758620691</v>
      </c>
      <c r="J207">
        <v>14.951435836705519</v>
      </c>
      <c r="K207">
        <v>1.8258045830987</v>
      </c>
      <c r="L207">
        <v>551.11111111436901</v>
      </c>
      <c r="M207">
        <v>2.2645061729869789</v>
      </c>
    </row>
    <row r="208" spans="1:13">
      <c r="A208" t="s">
        <v>33</v>
      </c>
      <c r="B208">
        <v>10</v>
      </c>
      <c r="C208">
        <v>6</v>
      </c>
      <c r="D208">
        <v>1419</v>
      </c>
      <c r="E208">
        <v>920</v>
      </c>
      <c r="F208">
        <v>616</v>
      </c>
      <c r="G208">
        <v>3.2765957446808511</v>
      </c>
      <c r="H208">
        <v>188</v>
      </c>
      <c r="I208">
        <v>0.30519480519480519</v>
      </c>
      <c r="J208">
        <v>14.490294384040761</v>
      </c>
      <c r="K208">
        <v>1.7827959251408001</v>
      </c>
      <c r="L208">
        <v>498.13333333118101</v>
      </c>
      <c r="M208">
        <v>1.501234568048303</v>
      </c>
    </row>
    <row r="209" spans="1:13">
      <c r="A209" t="s">
        <v>33</v>
      </c>
      <c r="B209">
        <v>10</v>
      </c>
      <c r="C209">
        <v>7</v>
      </c>
      <c r="D209">
        <v>1420</v>
      </c>
      <c r="E209">
        <v>934</v>
      </c>
      <c r="F209">
        <v>632</v>
      </c>
      <c r="G209">
        <v>3.3439153439153442</v>
      </c>
      <c r="H209">
        <v>189</v>
      </c>
      <c r="I209">
        <v>0.29905063291139239</v>
      </c>
      <c r="J209">
        <v>14.527689708238221</v>
      </c>
      <c r="K209">
        <v>1.76203282654704</v>
      </c>
      <c r="L209">
        <v>513.11111110889397</v>
      </c>
      <c r="M209">
        <v>1.465740740888021</v>
      </c>
    </row>
    <row r="210" spans="1:13">
      <c r="A210" t="s">
        <v>33</v>
      </c>
      <c r="B210">
        <v>10</v>
      </c>
      <c r="C210">
        <v>8</v>
      </c>
      <c r="D210">
        <v>1406</v>
      </c>
      <c r="E210">
        <v>926</v>
      </c>
      <c r="F210">
        <v>618</v>
      </c>
      <c r="G210">
        <v>3.1692307692307691</v>
      </c>
      <c r="H210">
        <v>195</v>
      </c>
      <c r="I210">
        <v>0.3155339805825243</v>
      </c>
      <c r="J210">
        <v>15.38438825660778</v>
      </c>
      <c r="K210">
        <v>1.8903468224478399</v>
      </c>
      <c r="L210">
        <v>477.11111110905</v>
      </c>
      <c r="M210">
        <v>2.458024691505424</v>
      </c>
    </row>
    <row r="211" spans="1:13">
      <c r="A211" t="s">
        <v>33</v>
      </c>
      <c r="B211">
        <v>10</v>
      </c>
      <c r="C211">
        <v>9</v>
      </c>
      <c r="D211">
        <v>1402</v>
      </c>
      <c r="E211">
        <v>909</v>
      </c>
      <c r="F211">
        <v>606</v>
      </c>
      <c r="G211">
        <v>3.091836734693878</v>
      </c>
      <c r="H211">
        <v>196</v>
      </c>
      <c r="I211">
        <v>0.32343234323432341</v>
      </c>
      <c r="J211">
        <v>15.159515951595271</v>
      </c>
      <c r="K211">
        <v>1.8750253132634001</v>
      </c>
      <c r="L211">
        <v>539.28888888749702</v>
      </c>
      <c r="M211">
        <v>2.711728395208985</v>
      </c>
    </row>
    <row r="212" spans="1:13">
      <c r="A212" t="s">
        <v>34</v>
      </c>
      <c r="B212">
        <v>10</v>
      </c>
      <c r="C212">
        <v>0</v>
      </c>
      <c r="D212">
        <v>1423</v>
      </c>
      <c r="E212">
        <v>926</v>
      </c>
      <c r="F212">
        <v>644</v>
      </c>
      <c r="G212">
        <v>3.3025641025641019</v>
      </c>
      <c r="H212">
        <v>195</v>
      </c>
      <c r="I212">
        <v>0.30279503105590061</v>
      </c>
      <c r="J212">
        <v>15.200724442027539</v>
      </c>
      <c r="K212">
        <v>1.8022611168771501</v>
      </c>
      <c r="L212">
        <v>541.06666666709702</v>
      </c>
      <c r="M212">
        <v>1.277469135949862</v>
      </c>
    </row>
    <row r="213" spans="1:13">
      <c r="A213" t="s">
        <v>34</v>
      </c>
      <c r="B213">
        <v>10</v>
      </c>
      <c r="C213">
        <v>1</v>
      </c>
      <c r="D213">
        <v>1426</v>
      </c>
      <c r="E213">
        <v>926</v>
      </c>
      <c r="F213">
        <v>608</v>
      </c>
      <c r="G213">
        <v>3.2340425531914891</v>
      </c>
      <c r="H213">
        <v>188</v>
      </c>
      <c r="I213">
        <v>0.30921052631578949</v>
      </c>
      <c r="J213">
        <v>15.159827213823</v>
      </c>
      <c r="K213">
        <v>1.9015140845412399</v>
      </c>
      <c r="L213">
        <v>555.82222221982101</v>
      </c>
      <c r="M213">
        <v>1.0126543211347201</v>
      </c>
    </row>
    <row r="214" spans="1:13">
      <c r="A214" t="s">
        <v>34</v>
      </c>
      <c r="B214">
        <v>10</v>
      </c>
      <c r="C214">
        <v>2</v>
      </c>
      <c r="D214">
        <v>1424</v>
      </c>
      <c r="E214">
        <v>951</v>
      </c>
      <c r="F214">
        <v>632</v>
      </c>
      <c r="G214">
        <v>3.3263157894736839</v>
      </c>
      <c r="H214">
        <v>190</v>
      </c>
      <c r="I214">
        <v>0.30063291139240511</v>
      </c>
      <c r="J214">
        <v>14.93098332974669</v>
      </c>
      <c r="K214">
        <v>1.8564792763114699</v>
      </c>
      <c r="L214">
        <v>536.48888889206</v>
      </c>
      <c r="M214">
        <v>1.154938271678609</v>
      </c>
    </row>
    <row r="215" spans="1:13">
      <c r="A215" t="s">
        <v>34</v>
      </c>
      <c r="B215">
        <v>10</v>
      </c>
      <c r="C215">
        <v>3</v>
      </c>
      <c r="D215">
        <v>1419</v>
      </c>
      <c r="E215">
        <v>917</v>
      </c>
      <c r="F215">
        <v>613</v>
      </c>
      <c r="G215">
        <v>3.295698924731183</v>
      </c>
      <c r="H215">
        <v>186</v>
      </c>
      <c r="I215">
        <v>0.30342577487765088</v>
      </c>
      <c r="J215">
        <v>15.09617432464929</v>
      </c>
      <c r="K215">
        <v>1.8505809495282399</v>
      </c>
      <c r="L215">
        <v>563.64444444200899</v>
      </c>
      <c r="M215">
        <v>1.516358024838526</v>
      </c>
    </row>
    <row r="216" spans="1:13">
      <c r="A216" t="s">
        <v>34</v>
      </c>
      <c r="B216">
        <v>10</v>
      </c>
      <c r="C216">
        <v>4</v>
      </c>
      <c r="D216">
        <v>1423</v>
      </c>
      <c r="E216">
        <v>927</v>
      </c>
      <c r="F216">
        <v>626</v>
      </c>
      <c r="G216">
        <v>3.2435233160621761</v>
      </c>
      <c r="H216">
        <v>193</v>
      </c>
      <c r="I216">
        <v>0.30830670926517573</v>
      </c>
      <c r="J216">
        <v>14.82350772684455</v>
      </c>
      <c r="K216">
        <v>1.8107714338907499</v>
      </c>
      <c r="L216">
        <v>548.31111111104599</v>
      </c>
      <c r="M216">
        <v>1.259259259406545</v>
      </c>
    </row>
    <row r="217" spans="1:13">
      <c r="A217" t="s">
        <v>34</v>
      </c>
      <c r="B217">
        <v>10</v>
      </c>
      <c r="C217">
        <v>5</v>
      </c>
      <c r="D217">
        <v>1425</v>
      </c>
      <c r="E217">
        <v>922</v>
      </c>
      <c r="F217">
        <v>616</v>
      </c>
      <c r="G217">
        <v>3.347826086956522</v>
      </c>
      <c r="H217">
        <v>184</v>
      </c>
      <c r="I217">
        <v>0.29870129870129869</v>
      </c>
      <c r="J217">
        <v>14.951970358472989</v>
      </c>
      <c r="K217">
        <v>1.82983681870665</v>
      </c>
      <c r="L217">
        <v>525.15555555506398</v>
      </c>
      <c r="M217">
        <v>1.118827160641102</v>
      </c>
    </row>
    <row r="218" spans="1:13">
      <c r="A218" t="s">
        <v>34</v>
      </c>
      <c r="B218">
        <v>10</v>
      </c>
      <c r="C218">
        <v>6</v>
      </c>
      <c r="D218">
        <v>1425</v>
      </c>
      <c r="E218">
        <v>926</v>
      </c>
      <c r="F218">
        <v>617</v>
      </c>
      <c r="G218">
        <v>3.2303664921465969</v>
      </c>
      <c r="H218">
        <v>191</v>
      </c>
      <c r="I218">
        <v>0.30956239870340357</v>
      </c>
      <c r="J218">
        <v>14.93556965441058</v>
      </c>
      <c r="K218">
        <v>1.83803862291092</v>
      </c>
      <c r="L218">
        <v>523.24444444218398</v>
      </c>
      <c r="M218">
        <v>1.077469135949497</v>
      </c>
    </row>
    <row r="219" spans="1:13">
      <c r="A219" t="s">
        <v>34</v>
      </c>
      <c r="B219">
        <v>10</v>
      </c>
      <c r="C219">
        <v>7</v>
      </c>
      <c r="D219">
        <v>1427</v>
      </c>
      <c r="E219">
        <v>933</v>
      </c>
      <c r="F219">
        <v>636</v>
      </c>
      <c r="G219">
        <v>3.278350515463917</v>
      </c>
      <c r="H219">
        <v>194</v>
      </c>
      <c r="I219">
        <v>0.30503144654088049</v>
      </c>
      <c r="J219">
        <v>15.079747231136979</v>
      </c>
      <c r="K219">
        <v>1.80008422401659</v>
      </c>
      <c r="L219">
        <v>509.68888889107598</v>
      </c>
      <c r="M219">
        <v>1.0265432100240921</v>
      </c>
    </row>
    <row r="220" spans="1:13">
      <c r="A220" t="s">
        <v>34</v>
      </c>
      <c r="B220">
        <v>10</v>
      </c>
      <c r="C220">
        <v>8</v>
      </c>
      <c r="D220">
        <v>1412</v>
      </c>
      <c r="E220">
        <v>917</v>
      </c>
      <c r="F220">
        <v>613</v>
      </c>
      <c r="G220">
        <v>3.2780748663101602</v>
      </c>
      <c r="H220">
        <v>187</v>
      </c>
      <c r="I220">
        <v>0.30505709624796079</v>
      </c>
      <c r="J220">
        <v>14.996595686561941</v>
      </c>
      <c r="K220">
        <v>1.83398941191834</v>
      </c>
      <c r="L220">
        <v>513.19999999778304</v>
      </c>
      <c r="M220">
        <v>1.9901234569372139</v>
      </c>
    </row>
    <row r="221" spans="1:13">
      <c r="A221" t="s">
        <v>34</v>
      </c>
      <c r="B221">
        <v>10</v>
      </c>
      <c r="C221">
        <v>9</v>
      </c>
      <c r="D221">
        <v>1421</v>
      </c>
      <c r="E221">
        <v>926</v>
      </c>
      <c r="F221">
        <v>613</v>
      </c>
      <c r="G221">
        <v>3.2094240837696342</v>
      </c>
      <c r="H221">
        <v>191</v>
      </c>
      <c r="I221">
        <v>0.31158238172920072</v>
      </c>
      <c r="J221">
        <v>15.534465034444381</v>
      </c>
      <c r="K221">
        <v>1.9182074183473501</v>
      </c>
      <c r="L221">
        <v>514.133333331112</v>
      </c>
      <c r="M221">
        <v>1.35987654335694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1"/>
  <sheetViews>
    <sheetView workbookViewId="0"/>
  </sheetViews>
  <sheetFormatPr defaultRowHeight="15.75"/>
  <cols>
    <col min="1" max="5" width="18" customWidth="1"/>
  </cols>
  <sheetData>
    <row r="1" spans="1: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>
      <c r="A2" t="s">
        <v>40</v>
      </c>
      <c r="B2" t="s">
        <v>13</v>
      </c>
      <c r="C2" t="s">
        <v>3</v>
      </c>
      <c r="D2">
        <f>AVERAGE(per_seed!$D$2:$D$11)</f>
        <v>1147.3</v>
      </c>
      <c r="E2">
        <v>1147.3</v>
      </c>
    </row>
    <row r="3" spans="1:5">
      <c r="A3" t="s">
        <v>41</v>
      </c>
      <c r="B3" t="s">
        <v>13</v>
      </c>
      <c r="C3" t="s">
        <v>3</v>
      </c>
      <c r="D3">
        <f>_xlfn.STDEV.S(per_seed!$D$2:$D$11)</f>
        <v>45.543751858332158</v>
      </c>
      <c r="E3">
        <v>45.543751858332158</v>
      </c>
    </row>
    <row r="4" spans="1:5">
      <c r="A4" t="s">
        <v>40</v>
      </c>
      <c r="B4" t="s">
        <v>13</v>
      </c>
      <c r="C4" t="s">
        <v>4</v>
      </c>
      <c r="D4">
        <f>AVERAGE(per_seed!$E$2:$E$11)</f>
        <v>748.1</v>
      </c>
      <c r="E4">
        <v>748.1</v>
      </c>
    </row>
    <row r="5" spans="1:5">
      <c r="A5" t="s">
        <v>41</v>
      </c>
      <c r="B5" t="s">
        <v>13</v>
      </c>
      <c r="C5" t="s">
        <v>4</v>
      </c>
      <c r="D5">
        <f>_xlfn.STDEV.S(per_seed!$E$2:$E$11)</f>
        <v>33.411408563875639</v>
      </c>
      <c r="E5">
        <v>33.411408563875632</v>
      </c>
    </row>
    <row r="6" spans="1:5">
      <c r="A6" t="s">
        <v>40</v>
      </c>
      <c r="B6" t="s">
        <v>13</v>
      </c>
      <c r="C6" t="s">
        <v>5</v>
      </c>
      <c r="D6">
        <f>AVERAGE(per_seed!$F$2:$F$11)</f>
        <v>523.20000000000005</v>
      </c>
      <c r="E6">
        <v>523.20000000000005</v>
      </c>
    </row>
    <row r="7" spans="1:5">
      <c r="A7" t="s">
        <v>41</v>
      </c>
      <c r="B7" t="s">
        <v>13</v>
      </c>
      <c r="C7" t="s">
        <v>5</v>
      </c>
      <c r="D7">
        <f>_xlfn.STDEV.S(per_seed!$F$2:$F$11)</f>
        <v>30.979563155947396</v>
      </c>
      <c r="E7">
        <v>30.979563155947389</v>
      </c>
    </row>
    <row r="8" spans="1:5">
      <c r="A8" t="s">
        <v>40</v>
      </c>
      <c r="B8" t="s">
        <v>13</v>
      </c>
      <c r="C8" t="s">
        <v>6</v>
      </c>
      <c r="D8">
        <f>AVERAGE(per_seed!$G$2:$G$11)</f>
        <v>3.0827468363407116</v>
      </c>
      <c r="E8">
        <v>3.082746836340712</v>
      </c>
    </row>
    <row r="9" spans="1:5">
      <c r="A9" t="s">
        <v>41</v>
      </c>
      <c r="B9" t="s">
        <v>13</v>
      </c>
      <c r="C9" t="s">
        <v>6</v>
      </c>
      <c r="D9">
        <f>_xlfn.STDEV.S(per_seed!$G$2:$G$11)</f>
        <v>0.16022645293406534</v>
      </c>
      <c r="E9">
        <v>0.16022645293406529</v>
      </c>
    </row>
    <row r="10" spans="1:5">
      <c r="A10" t="s">
        <v>40</v>
      </c>
      <c r="B10" t="s">
        <v>13</v>
      </c>
      <c r="C10" t="s">
        <v>7</v>
      </c>
      <c r="D10">
        <f>AVERAGE(per_seed!$H$2:$H$11)</f>
        <v>169.8</v>
      </c>
      <c r="E10">
        <v>169.8</v>
      </c>
    </row>
    <row r="11" spans="1:5">
      <c r="A11" t="s">
        <v>41</v>
      </c>
      <c r="B11" t="s">
        <v>13</v>
      </c>
      <c r="C11" t="s">
        <v>7</v>
      </c>
      <c r="D11">
        <f>_xlfn.STDEV.S(per_seed!$H$2:$H$11)</f>
        <v>7.1771241532462788</v>
      </c>
      <c r="E11">
        <v>7.1771241532462788</v>
      </c>
    </row>
    <row r="12" spans="1:5">
      <c r="A12" t="s">
        <v>40</v>
      </c>
      <c r="B12" t="s">
        <v>13</v>
      </c>
      <c r="C12" t="s">
        <v>8</v>
      </c>
      <c r="D12">
        <f>AVERAGE(per_seed!$I$2:$I$11)</f>
        <v>0.32517074816612551</v>
      </c>
      <c r="E12">
        <v>0.32517074816612562</v>
      </c>
    </row>
    <row r="13" spans="1:5">
      <c r="A13" t="s">
        <v>41</v>
      </c>
      <c r="B13" t="s">
        <v>13</v>
      </c>
      <c r="C13" t="s">
        <v>8</v>
      </c>
      <c r="D13">
        <f>_xlfn.STDEV.S(per_seed!$I$2:$I$11)</f>
        <v>1.6793335849410881E-2</v>
      </c>
      <c r="E13">
        <v>1.6793335849410888E-2</v>
      </c>
    </row>
    <row r="14" spans="1:5">
      <c r="A14" t="s">
        <v>40</v>
      </c>
      <c r="B14" t="s">
        <v>13</v>
      </c>
      <c r="C14" t="s">
        <v>9</v>
      </c>
      <c r="D14">
        <f>AVERAGE(per_seed!$J$2:$J$11)</f>
        <v>14.837290114947962</v>
      </c>
      <c r="E14">
        <v>14.83729011494796</v>
      </c>
    </row>
    <row r="15" spans="1:5">
      <c r="A15" t="s">
        <v>41</v>
      </c>
      <c r="B15" t="s">
        <v>13</v>
      </c>
      <c r="C15" t="s">
        <v>9</v>
      </c>
      <c r="D15">
        <f>_xlfn.STDEV.S(per_seed!$J$2:$J$11)</f>
        <v>0.69319533588646853</v>
      </c>
      <c r="E15">
        <v>0.69319533588646831</v>
      </c>
    </row>
    <row r="16" spans="1:5">
      <c r="A16" t="s">
        <v>40</v>
      </c>
      <c r="B16" t="s">
        <v>13</v>
      </c>
      <c r="C16" t="s">
        <v>10</v>
      </c>
      <c r="D16">
        <f>AVERAGE(per_seed!$K$2:$K$11)</f>
        <v>1.7456450688767258</v>
      </c>
      <c r="E16">
        <v>1.745645068876726</v>
      </c>
    </row>
    <row r="17" spans="1:5">
      <c r="A17" t="s">
        <v>41</v>
      </c>
      <c r="B17" t="s">
        <v>13</v>
      </c>
      <c r="C17" t="s">
        <v>10</v>
      </c>
      <c r="D17">
        <f>_xlfn.STDEV.S(per_seed!$K$2:$K$11)</f>
        <v>0.1055729605538276</v>
      </c>
      <c r="E17">
        <v>0.1055729605538276</v>
      </c>
    </row>
    <row r="18" spans="1:5">
      <c r="A18" t="s">
        <v>40</v>
      </c>
      <c r="B18" t="s">
        <v>13</v>
      </c>
      <c r="C18" t="s">
        <v>11</v>
      </c>
      <c r="D18">
        <f>AVERAGE(per_seed!$L$2:$L$11)</f>
        <v>435.45777777806313</v>
      </c>
      <c r="E18">
        <v>435.45777777806308</v>
      </c>
    </row>
    <row r="19" spans="1:5">
      <c r="A19" t="s">
        <v>41</v>
      </c>
      <c r="B19" t="s">
        <v>13</v>
      </c>
      <c r="C19" t="s">
        <v>11</v>
      </c>
      <c r="D19">
        <f>_xlfn.STDEV.S(per_seed!$L$2:$L$11)</f>
        <v>29.639937467045321</v>
      </c>
      <c r="E19">
        <v>29.639937467045321</v>
      </c>
    </row>
    <row r="20" spans="1:5">
      <c r="A20" t="s">
        <v>40</v>
      </c>
      <c r="B20" t="s">
        <v>13</v>
      </c>
      <c r="C20" t="s">
        <v>12</v>
      </c>
      <c r="D20">
        <f>AVERAGE(per_seed!$M$2:$M$11)</f>
        <v>20.370401234663586</v>
      </c>
      <c r="E20">
        <v>20.370401234663589</v>
      </c>
    </row>
    <row r="21" spans="1:5">
      <c r="A21" t="s">
        <v>41</v>
      </c>
      <c r="B21" t="s">
        <v>13</v>
      </c>
      <c r="C21" t="s">
        <v>12</v>
      </c>
      <c r="D21">
        <f>_xlfn.STDEV.S(per_seed!$M$2:$M$11)</f>
        <v>3.1539410091554014</v>
      </c>
      <c r="E21">
        <v>3.153941009155389</v>
      </c>
    </row>
    <row r="22" spans="1:5">
      <c r="A22" t="s">
        <v>40</v>
      </c>
      <c r="B22" t="s">
        <v>14</v>
      </c>
      <c r="C22" t="s">
        <v>3</v>
      </c>
      <c r="D22">
        <f>AVERAGE(per_seed!$D$12:$D$21)</f>
        <v>1411.2</v>
      </c>
      <c r="E22">
        <v>1411.2</v>
      </c>
    </row>
    <row r="23" spans="1:5">
      <c r="A23" t="s">
        <v>41</v>
      </c>
      <c r="B23" t="s">
        <v>14</v>
      </c>
      <c r="C23" t="s">
        <v>3</v>
      </c>
      <c r="D23">
        <f>_xlfn.STDEV.S(per_seed!$D$12:$D$21)</f>
        <v>9.5777519979029169</v>
      </c>
      <c r="E23">
        <v>9.5777519979029169</v>
      </c>
    </row>
    <row r="24" spans="1:5">
      <c r="A24" t="s">
        <v>40</v>
      </c>
      <c r="B24" t="s">
        <v>14</v>
      </c>
      <c r="C24" t="s">
        <v>4</v>
      </c>
      <c r="D24">
        <f>AVERAGE(per_seed!$E$12:$E$21)</f>
        <v>919</v>
      </c>
      <c r="E24">
        <v>919</v>
      </c>
    </row>
    <row r="25" spans="1:5">
      <c r="A25" t="s">
        <v>41</v>
      </c>
      <c r="B25" t="s">
        <v>14</v>
      </c>
      <c r="C25" t="s">
        <v>4</v>
      </c>
      <c r="D25">
        <f>_xlfn.STDEV.S(per_seed!$E$12:$E$21)</f>
        <v>16.06237840420901</v>
      </c>
      <c r="E25">
        <v>16.06237840420901</v>
      </c>
    </row>
    <row r="26" spans="1:5">
      <c r="A26" t="s">
        <v>40</v>
      </c>
      <c r="B26" t="s">
        <v>14</v>
      </c>
      <c r="C26" t="s">
        <v>5</v>
      </c>
      <c r="D26">
        <f>AVERAGE(per_seed!$F$12:$F$21)</f>
        <v>634.5</v>
      </c>
      <c r="E26">
        <v>634.5</v>
      </c>
    </row>
    <row r="27" spans="1:5">
      <c r="A27" t="s">
        <v>41</v>
      </c>
      <c r="B27" t="s">
        <v>14</v>
      </c>
      <c r="C27" t="s">
        <v>5</v>
      </c>
      <c r="D27">
        <f>_xlfn.STDEV.S(per_seed!$F$12:$F$21)</f>
        <v>11.1280426550824</v>
      </c>
      <c r="E27">
        <v>11.1280426550824</v>
      </c>
    </row>
    <row r="28" spans="1:5">
      <c r="A28" t="s">
        <v>40</v>
      </c>
      <c r="B28" t="s">
        <v>14</v>
      </c>
      <c r="C28" t="s">
        <v>6</v>
      </c>
      <c r="D28">
        <f>AVERAGE(per_seed!$G$12:$G$21)</f>
        <v>3.2077988549914975</v>
      </c>
      <c r="E28">
        <v>3.207798854991498</v>
      </c>
    </row>
    <row r="29" spans="1:5">
      <c r="A29" t="s">
        <v>41</v>
      </c>
      <c r="B29" t="s">
        <v>14</v>
      </c>
      <c r="C29" t="s">
        <v>6</v>
      </c>
      <c r="D29">
        <f>_xlfn.STDEV.S(per_seed!$G$12:$G$21)</f>
        <v>0.16744751406418185</v>
      </c>
      <c r="E29">
        <v>0.16744751406418171</v>
      </c>
    </row>
    <row r="30" spans="1:5">
      <c r="A30" t="s">
        <v>40</v>
      </c>
      <c r="B30" t="s">
        <v>14</v>
      </c>
      <c r="C30" t="s">
        <v>7</v>
      </c>
      <c r="D30">
        <f>AVERAGE(per_seed!$H$12:$H$21)</f>
        <v>198.2</v>
      </c>
      <c r="E30">
        <v>198.2</v>
      </c>
    </row>
    <row r="31" spans="1:5">
      <c r="A31" t="s">
        <v>41</v>
      </c>
      <c r="B31" t="s">
        <v>14</v>
      </c>
      <c r="C31" t="s">
        <v>7</v>
      </c>
      <c r="D31">
        <f>_xlfn.STDEV.S(per_seed!$H$12:$H$21)</f>
        <v>9.0774445743281724</v>
      </c>
      <c r="E31">
        <v>9.0774445743281724</v>
      </c>
    </row>
    <row r="32" spans="1:5">
      <c r="A32" t="s">
        <v>40</v>
      </c>
      <c r="B32" t="s">
        <v>14</v>
      </c>
      <c r="C32" t="s">
        <v>8</v>
      </c>
      <c r="D32">
        <f>AVERAGE(per_seed!$I$12:$I$21)</f>
        <v>0.31249392608405624</v>
      </c>
      <c r="E32">
        <v>0.31249392608405641</v>
      </c>
    </row>
    <row r="33" spans="1:5">
      <c r="A33" t="s">
        <v>41</v>
      </c>
      <c r="B33" t="s">
        <v>14</v>
      </c>
      <c r="C33" t="s">
        <v>8</v>
      </c>
      <c r="D33">
        <f>_xlfn.STDEV.S(per_seed!$I$12:$I$21)</f>
        <v>1.6052892391854593E-2</v>
      </c>
      <c r="E33">
        <v>1.605289239185459E-2</v>
      </c>
    </row>
    <row r="34" spans="1:5">
      <c r="A34" t="s">
        <v>40</v>
      </c>
      <c r="B34" t="s">
        <v>14</v>
      </c>
      <c r="C34" t="s">
        <v>9</v>
      </c>
      <c r="D34">
        <f>AVERAGE(per_seed!$J$12:$J$21)</f>
        <v>15.059317270000355</v>
      </c>
      <c r="E34">
        <v>15.059317270000349</v>
      </c>
    </row>
    <row r="35" spans="1:5">
      <c r="A35" t="s">
        <v>41</v>
      </c>
      <c r="B35" t="s">
        <v>14</v>
      </c>
      <c r="C35" t="s">
        <v>9</v>
      </c>
      <c r="D35">
        <f>_xlfn.STDEV.S(per_seed!$J$12:$J$21)</f>
        <v>0.506206242998964</v>
      </c>
      <c r="E35">
        <v>0.50620624299896377</v>
      </c>
    </row>
    <row r="36" spans="1:5">
      <c r="A36" t="s">
        <v>40</v>
      </c>
      <c r="B36" t="s">
        <v>14</v>
      </c>
      <c r="C36" t="s">
        <v>10</v>
      </c>
      <c r="D36">
        <f>AVERAGE(per_seed!$K$12:$K$21)</f>
        <v>1.803536646705314</v>
      </c>
      <c r="E36">
        <v>1.803536646705314</v>
      </c>
    </row>
    <row r="37" spans="1:5">
      <c r="A37" t="s">
        <v>41</v>
      </c>
      <c r="B37" t="s">
        <v>14</v>
      </c>
      <c r="C37" t="s">
        <v>10</v>
      </c>
      <c r="D37">
        <f>_xlfn.STDEV.S(per_seed!$K$12:$K$21)</f>
        <v>6.8009030272531981E-2</v>
      </c>
      <c r="E37">
        <v>6.8009030272531981E-2</v>
      </c>
    </row>
    <row r="38" spans="1:5">
      <c r="A38" t="s">
        <v>40</v>
      </c>
      <c r="B38" t="s">
        <v>14</v>
      </c>
      <c r="C38" t="s">
        <v>11</v>
      </c>
      <c r="D38">
        <f>AVERAGE(per_seed!$L$12:$L$21)</f>
        <v>428.76000000104159</v>
      </c>
      <c r="E38">
        <v>428.76000000104159</v>
      </c>
    </row>
    <row r="39" spans="1:5">
      <c r="A39" t="s">
        <v>41</v>
      </c>
      <c r="B39" t="s">
        <v>14</v>
      </c>
      <c r="C39" t="s">
        <v>11</v>
      </c>
      <c r="D39">
        <f>_xlfn.STDEV.S(per_seed!$L$12:$L$21)</f>
        <v>29.732380727719296</v>
      </c>
      <c r="E39">
        <v>29.732380727719299</v>
      </c>
    </row>
    <row r="40" spans="1:5">
      <c r="A40" t="s">
        <v>40</v>
      </c>
      <c r="B40" t="s">
        <v>14</v>
      </c>
      <c r="C40" t="s">
        <v>12</v>
      </c>
      <c r="D40">
        <f>AVERAGE(per_seed!$M$12:$M$21)</f>
        <v>2.0536419754557773</v>
      </c>
      <c r="E40">
        <v>2.0536419754557769</v>
      </c>
    </row>
    <row r="41" spans="1:5">
      <c r="A41" t="s">
        <v>41</v>
      </c>
      <c r="B41" t="s">
        <v>14</v>
      </c>
      <c r="C41" t="s">
        <v>12</v>
      </c>
      <c r="D41">
        <f>_xlfn.STDEV.S(per_seed!$M$12:$M$21)</f>
        <v>0.67123026495171634</v>
      </c>
      <c r="E41">
        <v>0.67123026495171634</v>
      </c>
    </row>
    <row r="42" spans="1:5">
      <c r="A42" t="s">
        <v>40</v>
      </c>
      <c r="B42" t="s">
        <v>15</v>
      </c>
      <c r="C42" t="s">
        <v>3</v>
      </c>
      <c r="D42">
        <f>AVERAGE(per_seed!$D$22:$D$31)</f>
        <v>1062.2</v>
      </c>
      <c r="E42">
        <v>1062.2</v>
      </c>
    </row>
    <row r="43" spans="1:5">
      <c r="A43" t="s">
        <v>41</v>
      </c>
      <c r="B43" t="s">
        <v>15</v>
      </c>
      <c r="C43" t="s">
        <v>3</v>
      </c>
      <c r="D43">
        <f>_xlfn.STDEV.S(per_seed!$D$22:$D$31)</f>
        <v>108.65316889585462</v>
      </c>
      <c r="E43">
        <v>108.65316889585461</v>
      </c>
    </row>
    <row r="44" spans="1:5">
      <c r="A44" t="s">
        <v>40</v>
      </c>
      <c r="B44" t="s">
        <v>15</v>
      </c>
      <c r="C44" t="s">
        <v>4</v>
      </c>
      <c r="D44">
        <f>AVERAGE(per_seed!$E$22:$E$31)</f>
        <v>692.7</v>
      </c>
      <c r="E44">
        <v>692.7</v>
      </c>
    </row>
    <row r="45" spans="1:5">
      <c r="A45" t="s">
        <v>41</v>
      </c>
      <c r="B45" t="s">
        <v>15</v>
      </c>
      <c r="C45" t="s">
        <v>4</v>
      </c>
      <c r="D45">
        <f>_xlfn.STDEV.S(per_seed!$E$22:$E$31)</f>
        <v>79.090735515889619</v>
      </c>
      <c r="E45">
        <v>79.090735515889875</v>
      </c>
    </row>
    <row r="46" spans="1:5">
      <c r="A46" t="s">
        <v>40</v>
      </c>
      <c r="B46" t="s">
        <v>15</v>
      </c>
      <c r="C46" t="s">
        <v>5</v>
      </c>
      <c r="D46">
        <f>AVERAGE(per_seed!$F$22:$F$31)</f>
        <v>485.8</v>
      </c>
      <c r="E46">
        <v>485.8</v>
      </c>
    </row>
    <row r="47" spans="1:5">
      <c r="A47" t="s">
        <v>41</v>
      </c>
      <c r="B47" t="s">
        <v>15</v>
      </c>
      <c r="C47" t="s">
        <v>5</v>
      </c>
      <c r="D47">
        <f>_xlfn.STDEV.S(per_seed!$F$22:$F$31)</f>
        <v>52.338216332703766</v>
      </c>
      <c r="E47">
        <v>52.338216332703666</v>
      </c>
    </row>
    <row r="48" spans="1:5">
      <c r="A48" t="s">
        <v>40</v>
      </c>
      <c r="B48" t="s">
        <v>15</v>
      </c>
      <c r="C48" t="s">
        <v>6</v>
      </c>
      <c r="D48">
        <f>AVERAGE(per_seed!$G$22:$G$31)</f>
        <v>3.5338561955570524</v>
      </c>
      <c r="E48">
        <v>3.533856195557052</v>
      </c>
    </row>
    <row r="49" spans="1:5">
      <c r="A49" t="s">
        <v>41</v>
      </c>
      <c r="B49" t="s">
        <v>15</v>
      </c>
      <c r="C49" t="s">
        <v>6</v>
      </c>
      <c r="D49">
        <f>_xlfn.STDEV.S(per_seed!$G$22:$G$31)</f>
        <v>0.2041108305613894</v>
      </c>
      <c r="E49">
        <v>0.20411083056138929</v>
      </c>
    </row>
    <row r="50" spans="1:5">
      <c r="A50" t="s">
        <v>40</v>
      </c>
      <c r="B50" t="s">
        <v>15</v>
      </c>
      <c r="C50" t="s">
        <v>7</v>
      </c>
      <c r="D50">
        <f>AVERAGE(per_seed!$H$22:$H$31)</f>
        <v>137.9</v>
      </c>
      <c r="E50">
        <v>137.9</v>
      </c>
    </row>
    <row r="51" spans="1:5">
      <c r="A51" t="s">
        <v>41</v>
      </c>
      <c r="B51" t="s">
        <v>15</v>
      </c>
      <c r="C51" t="s">
        <v>7</v>
      </c>
      <c r="D51">
        <f>_xlfn.STDEV.S(per_seed!$H$22:$H$31)</f>
        <v>16.901347743761587</v>
      </c>
      <c r="E51">
        <v>16.901347743761612</v>
      </c>
    </row>
    <row r="52" spans="1:5">
      <c r="A52" t="s">
        <v>40</v>
      </c>
      <c r="B52" t="s">
        <v>15</v>
      </c>
      <c r="C52" t="s">
        <v>8</v>
      </c>
      <c r="D52">
        <f>AVERAGE(per_seed!$I$22:$I$31)</f>
        <v>0.28382225122072352</v>
      </c>
      <c r="E52">
        <v>0.28382225122072352</v>
      </c>
    </row>
    <row r="53" spans="1:5">
      <c r="A53" t="s">
        <v>41</v>
      </c>
      <c r="B53" t="s">
        <v>15</v>
      </c>
      <c r="C53" t="s">
        <v>8</v>
      </c>
      <c r="D53">
        <f>_xlfn.STDEV.S(per_seed!$I$22:$I$31)</f>
        <v>1.6302953917324062E-2</v>
      </c>
      <c r="E53">
        <v>1.6302953917324059E-2</v>
      </c>
    </row>
    <row r="54" spans="1:5">
      <c r="A54" t="s">
        <v>40</v>
      </c>
      <c r="B54" t="s">
        <v>15</v>
      </c>
      <c r="C54" t="s">
        <v>9</v>
      </c>
      <c r="D54">
        <f>AVERAGE(per_seed!$J$22:$J$31)</f>
        <v>14.232857252170813</v>
      </c>
      <c r="E54">
        <v>14.23285725217081</v>
      </c>
    </row>
    <row r="55" spans="1:5">
      <c r="A55" t="s">
        <v>41</v>
      </c>
      <c r="B55" t="s">
        <v>15</v>
      </c>
      <c r="C55" t="s">
        <v>9</v>
      </c>
      <c r="D55">
        <f>_xlfn.STDEV.S(per_seed!$J$22:$J$31)</f>
        <v>0.73579651463016549</v>
      </c>
      <c r="E55">
        <v>0.73579651463016482</v>
      </c>
    </row>
    <row r="56" spans="1:5">
      <c r="A56" t="s">
        <v>40</v>
      </c>
      <c r="B56" t="s">
        <v>15</v>
      </c>
      <c r="C56" t="s">
        <v>10</v>
      </c>
      <c r="D56">
        <f>AVERAGE(per_seed!$K$22:$K$31)</f>
        <v>1.6559845466932099</v>
      </c>
      <c r="E56">
        <v>1.6559845466932099</v>
      </c>
    </row>
    <row r="57" spans="1:5">
      <c r="A57" t="s">
        <v>41</v>
      </c>
      <c r="B57" t="s">
        <v>15</v>
      </c>
      <c r="C57" t="s">
        <v>10</v>
      </c>
      <c r="D57">
        <f>_xlfn.STDEV.S(per_seed!$K$22:$K$31)</f>
        <v>9.2410416251472755E-2</v>
      </c>
      <c r="E57">
        <v>9.2410416251472741E-2</v>
      </c>
    </row>
    <row r="58" spans="1:5">
      <c r="A58" t="s">
        <v>40</v>
      </c>
      <c r="B58" t="s">
        <v>15</v>
      </c>
      <c r="C58" t="s">
        <v>11</v>
      </c>
      <c r="D58">
        <f>AVERAGE(per_seed!$L$22:$L$31)</f>
        <v>455.044444444921</v>
      </c>
      <c r="E58">
        <v>455.044444444921</v>
      </c>
    </row>
    <row r="59" spans="1:5">
      <c r="A59" t="s">
        <v>41</v>
      </c>
      <c r="B59" t="s">
        <v>15</v>
      </c>
      <c r="C59" t="s">
        <v>11</v>
      </c>
      <c r="D59">
        <f>_xlfn.STDEV.S(per_seed!$L$22:$L$31)</f>
        <v>36.59944904990752</v>
      </c>
      <c r="E59">
        <v>36.59944904990752</v>
      </c>
    </row>
    <row r="60" spans="1:5">
      <c r="A60" t="s">
        <v>40</v>
      </c>
      <c r="B60" t="s">
        <v>15</v>
      </c>
      <c r="C60" t="s">
        <v>12</v>
      </c>
      <c r="D60">
        <f>AVERAGE(per_seed!$M$22:$M$31)</f>
        <v>26.245154321009732</v>
      </c>
      <c r="E60">
        <v>26.245154321009728</v>
      </c>
    </row>
    <row r="61" spans="1:5">
      <c r="A61" t="s">
        <v>41</v>
      </c>
      <c r="B61" t="s">
        <v>15</v>
      </c>
      <c r="C61" t="s">
        <v>12</v>
      </c>
      <c r="D61">
        <f>_xlfn.STDEV.S(per_seed!$M$22:$M$31)</f>
        <v>7.5345268295403081</v>
      </c>
      <c r="E61">
        <v>7.5345268295403036</v>
      </c>
    </row>
    <row r="62" spans="1:5">
      <c r="A62" t="s">
        <v>40</v>
      </c>
      <c r="B62" t="s">
        <v>16</v>
      </c>
      <c r="C62" t="s">
        <v>3</v>
      </c>
      <c r="D62">
        <f>AVERAGE(per_seed!$D$32:$D$41)</f>
        <v>1152.2</v>
      </c>
      <c r="E62">
        <v>1152.2</v>
      </c>
    </row>
    <row r="63" spans="1:5">
      <c r="A63" t="s">
        <v>41</v>
      </c>
      <c r="B63" t="s">
        <v>16</v>
      </c>
      <c r="C63" t="s">
        <v>3</v>
      </c>
      <c r="D63">
        <f>_xlfn.STDEV.S(per_seed!$D$32:$D$41)</f>
        <v>41.84840365998312</v>
      </c>
      <c r="E63">
        <v>41.84840365998312</v>
      </c>
    </row>
    <row r="64" spans="1:5">
      <c r="A64" t="s">
        <v>40</v>
      </c>
      <c r="B64" t="s">
        <v>16</v>
      </c>
      <c r="C64" t="s">
        <v>4</v>
      </c>
      <c r="D64">
        <f>AVERAGE(per_seed!$E$32:$E$41)</f>
        <v>752</v>
      </c>
      <c r="E64">
        <v>752</v>
      </c>
    </row>
    <row r="65" spans="1:5">
      <c r="A65" t="s">
        <v>41</v>
      </c>
      <c r="B65" t="s">
        <v>16</v>
      </c>
      <c r="C65" t="s">
        <v>4</v>
      </c>
      <c r="D65">
        <f>_xlfn.STDEV.S(per_seed!$E$32:$E$41)</f>
        <v>30.958753922670152</v>
      </c>
      <c r="E65">
        <v>30.958753922670152</v>
      </c>
    </row>
    <row r="66" spans="1:5">
      <c r="A66" t="s">
        <v>40</v>
      </c>
      <c r="B66" t="s">
        <v>16</v>
      </c>
      <c r="C66" t="s">
        <v>5</v>
      </c>
      <c r="D66">
        <f>AVERAGE(per_seed!$F$32:$F$41)</f>
        <v>523.29999999999995</v>
      </c>
      <c r="E66">
        <v>523.29999999999995</v>
      </c>
    </row>
    <row r="67" spans="1:5">
      <c r="A67" t="s">
        <v>41</v>
      </c>
      <c r="B67" t="s">
        <v>16</v>
      </c>
      <c r="C67" t="s">
        <v>5</v>
      </c>
      <c r="D67">
        <f>_xlfn.STDEV.S(per_seed!$F$32:$F$41)</f>
        <v>20.061294962079483</v>
      </c>
      <c r="E67">
        <v>20.061294962079479</v>
      </c>
    </row>
    <row r="68" spans="1:5">
      <c r="A68" t="s">
        <v>40</v>
      </c>
      <c r="B68" t="s">
        <v>16</v>
      </c>
      <c r="C68" t="s">
        <v>6</v>
      </c>
      <c r="D68">
        <f>AVERAGE(per_seed!$G$32:$G$41)</f>
        <v>3.5195806853539304</v>
      </c>
      <c r="E68">
        <v>3.51958068535393</v>
      </c>
    </row>
    <row r="69" spans="1:5">
      <c r="A69" t="s">
        <v>41</v>
      </c>
      <c r="B69" t="s">
        <v>16</v>
      </c>
      <c r="C69" t="s">
        <v>6</v>
      </c>
      <c r="D69">
        <f>_xlfn.STDEV.S(per_seed!$G$32:$G$41)</f>
        <v>8.0302913049905722E-2</v>
      </c>
      <c r="E69">
        <v>8.0302913049905542E-2</v>
      </c>
    </row>
    <row r="70" spans="1:5">
      <c r="A70" t="s">
        <v>40</v>
      </c>
      <c r="B70" t="s">
        <v>16</v>
      </c>
      <c r="C70" t="s">
        <v>7</v>
      </c>
      <c r="D70">
        <f>AVERAGE(per_seed!$H$32:$H$41)</f>
        <v>148.69999999999999</v>
      </c>
      <c r="E70">
        <v>148.69999999999999</v>
      </c>
    </row>
    <row r="71" spans="1:5">
      <c r="A71" t="s">
        <v>41</v>
      </c>
      <c r="B71" t="s">
        <v>16</v>
      </c>
      <c r="C71" t="s">
        <v>7</v>
      </c>
      <c r="D71">
        <f>_xlfn.STDEV.S(per_seed!$H$32:$H$41)</f>
        <v>5.2291915670057874</v>
      </c>
      <c r="E71">
        <v>5.2291915670057874</v>
      </c>
    </row>
    <row r="72" spans="1:5">
      <c r="A72" t="s">
        <v>40</v>
      </c>
      <c r="B72" t="s">
        <v>16</v>
      </c>
      <c r="C72" t="s">
        <v>8</v>
      </c>
      <c r="D72">
        <f>AVERAGE(per_seed!$I$32:$I$41)</f>
        <v>0.28425695983497379</v>
      </c>
      <c r="E72">
        <v>0.28425695983497379</v>
      </c>
    </row>
    <row r="73" spans="1:5">
      <c r="A73" t="s">
        <v>41</v>
      </c>
      <c r="B73" t="s">
        <v>16</v>
      </c>
      <c r="C73" t="s">
        <v>8</v>
      </c>
      <c r="D73">
        <f>_xlfn.STDEV.S(per_seed!$I$32:$I$41)</f>
        <v>6.4398550039057034E-3</v>
      </c>
      <c r="E73">
        <v>6.439855003905713E-3</v>
      </c>
    </row>
    <row r="74" spans="1:5">
      <c r="A74" t="s">
        <v>40</v>
      </c>
      <c r="B74" t="s">
        <v>16</v>
      </c>
      <c r="C74" t="s">
        <v>9</v>
      </c>
      <c r="D74">
        <f>AVERAGE(per_seed!$J$32:$J$41)</f>
        <v>13.977043566972814</v>
      </c>
      <c r="E74">
        <v>13.97704356697281</v>
      </c>
    </row>
    <row r="75" spans="1:5">
      <c r="A75" t="s">
        <v>41</v>
      </c>
      <c r="B75" t="s">
        <v>16</v>
      </c>
      <c r="C75" t="s">
        <v>9</v>
      </c>
      <c r="D75">
        <f>_xlfn.STDEV.S(per_seed!$J$32:$J$41)</f>
        <v>0.40410379461093499</v>
      </c>
      <c r="E75">
        <v>0.40410379461093382</v>
      </c>
    </row>
    <row r="76" spans="1:5">
      <c r="A76" t="s">
        <v>40</v>
      </c>
      <c r="B76" t="s">
        <v>16</v>
      </c>
      <c r="C76" t="s">
        <v>10</v>
      </c>
      <c r="D76">
        <f>AVERAGE(per_seed!$K$32:$K$41)</f>
        <v>1.642727753799285</v>
      </c>
      <c r="E76">
        <v>1.642727753799285</v>
      </c>
    </row>
    <row r="77" spans="1:5">
      <c r="A77" t="s">
        <v>41</v>
      </c>
      <c r="B77" t="s">
        <v>16</v>
      </c>
      <c r="C77" t="s">
        <v>10</v>
      </c>
      <c r="D77">
        <f>_xlfn.STDEV.S(per_seed!$K$32:$K$41)</f>
        <v>4.4431740595394661E-2</v>
      </c>
      <c r="E77">
        <v>4.4431740595394661E-2</v>
      </c>
    </row>
    <row r="78" spans="1:5">
      <c r="A78" t="s">
        <v>40</v>
      </c>
      <c r="B78" t="s">
        <v>16</v>
      </c>
      <c r="C78" t="s">
        <v>11</v>
      </c>
      <c r="D78">
        <f>AVERAGE(per_seed!$L$32:$L$41)</f>
        <v>442.45333333390153</v>
      </c>
      <c r="E78">
        <v>442.45333333390153</v>
      </c>
    </row>
    <row r="79" spans="1:5">
      <c r="A79" t="s">
        <v>41</v>
      </c>
      <c r="B79" t="s">
        <v>16</v>
      </c>
      <c r="C79" t="s">
        <v>11</v>
      </c>
      <c r="D79">
        <f>_xlfn.STDEV.S(per_seed!$L$32:$L$41)</f>
        <v>35.132494190775574</v>
      </c>
      <c r="E79">
        <v>35.132494190775567</v>
      </c>
    </row>
    <row r="80" spans="1:5">
      <c r="A80" t="s">
        <v>40</v>
      </c>
      <c r="B80" t="s">
        <v>16</v>
      </c>
      <c r="C80" t="s">
        <v>12</v>
      </c>
      <c r="D80">
        <f>AVERAGE(per_seed!$M$32:$M$41)</f>
        <v>20.016543209942785</v>
      </c>
      <c r="E80">
        <v>20.016543209942789</v>
      </c>
    </row>
    <row r="81" spans="1:5">
      <c r="A81" t="s">
        <v>41</v>
      </c>
      <c r="B81" t="s">
        <v>16</v>
      </c>
      <c r="C81" t="s">
        <v>12</v>
      </c>
      <c r="D81">
        <f>_xlfn.STDEV.S(per_seed!$M$32:$M$41)</f>
        <v>2.8839092224541285</v>
      </c>
      <c r="E81">
        <v>2.8839092224541218</v>
      </c>
    </row>
    <row r="82" spans="1:5">
      <c r="A82" t="s">
        <v>40</v>
      </c>
      <c r="B82" t="s">
        <v>17</v>
      </c>
      <c r="C82" t="s">
        <v>3</v>
      </c>
      <c r="D82">
        <f>AVERAGE(per_seed!$D$42:$D$51)</f>
        <v>1197.7</v>
      </c>
      <c r="E82">
        <v>1197.7</v>
      </c>
    </row>
    <row r="83" spans="1:5">
      <c r="A83" t="s">
        <v>41</v>
      </c>
      <c r="B83" t="s">
        <v>17</v>
      </c>
      <c r="C83" t="s">
        <v>3</v>
      </c>
      <c r="D83">
        <f>_xlfn.STDEV.S(per_seed!$D$42:$D$51)</f>
        <v>36.511946294633795</v>
      </c>
      <c r="E83">
        <v>36.511946294633788</v>
      </c>
    </row>
    <row r="84" spans="1:5">
      <c r="A84" t="s">
        <v>40</v>
      </c>
      <c r="B84" t="s">
        <v>17</v>
      </c>
      <c r="C84" t="s">
        <v>4</v>
      </c>
      <c r="D84">
        <f>AVERAGE(per_seed!$E$42:$E$51)</f>
        <v>780.8</v>
      </c>
      <c r="E84">
        <v>780.8</v>
      </c>
    </row>
    <row r="85" spans="1:5">
      <c r="A85" t="s">
        <v>41</v>
      </c>
      <c r="B85" t="s">
        <v>17</v>
      </c>
      <c r="C85" t="s">
        <v>4</v>
      </c>
      <c r="D85">
        <f>_xlfn.STDEV.S(per_seed!$E$42:$E$51)</f>
        <v>21.647683992109229</v>
      </c>
      <c r="E85">
        <v>21.647683992109229</v>
      </c>
    </row>
    <row r="86" spans="1:5">
      <c r="A86" t="s">
        <v>40</v>
      </c>
      <c r="B86" t="s">
        <v>17</v>
      </c>
      <c r="C86" t="s">
        <v>5</v>
      </c>
      <c r="D86">
        <f>AVERAGE(per_seed!$F$42:$F$51)</f>
        <v>543.6</v>
      </c>
      <c r="E86">
        <v>543.6</v>
      </c>
    </row>
    <row r="87" spans="1:5">
      <c r="A87" t="s">
        <v>41</v>
      </c>
      <c r="B87" t="s">
        <v>17</v>
      </c>
      <c r="C87" t="s">
        <v>5</v>
      </c>
      <c r="D87">
        <f>_xlfn.STDEV.S(per_seed!$F$42:$F$51)</f>
        <v>16.607896381607823</v>
      </c>
      <c r="E87">
        <v>16.607896381607819</v>
      </c>
    </row>
    <row r="88" spans="1:5">
      <c r="A88" t="s">
        <v>40</v>
      </c>
      <c r="B88" t="s">
        <v>17</v>
      </c>
      <c r="C88" t="s">
        <v>6</v>
      </c>
      <c r="D88">
        <f>AVERAGE(per_seed!$G$42:$G$51)</f>
        <v>3.6166832092389631</v>
      </c>
      <c r="E88">
        <v>3.6166832092389631</v>
      </c>
    </row>
    <row r="89" spans="1:5">
      <c r="A89" t="s">
        <v>41</v>
      </c>
      <c r="B89" t="s">
        <v>17</v>
      </c>
      <c r="C89" t="s">
        <v>6</v>
      </c>
      <c r="D89">
        <f>_xlfn.STDEV.S(per_seed!$G$42:$G$51)</f>
        <v>0.11427911346087964</v>
      </c>
      <c r="E89">
        <v>0.1142791134608796</v>
      </c>
    </row>
    <row r="90" spans="1:5">
      <c r="A90" t="s">
        <v>40</v>
      </c>
      <c r="B90" t="s">
        <v>17</v>
      </c>
      <c r="C90" t="s">
        <v>7</v>
      </c>
      <c r="D90">
        <f>AVERAGE(per_seed!$H$42:$H$51)</f>
        <v>150.4</v>
      </c>
      <c r="E90">
        <v>150.4</v>
      </c>
    </row>
    <row r="91" spans="1:5">
      <c r="A91" t="s">
        <v>41</v>
      </c>
      <c r="B91" t="s">
        <v>17</v>
      </c>
      <c r="C91" t="s">
        <v>7</v>
      </c>
      <c r="D91">
        <f>_xlfn.STDEV.S(per_seed!$H$42:$H$51)</f>
        <v>5.5417606508321082</v>
      </c>
      <c r="E91">
        <v>5.5417606508321082</v>
      </c>
    </row>
    <row r="92" spans="1:5">
      <c r="A92" t="s">
        <v>40</v>
      </c>
      <c r="B92" t="s">
        <v>17</v>
      </c>
      <c r="C92" t="s">
        <v>8</v>
      </c>
      <c r="D92">
        <f>AVERAGE(per_seed!$I$42:$I$51)</f>
        <v>0.27674243851244751</v>
      </c>
      <c r="E92">
        <v>0.27674243851244751</v>
      </c>
    </row>
    <row r="93" spans="1:5">
      <c r="A93" t="s">
        <v>41</v>
      </c>
      <c r="B93" t="s">
        <v>17</v>
      </c>
      <c r="C93" t="s">
        <v>8</v>
      </c>
      <c r="D93">
        <f>_xlfn.STDEV.S(per_seed!$I$42:$I$51)</f>
        <v>8.6563770985162419E-3</v>
      </c>
      <c r="E93">
        <v>8.6563770985162332E-3</v>
      </c>
    </row>
    <row r="94" spans="1:5">
      <c r="A94" t="s">
        <v>40</v>
      </c>
      <c r="B94" t="s">
        <v>17</v>
      </c>
      <c r="C94" t="s">
        <v>9</v>
      </c>
      <c r="D94">
        <f>AVERAGE(per_seed!$J$42:$J$51)</f>
        <v>13.589656404615761</v>
      </c>
      <c r="E94">
        <v>13.589656404615759</v>
      </c>
    </row>
    <row r="95" spans="1:5">
      <c r="A95" t="s">
        <v>41</v>
      </c>
      <c r="B95" t="s">
        <v>17</v>
      </c>
      <c r="C95" t="s">
        <v>9</v>
      </c>
      <c r="D95">
        <f>_xlfn.STDEV.S(per_seed!$J$42:$J$51)</f>
        <v>0.36481015005869993</v>
      </c>
      <c r="E95">
        <v>0.36481015005869971</v>
      </c>
    </row>
    <row r="96" spans="1:5">
      <c r="A96" t="s">
        <v>40</v>
      </c>
      <c r="B96" t="s">
        <v>17</v>
      </c>
      <c r="C96" t="s">
        <v>10</v>
      </c>
      <c r="D96">
        <f>AVERAGE(per_seed!$K$42:$K$51)</f>
        <v>1.5872843973352002</v>
      </c>
      <c r="E96">
        <v>1.5872843973352</v>
      </c>
    </row>
    <row r="97" spans="1:5">
      <c r="A97" t="s">
        <v>41</v>
      </c>
      <c r="B97" t="s">
        <v>17</v>
      </c>
      <c r="C97" t="s">
        <v>10</v>
      </c>
      <c r="D97">
        <f>_xlfn.STDEV.S(per_seed!$K$42:$K$51)</f>
        <v>4.2978040060419741E-2</v>
      </c>
      <c r="E97">
        <v>4.2978040060419741E-2</v>
      </c>
    </row>
    <row r="98" spans="1:5">
      <c r="A98" t="s">
        <v>40</v>
      </c>
      <c r="B98" t="s">
        <v>17</v>
      </c>
      <c r="C98" t="s">
        <v>11</v>
      </c>
      <c r="D98">
        <f>AVERAGE(per_seed!$L$42:$L$51)</f>
        <v>452.05777777837983</v>
      </c>
      <c r="E98">
        <v>452.05777777837989</v>
      </c>
    </row>
    <row r="99" spans="1:5">
      <c r="A99" t="s">
        <v>41</v>
      </c>
      <c r="B99" t="s">
        <v>17</v>
      </c>
      <c r="C99" t="s">
        <v>11</v>
      </c>
      <c r="D99">
        <f>_xlfn.STDEV.S(per_seed!$L$42:$L$51)</f>
        <v>34.485694456294986</v>
      </c>
      <c r="E99">
        <v>34.485694456294993</v>
      </c>
    </row>
    <row r="100" spans="1:5">
      <c r="A100" t="s">
        <v>40</v>
      </c>
      <c r="B100" t="s">
        <v>17</v>
      </c>
      <c r="C100" t="s">
        <v>12</v>
      </c>
      <c r="D100">
        <f>AVERAGE(per_seed!$M$42:$M$51)</f>
        <v>16.876450617394369</v>
      </c>
      <c r="E100">
        <v>16.876450617394369</v>
      </c>
    </row>
    <row r="101" spans="1:5">
      <c r="A101" t="s">
        <v>41</v>
      </c>
      <c r="B101" t="s">
        <v>17</v>
      </c>
      <c r="C101" t="s">
        <v>12</v>
      </c>
      <c r="D101">
        <f>_xlfn.STDEV.S(per_seed!$M$42:$M$51)</f>
        <v>2.529974479106341</v>
      </c>
      <c r="E101">
        <v>2.5299744791063512</v>
      </c>
    </row>
    <row r="102" spans="1:5">
      <c r="A102" t="s">
        <v>40</v>
      </c>
      <c r="B102" t="s">
        <v>18</v>
      </c>
      <c r="C102" t="s">
        <v>3</v>
      </c>
      <c r="D102">
        <f>AVERAGE(per_seed!$D$52:$D$61)</f>
        <v>1235.5</v>
      </c>
      <c r="E102">
        <v>1235.5</v>
      </c>
    </row>
    <row r="103" spans="1:5">
      <c r="A103" t="s">
        <v>41</v>
      </c>
      <c r="B103" t="s">
        <v>18</v>
      </c>
      <c r="C103" t="s">
        <v>3</v>
      </c>
      <c r="D103">
        <f>_xlfn.STDEV.S(per_seed!$D$52:$D$61)</f>
        <v>39.064761045673322</v>
      </c>
      <c r="E103">
        <v>39.064761045673322</v>
      </c>
    </row>
    <row r="104" spans="1:5">
      <c r="A104" t="s">
        <v>40</v>
      </c>
      <c r="B104" t="s">
        <v>18</v>
      </c>
      <c r="C104" t="s">
        <v>4</v>
      </c>
      <c r="D104">
        <f>AVERAGE(per_seed!$E$52:$E$61)</f>
        <v>806.9</v>
      </c>
      <c r="E104">
        <v>806.9</v>
      </c>
    </row>
    <row r="105" spans="1:5">
      <c r="A105" t="s">
        <v>41</v>
      </c>
      <c r="B105" t="s">
        <v>18</v>
      </c>
      <c r="C105" t="s">
        <v>4</v>
      </c>
      <c r="D105">
        <f>_xlfn.STDEV.S(per_seed!$E$52:$E$61)</f>
        <v>32.384667153865685</v>
      </c>
      <c r="E105">
        <v>32.384667153865678</v>
      </c>
    </row>
    <row r="106" spans="1:5">
      <c r="A106" t="s">
        <v>40</v>
      </c>
      <c r="B106" t="s">
        <v>18</v>
      </c>
      <c r="C106" t="s">
        <v>5</v>
      </c>
      <c r="D106">
        <f>AVERAGE(per_seed!$F$52:$F$61)</f>
        <v>561.6</v>
      </c>
      <c r="E106">
        <v>561.6</v>
      </c>
    </row>
    <row r="107" spans="1:5">
      <c r="A107" t="s">
        <v>41</v>
      </c>
      <c r="B107" t="s">
        <v>18</v>
      </c>
      <c r="C107" t="s">
        <v>5</v>
      </c>
      <c r="D107">
        <f>_xlfn.STDEV.S(per_seed!$F$52:$F$61)</f>
        <v>22.911423642657681</v>
      </c>
      <c r="E107">
        <v>22.911423642657681</v>
      </c>
    </row>
    <row r="108" spans="1:5">
      <c r="A108" t="s">
        <v>40</v>
      </c>
      <c r="B108" t="s">
        <v>18</v>
      </c>
      <c r="C108" t="s">
        <v>6</v>
      </c>
      <c r="D108">
        <f>AVERAGE(per_seed!$G$52:$G$61)</f>
        <v>3.5990391541763183</v>
      </c>
      <c r="E108">
        <v>3.5990391541763178</v>
      </c>
    </row>
    <row r="109" spans="1:5">
      <c r="A109" t="s">
        <v>41</v>
      </c>
      <c r="B109" t="s">
        <v>18</v>
      </c>
      <c r="C109" t="s">
        <v>6</v>
      </c>
      <c r="D109">
        <f>_xlfn.STDEV.S(per_seed!$G$52:$G$61)</f>
        <v>7.0411143417880406E-2</v>
      </c>
      <c r="E109">
        <v>7.041114341788042E-2</v>
      </c>
    </row>
    <row r="110" spans="1:5">
      <c r="A110" t="s">
        <v>40</v>
      </c>
      <c r="B110" t="s">
        <v>18</v>
      </c>
      <c r="C110" t="s">
        <v>7</v>
      </c>
      <c r="D110">
        <f>AVERAGE(per_seed!$H$52:$H$61)</f>
        <v>156</v>
      </c>
      <c r="E110">
        <v>156</v>
      </c>
    </row>
    <row r="111" spans="1:5">
      <c r="A111" t="s">
        <v>41</v>
      </c>
      <c r="B111" t="s">
        <v>18</v>
      </c>
      <c r="C111" t="s">
        <v>7</v>
      </c>
      <c r="D111">
        <f>_xlfn.STDEV.S(per_seed!$H$52:$H$61)</f>
        <v>4.1365578819969517</v>
      </c>
      <c r="E111">
        <v>4.1365578819969517</v>
      </c>
    </row>
    <row r="112" spans="1:5">
      <c r="A112" t="s">
        <v>40</v>
      </c>
      <c r="B112" t="s">
        <v>18</v>
      </c>
      <c r="C112" t="s">
        <v>8</v>
      </c>
      <c r="D112">
        <f>AVERAGE(per_seed!$I$52:$I$61)</f>
        <v>0.27794707939349494</v>
      </c>
      <c r="E112">
        <v>0.27794707939349489</v>
      </c>
    </row>
    <row r="113" spans="1:5">
      <c r="A113" t="s">
        <v>41</v>
      </c>
      <c r="B113" t="s">
        <v>18</v>
      </c>
      <c r="C113" t="s">
        <v>8</v>
      </c>
      <c r="D113">
        <f>_xlfn.STDEV.S(per_seed!$I$52:$I$61)</f>
        <v>5.4050486554728678E-3</v>
      </c>
      <c r="E113">
        <v>5.4050486554728756E-3</v>
      </c>
    </row>
    <row r="114" spans="1:5">
      <c r="A114" t="s">
        <v>40</v>
      </c>
      <c r="B114" t="s">
        <v>18</v>
      </c>
      <c r="C114" t="s">
        <v>9</v>
      </c>
      <c r="D114">
        <f>AVERAGE(per_seed!$J$52:$J$61)</f>
        <v>13.592588045147556</v>
      </c>
      <c r="E114">
        <v>13.592588045147551</v>
      </c>
    </row>
    <row r="115" spans="1:5">
      <c r="A115" t="s">
        <v>41</v>
      </c>
      <c r="B115" t="s">
        <v>18</v>
      </c>
      <c r="C115" t="s">
        <v>9</v>
      </c>
      <c r="D115">
        <f>_xlfn.STDEV.S(per_seed!$J$52:$J$61)</f>
        <v>0.47036158368306913</v>
      </c>
      <c r="E115">
        <v>0.47036158368307007</v>
      </c>
    </row>
    <row r="116" spans="1:5">
      <c r="A116" t="s">
        <v>40</v>
      </c>
      <c r="B116" t="s">
        <v>18</v>
      </c>
      <c r="C116" t="s">
        <v>10</v>
      </c>
      <c r="D116">
        <f>AVERAGE(per_seed!$K$52:$K$61)</f>
        <v>1.5890988923741971</v>
      </c>
      <c r="E116">
        <v>1.5890988923741971</v>
      </c>
    </row>
    <row r="117" spans="1:5">
      <c r="A117" t="s">
        <v>41</v>
      </c>
      <c r="B117" t="s">
        <v>18</v>
      </c>
      <c r="C117" t="s">
        <v>10</v>
      </c>
      <c r="D117">
        <f>_xlfn.STDEV.S(per_seed!$K$52:$K$61)</f>
        <v>3.9398397342744723E-2</v>
      </c>
      <c r="E117">
        <v>3.9398397342744723E-2</v>
      </c>
    </row>
    <row r="118" spans="1:5">
      <c r="A118" t="s">
        <v>40</v>
      </c>
      <c r="B118" t="s">
        <v>18</v>
      </c>
      <c r="C118" t="s">
        <v>11</v>
      </c>
      <c r="D118">
        <f>AVERAGE(per_seed!$L$52:$L$61)</f>
        <v>438.24444444471067</v>
      </c>
      <c r="E118">
        <v>438.24444444471072</v>
      </c>
    </row>
    <row r="119" spans="1:5">
      <c r="A119" t="s">
        <v>41</v>
      </c>
      <c r="B119" t="s">
        <v>18</v>
      </c>
      <c r="C119" t="s">
        <v>11</v>
      </c>
      <c r="D119">
        <f>_xlfn.STDEV.S(per_seed!$L$52:$L$61)</f>
        <v>25.394651803458448</v>
      </c>
      <c r="E119">
        <v>25.394651803458451</v>
      </c>
    </row>
    <row r="120" spans="1:5">
      <c r="A120" t="s">
        <v>40</v>
      </c>
      <c r="B120" t="s">
        <v>18</v>
      </c>
      <c r="C120" t="s">
        <v>12</v>
      </c>
      <c r="D120">
        <f>AVERAGE(per_seed!$M$52:$M$61)</f>
        <v>14.232654321083277</v>
      </c>
      <c r="E120">
        <v>14.232654321083279</v>
      </c>
    </row>
    <row r="121" spans="1:5">
      <c r="A121" t="s">
        <v>41</v>
      </c>
      <c r="B121" t="s">
        <v>18</v>
      </c>
      <c r="C121" t="s">
        <v>12</v>
      </c>
      <c r="D121">
        <f>_xlfn.STDEV.S(per_seed!$M$52:$M$61)</f>
        <v>2.7130863498331439</v>
      </c>
      <c r="E121">
        <v>2.7130863498331319</v>
      </c>
    </row>
    <row r="122" spans="1:5">
      <c r="A122" t="s">
        <v>40</v>
      </c>
      <c r="B122" t="s">
        <v>19</v>
      </c>
      <c r="C122" t="s">
        <v>3</v>
      </c>
      <c r="D122">
        <f>AVERAGE(per_seed!$D$62:$D$71)</f>
        <v>1241.4000000000001</v>
      </c>
      <c r="E122">
        <v>1241.4000000000001</v>
      </c>
    </row>
    <row r="123" spans="1:5">
      <c r="A123" t="s">
        <v>41</v>
      </c>
      <c r="B123" t="s">
        <v>19</v>
      </c>
      <c r="C123" t="s">
        <v>3</v>
      </c>
      <c r="D123">
        <f>_xlfn.STDEV.S(per_seed!$D$62:$D$71)</f>
        <v>36.028383872225582</v>
      </c>
      <c r="E123">
        <v>36.028383872225589</v>
      </c>
    </row>
    <row r="124" spans="1:5">
      <c r="A124" t="s">
        <v>40</v>
      </c>
      <c r="B124" t="s">
        <v>19</v>
      </c>
      <c r="C124" t="s">
        <v>4</v>
      </c>
      <c r="D124">
        <f>AVERAGE(per_seed!$E$62:$E$71)</f>
        <v>810.1</v>
      </c>
      <c r="E124">
        <v>810.1</v>
      </c>
    </row>
    <row r="125" spans="1:5">
      <c r="A125" t="s">
        <v>41</v>
      </c>
      <c r="B125" t="s">
        <v>19</v>
      </c>
      <c r="C125" t="s">
        <v>4</v>
      </c>
      <c r="D125">
        <f>_xlfn.STDEV.S(per_seed!$E$62:$E$71)</f>
        <v>25.488341561497396</v>
      </c>
      <c r="E125">
        <v>25.4883415614974</v>
      </c>
    </row>
    <row r="126" spans="1:5">
      <c r="A126" t="s">
        <v>40</v>
      </c>
      <c r="B126" t="s">
        <v>19</v>
      </c>
      <c r="C126" t="s">
        <v>5</v>
      </c>
      <c r="D126">
        <f>AVERAGE(per_seed!$F$62:$F$71)</f>
        <v>564.1</v>
      </c>
      <c r="E126">
        <v>564.1</v>
      </c>
    </row>
    <row r="127" spans="1:5">
      <c r="A127" t="s">
        <v>41</v>
      </c>
      <c r="B127" t="s">
        <v>19</v>
      </c>
      <c r="C127" t="s">
        <v>5</v>
      </c>
      <c r="D127">
        <f>_xlfn.STDEV.S(per_seed!$F$62:$F$71)</f>
        <v>19.930155822549686</v>
      </c>
      <c r="E127">
        <v>19.93015582254969</v>
      </c>
    </row>
    <row r="128" spans="1:5">
      <c r="A128" t="s">
        <v>40</v>
      </c>
      <c r="B128" t="s">
        <v>19</v>
      </c>
      <c r="C128" t="s">
        <v>6</v>
      </c>
      <c r="D128">
        <f>AVERAGE(per_seed!$G$62:$G$71)</f>
        <v>3.657358125558253</v>
      </c>
      <c r="E128">
        <v>3.657358125558253</v>
      </c>
    </row>
    <row r="129" spans="1:5">
      <c r="A129" t="s">
        <v>41</v>
      </c>
      <c r="B129" t="s">
        <v>19</v>
      </c>
      <c r="C129" t="s">
        <v>6</v>
      </c>
      <c r="D129">
        <f>_xlfn.STDEV.S(per_seed!$G$62:$G$71)</f>
        <v>0.16849536452823571</v>
      </c>
      <c r="E129">
        <v>0.1684953645282356</v>
      </c>
    </row>
    <row r="130" spans="1:5">
      <c r="A130" t="s">
        <v>40</v>
      </c>
      <c r="B130" t="s">
        <v>19</v>
      </c>
      <c r="C130" t="s">
        <v>7</v>
      </c>
      <c r="D130">
        <f>AVERAGE(per_seed!$H$62:$H$71)</f>
        <v>154.4</v>
      </c>
      <c r="E130">
        <v>154.4</v>
      </c>
    </row>
    <row r="131" spans="1:5">
      <c r="A131" t="s">
        <v>41</v>
      </c>
      <c r="B131" t="s">
        <v>19</v>
      </c>
      <c r="C131" t="s">
        <v>7</v>
      </c>
      <c r="D131">
        <f>_xlfn.STDEV.S(per_seed!$H$62:$H$71)</f>
        <v>5.8537737116040516</v>
      </c>
      <c r="E131">
        <v>5.8537737116040516</v>
      </c>
    </row>
    <row r="132" spans="1:5">
      <c r="A132" t="s">
        <v>40</v>
      </c>
      <c r="B132" t="s">
        <v>19</v>
      </c>
      <c r="C132" t="s">
        <v>8</v>
      </c>
      <c r="D132">
        <f>AVERAGE(per_seed!$I$62:$I$71)</f>
        <v>0.27395537400714665</v>
      </c>
      <c r="E132">
        <v>0.27395537400714659</v>
      </c>
    </row>
    <row r="133" spans="1:5">
      <c r="A133" t="s">
        <v>41</v>
      </c>
      <c r="B133" t="s">
        <v>19</v>
      </c>
      <c r="C133" t="s">
        <v>8</v>
      </c>
      <c r="D133">
        <f>_xlfn.STDEV.S(per_seed!$I$62:$I$71)</f>
        <v>1.2887301032608675E-2</v>
      </c>
      <c r="E133">
        <v>1.288730103260868E-2</v>
      </c>
    </row>
    <row r="134" spans="1:5">
      <c r="A134" t="s">
        <v>40</v>
      </c>
      <c r="B134" t="s">
        <v>19</v>
      </c>
      <c r="C134" t="s">
        <v>9</v>
      </c>
      <c r="D134">
        <f>AVERAGE(per_seed!$J$62:$J$71)</f>
        <v>13.543403928971363</v>
      </c>
      <c r="E134">
        <v>13.543403928971371</v>
      </c>
    </row>
    <row r="135" spans="1:5">
      <c r="A135" t="s">
        <v>41</v>
      </c>
      <c r="B135" t="s">
        <v>19</v>
      </c>
      <c r="C135" t="s">
        <v>9</v>
      </c>
      <c r="D135">
        <f>_xlfn.STDEV.S(per_seed!$J$62:$J$71)</f>
        <v>0.55469539584616967</v>
      </c>
      <c r="E135">
        <v>0.55469539584616878</v>
      </c>
    </row>
    <row r="136" spans="1:5">
      <c r="A136" t="s">
        <v>40</v>
      </c>
      <c r="B136" t="s">
        <v>19</v>
      </c>
      <c r="C136" t="s">
        <v>10</v>
      </c>
      <c r="D136">
        <f>AVERAGE(per_seed!$K$62:$K$71)</f>
        <v>1.5768190405533651</v>
      </c>
      <c r="E136">
        <v>1.5768190405533651</v>
      </c>
    </row>
    <row r="137" spans="1:5">
      <c r="A137" t="s">
        <v>41</v>
      </c>
      <c r="B137" t="s">
        <v>19</v>
      </c>
      <c r="C137" t="s">
        <v>10</v>
      </c>
      <c r="D137">
        <f>_xlfn.STDEV.S(per_seed!$K$62:$K$71)</f>
        <v>6.7323534313935035E-2</v>
      </c>
      <c r="E137">
        <v>6.7323534313935035E-2</v>
      </c>
    </row>
    <row r="138" spans="1:5">
      <c r="A138" t="s">
        <v>40</v>
      </c>
      <c r="B138" t="s">
        <v>19</v>
      </c>
      <c r="C138" t="s">
        <v>11</v>
      </c>
      <c r="D138">
        <f>AVERAGE(per_seed!$L$62:$L$71)</f>
        <v>438.85777777930264</v>
      </c>
      <c r="E138">
        <v>438.85777777930258</v>
      </c>
    </row>
    <row r="139" spans="1:5">
      <c r="A139" t="s">
        <v>41</v>
      </c>
      <c r="B139" t="s">
        <v>19</v>
      </c>
      <c r="C139" t="s">
        <v>11</v>
      </c>
      <c r="D139">
        <f>_xlfn.STDEV.S(per_seed!$L$62:$L$71)</f>
        <v>34.379252044388203</v>
      </c>
      <c r="E139">
        <v>34.379252044388203</v>
      </c>
    </row>
    <row r="140" spans="1:5">
      <c r="A140" t="s">
        <v>40</v>
      </c>
      <c r="B140" t="s">
        <v>19</v>
      </c>
      <c r="C140" t="s">
        <v>12</v>
      </c>
      <c r="D140">
        <f>AVERAGE(per_seed!$M$62:$M$71)</f>
        <v>13.837561728498107</v>
      </c>
      <c r="E140">
        <v>13.837561728498111</v>
      </c>
    </row>
    <row r="141" spans="1:5">
      <c r="A141" t="s">
        <v>41</v>
      </c>
      <c r="B141" t="s">
        <v>19</v>
      </c>
      <c r="C141" t="s">
        <v>12</v>
      </c>
      <c r="D141">
        <f>_xlfn.STDEV.S(per_seed!$M$62:$M$71)</f>
        <v>2.4912500565167219</v>
      </c>
      <c r="E141">
        <v>2.491250056516717</v>
      </c>
    </row>
    <row r="142" spans="1:5">
      <c r="A142" t="s">
        <v>40</v>
      </c>
      <c r="B142" t="s">
        <v>20</v>
      </c>
      <c r="C142" t="s">
        <v>3</v>
      </c>
      <c r="D142">
        <f>AVERAGE(per_seed!$D$72:$D$81)</f>
        <v>1238.9000000000001</v>
      </c>
      <c r="E142">
        <v>1238.9000000000001</v>
      </c>
    </row>
    <row r="143" spans="1:5">
      <c r="A143" t="s">
        <v>41</v>
      </c>
      <c r="B143" t="s">
        <v>20</v>
      </c>
      <c r="C143" t="s">
        <v>3</v>
      </c>
      <c r="D143">
        <f>_xlfn.STDEV.S(per_seed!$D$72:$D$81)</f>
        <v>15.821574581002432</v>
      </c>
      <c r="E143">
        <v>15.82157458100243</v>
      </c>
    </row>
    <row r="144" spans="1:5">
      <c r="A144" t="s">
        <v>40</v>
      </c>
      <c r="B144" t="s">
        <v>20</v>
      </c>
      <c r="C144" t="s">
        <v>4</v>
      </c>
      <c r="D144">
        <f>AVERAGE(per_seed!$E$72:$E$81)</f>
        <v>811.3</v>
      </c>
      <c r="E144">
        <v>811.3</v>
      </c>
    </row>
    <row r="145" spans="1:5">
      <c r="A145" t="s">
        <v>41</v>
      </c>
      <c r="B145" t="s">
        <v>20</v>
      </c>
      <c r="C145" t="s">
        <v>4</v>
      </c>
      <c r="D145">
        <f>_xlfn.STDEV.S(per_seed!$E$72:$E$81)</f>
        <v>14.674619056195102</v>
      </c>
      <c r="E145">
        <v>14.6746190561951</v>
      </c>
    </row>
    <row r="146" spans="1:5">
      <c r="A146" t="s">
        <v>40</v>
      </c>
      <c r="B146" t="s">
        <v>20</v>
      </c>
      <c r="C146" t="s">
        <v>5</v>
      </c>
      <c r="D146">
        <f>AVERAGE(per_seed!$F$72:$F$81)</f>
        <v>565.6</v>
      </c>
      <c r="E146">
        <v>565.6</v>
      </c>
    </row>
    <row r="147" spans="1:5">
      <c r="A147" t="s">
        <v>41</v>
      </c>
      <c r="B147" t="s">
        <v>20</v>
      </c>
      <c r="C147" t="s">
        <v>5</v>
      </c>
      <c r="D147">
        <f>_xlfn.STDEV.S(per_seed!$F$72:$F$81)</f>
        <v>15.614807786912467</v>
      </c>
      <c r="E147">
        <v>15.61480778691247</v>
      </c>
    </row>
    <row r="148" spans="1:5">
      <c r="A148" t="s">
        <v>40</v>
      </c>
      <c r="B148" t="s">
        <v>20</v>
      </c>
      <c r="C148" t="s">
        <v>6</v>
      </c>
      <c r="D148">
        <f>AVERAGE(per_seed!$G$72:$G$81)</f>
        <v>3.642728992629813</v>
      </c>
      <c r="E148">
        <v>3.642728992629813</v>
      </c>
    </row>
    <row r="149" spans="1:5">
      <c r="A149" t="s">
        <v>41</v>
      </c>
      <c r="B149" t="s">
        <v>20</v>
      </c>
      <c r="C149" t="s">
        <v>6</v>
      </c>
      <c r="D149">
        <f>_xlfn.STDEV.S(per_seed!$G$72:$G$81)</f>
        <v>0.11129763606771292</v>
      </c>
      <c r="E149">
        <v>0.1112976360677128</v>
      </c>
    </row>
    <row r="150" spans="1:5">
      <c r="A150" t="s">
        <v>40</v>
      </c>
      <c r="B150" t="s">
        <v>20</v>
      </c>
      <c r="C150" t="s">
        <v>7</v>
      </c>
      <c r="D150">
        <f>AVERAGE(per_seed!$H$72:$H$81)</f>
        <v>155.30000000000001</v>
      </c>
      <c r="E150">
        <v>155.30000000000001</v>
      </c>
    </row>
    <row r="151" spans="1:5">
      <c r="A151" t="s">
        <v>41</v>
      </c>
      <c r="B151" t="s">
        <v>20</v>
      </c>
      <c r="C151" t="s">
        <v>7</v>
      </c>
      <c r="D151">
        <f>_xlfn.STDEV.S(per_seed!$H$72:$H$81)</f>
        <v>2.5841396591085735</v>
      </c>
      <c r="E151">
        <v>2.5841396591085739</v>
      </c>
    </row>
    <row r="152" spans="1:5">
      <c r="A152" t="s">
        <v>40</v>
      </c>
      <c r="B152" t="s">
        <v>20</v>
      </c>
      <c r="C152" t="s">
        <v>8</v>
      </c>
      <c r="D152">
        <f>AVERAGE(per_seed!$I$72:$I$81)</f>
        <v>0.2747502732165204</v>
      </c>
      <c r="E152">
        <v>0.2747502732165204</v>
      </c>
    </row>
    <row r="153" spans="1:5">
      <c r="A153" t="s">
        <v>41</v>
      </c>
      <c r="B153" t="s">
        <v>20</v>
      </c>
      <c r="C153" t="s">
        <v>8</v>
      </c>
      <c r="D153">
        <f>_xlfn.STDEV.S(per_seed!$I$72:$I$81)</f>
        <v>8.3961457061470946E-3</v>
      </c>
      <c r="E153">
        <v>8.3961457061470825E-3</v>
      </c>
    </row>
    <row r="154" spans="1:5">
      <c r="A154" t="s">
        <v>40</v>
      </c>
      <c r="B154" t="s">
        <v>20</v>
      </c>
      <c r="C154" t="s">
        <v>9</v>
      </c>
      <c r="D154">
        <f>AVERAGE(per_seed!$J$72:$J$81)</f>
        <v>13.660933009686477</v>
      </c>
      <c r="E154">
        <v>13.660933009686479</v>
      </c>
    </row>
    <row r="155" spans="1:5">
      <c r="A155" t="s">
        <v>41</v>
      </c>
      <c r="B155" t="s">
        <v>20</v>
      </c>
      <c r="C155" t="s">
        <v>9</v>
      </c>
      <c r="D155">
        <f>_xlfn.STDEV.S(per_seed!$J$72:$J$81)</f>
        <v>0.30995476979814196</v>
      </c>
      <c r="E155">
        <v>0.30995476979814263</v>
      </c>
    </row>
    <row r="156" spans="1:5">
      <c r="A156" t="s">
        <v>40</v>
      </c>
      <c r="B156" t="s">
        <v>20</v>
      </c>
      <c r="C156" t="s">
        <v>10</v>
      </c>
      <c r="D156">
        <f>AVERAGE(per_seed!$K$72:$K$81)</f>
        <v>1.5860604355535501</v>
      </c>
      <c r="E156">
        <v>1.5860604355535499</v>
      </c>
    </row>
    <row r="157" spans="1:5">
      <c r="A157" t="s">
        <v>41</v>
      </c>
      <c r="B157" t="s">
        <v>20</v>
      </c>
      <c r="C157" t="s">
        <v>10</v>
      </c>
      <c r="D157">
        <f>_xlfn.STDEV.S(per_seed!$K$72:$K$81)</f>
        <v>5.315597802281484E-2</v>
      </c>
      <c r="E157">
        <v>5.315597802281484E-2</v>
      </c>
    </row>
    <row r="158" spans="1:5">
      <c r="A158" t="s">
        <v>40</v>
      </c>
      <c r="B158" t="s">
        <v>20</v>
      </c>
      <c r="C158" t="s">
        <v>11</v>
      </c>
      <c r="D158">
        <f>AVERAGE(per_seed!$L$72:$L$81)</f>
        <v>442.21333333384246</v>
      </c>
      <c r="E158">
        <v>442.21333333384263</v>
      </c>
    </row>
    <row r="159" spans="1:5">
      <c r="A159" t="s">
        <v>41</v>
      </c>
      <c r="B159" t="s">
        <v>20</v>
      </c>
      <c r="C159" t="s">
        <v>11</v>
      </c>
      <c r="D159">
        <f>_xlfn.STDEV.S(per_seed!$L$72:$L$81)</f>
        <v>25.277684601790416</v>
      </c>
      <c r="E159">
        <v>25.277684601790419</v>
      </c>
    </row>
    <row r="160" spans="1:5">
      <c r="A160" t="s">
        <v>40</v>
      </c>
      <c r="B160" t="s">
        <v>20</v>
      </c>
      <c r="C160" t="s">
        <v>12</v>
      </c>
      <c r="D160">
        <f>AVERAGE(per_seed!$M$72:$M$81)</f>
        <v>14.028888888999347</v>
      </c>
      <c r="E160">
        <v>14.02888888899934</v>
      </c>
    </row>
    <row r="161" spans="1:5">
      <c r="A161" t="s">
        <v>41</v>
      </c>
      <c r="B161" t="s">
        <v>20</v>
      </c>
      <c r="C161" t="s">
        <v>12</v>
      </c>
      <c r="D161">
        <f>_xlfn.STDEV.S(per_seed!$M$72:$M$81)</f>
        <v>1.1096287570282923</v>
      </c>
      <c r="E161">
        <v>1.1096287570282919</v>
      </c>
    </row>
    <row r="162" spans="1:5">
      <c r="A162" t="s">
        <v>40</v>
      </c>
      <c r="B162" t="s">
        <v>21</v>
      </c>
      <c r="C162" t="s">
        <v>3</v>
      </c>
      <c r="D162">
        <f>AVERAGE(per_seed!$D$82:$D$91)</f>
        <v>1249.5999999999999</v>
      </c>
      <c r="E162">
        <v>1249.5999999999999</v>
      </c>
    </row>
    <row r="163" spans="1:5">
      <c r="A163" t="s">
        <v>41</v>
      </c>
      <c r="B163" t="s">
        <v>21</v>
      </c>
      <c r="C163" t="s">
        <v>3</v>
      </c>
      <c r="D163">
        <f>_xlfn.STDEV.S(per_seed!$D$82:$D$91)</f>
        <v>22.436082050522494</v>
      </c>
      <c r="E163">
        <v>22.436082050522501</v>
      </c>
    </row>
    <row r="164" spans="1:5">
      <c r="A164" t="s">
        <v>40</v>
      </c>
      <c r="B164" t="s">
        <v>21</v>
      </c>
      <c r="C164" t="s">
        <v>4</v>
      </c>
      <c r="D164">
        <f>AVERAGE(per_seed!$E$82:$E$91)</f>
        <v>816.5</v>
      </c>
      <c r="E164">
        <v>816.5</v>
      </c>
    </row>
    <row r="165" spans="1:5">
      <c r="A165" t="s">
        <v>41</v>
      </c>
      <c r="B165" t="s">
        <v>21</v>
      </c>
      <c r="C165" t="s">
        <v>4</v>
      </c>
      <c r="D165">
        <f>_xlfn.STDEV.S(per_seed!$E$82:$E$91)</f>
        <v>20.684132404655827</v>
      </c>
      <c r="E165">
        <v>20.684132404655831</v>
      </c>
    </row>
    <row r="166" spans="1:5">
      <c r="A166" t="s">
        <v>40</v>
      </c>
      <c r="B166" t="s">
        <v>21</v>
      </c>
      <c r="C166" t="s">
        <v>5</v>
      </c>
      <c r="D166">
        <f>AVERAGE(per_seed!$F$82:$F$91)</f>
        <v>569.1</v>
      </c>
      <c r="E166">
        <v>569.1</v>
      </c>
    </row>
    <row r="167" spans="1:5">
      <c r="A167" t="s">
        <v>41</v>
      </c>
      <c r="B167" t="s">
        <v>21</v>
      </c>
      <c r="C167" t="s">
        <v>5</v>
      </c>
      <c r="D167">
        <f>_xlfn.STDEV.S(per_seed!$F$82:$F$91)</f>
        <v>21.273092028298201</v>
      </c>
      <c r="E167">
        <v>21.273092028298201</v>
      </c>
    </row>
    <row r="168" spans="1:5">
      <c r="A168" t="s">
        <v>40</v>
      </c>
      <c r="B168" t="s">
        <v>21</v>
      </c>
      <c r="C168" t="s">
        <v>6</v>
      </c>
      <c r="D168">
        <f>AVERAGE(per_seed!$G$82:$G$91)</f>
        <v>3.6746331918820174</v>
      </c>
      <c r="E168">
        <v>3.6746331918820179</v>
      </c>
    </row>
    <row r="169" spans="1:5">
      <c r="A169" t="s">
        <v>41</v>
      </c>
      <c r="B169" t="s">
        <v>21</v>
      </c>
      <c r="C169" t="s">
        <v>6</v>
      </c>
      <c r="D169">
        <f>_xlfn.STDEV.S(per_seed!$G$82:$G$91)</f>
        <v>0.12693632572043198</v>
      </c>
      <c r="E169">
        <v>0.1269363257204319</v>
      </c>
    </row>
    <row r="170" spans="1:5">
      <c r="A170" t="s">
        <v>40</v>
      </c>
      <c r="B170" t="s">
        <v>21</v>
      </c>
      <c r="C170" t="s">
        <v>7</v>
      </c>
      <c r="D170">
        <f>AVERAGE(per_seed!$H$82:$H$91)</f>
        <v>154.9</v>
      </c>
      <c r="E170">
        <v>154.9</v>
      </c>
    </row>
    <row r="171" spans="1:5">
      <c r="A171" t="s">
        <v>41</v>
      </c>
      <c r="B171" t="s">
        <v>21</v>
      </c>
      <c r="C171" t="s">
        <v>7</v>
      </c>
      <c r="D171">
        <f>_xlfn.STDEV.S(per_seed!$H$82:$H$91)</f>
        <v>3.7549966711037173</v>
      </c>
      <c r="E171">
        <v>3.7549966711037168</v>
      </c>
    </row>
    <row r="172" spans="1:5">
      <c r="A172" t="s">
        <v>40</v>
      </c>
      <c r="B172" t="s">
        <v>21</v>
      </c>
      <c r="C172" t="s">
        <v>8</v>
      </c>
      <c r="D172">
        <f>AVERAGE(per_seed!$I$82:$I$91)</f>
        <v>0.27243109096146456</v>
      </c>
      <c r="E172">
        <v>0.27243109096146462</v>
      </c>
    </row>
    <row r="173" spans="1:5">
      <c r="A173" t="s">
        <v>41</v>
      </c>
      <c r="B173" t="s">
        <v>21</v>
      </c>
      <c r="C173" t="s">
        <v>8</v>
      </c>
      <c r="D173">
        <f>_xlfn.STDEV.S(per_seed!$I$82:$I$91)</f>
        <v>9.4931322559790761E-3</v>
      </c>
      <c r="E173">
        <v>9.4931322559790848E-3</v>
      </c>
    </row>
    <row r="174" spans="1:5">
      <c r="A174" t="s">
        <v>40</v>
      </c>
      <c r="B174" t="s">
        <v>21</v>
      </c>
      <c r="C174" t="s">
        <v>9</v>
      </c>
      <c r="D174">
        <f>AVERAGE(per_seed!$J$82:$J$91)</f>
        <v>13.664193827618282</v>
      </c>
      <c r="E174">
        <v>13.664193827618281</v>
      </c>
    </row>
    <row r="175" spans="1:5">
      <c r="A175" t="s">
        <v>41</v>
      </c>
      <c r="B175" t="s">
        <v>21</v>
      </c>
      <c r="C175" t="s">
        <v>9</v>
      </c>
      <c r="D175">
        <f>_xlfn.STDEV.S(per_seed!$J$82:$J$91)</f>
        <v>0.35665073159449812</v>
      </c>
      <c r="E175">
        <v>0.35665073159449812</v>
      </c>
    </row>
    <row r="176" spans="1:5">
      <c r="A176" t="s">
        <v>40</v>
      </c>
      <c r="B176" t="s">
        <v>21</v>
      </c>
      <c r="C176" t="s">
        <v>10</v>
      </c>
      <c r="D176">
        <f>AVERAGE(per_seed!$K$82:$K$91)</f>
        <v>1.5867751775643701</v>
      </c>
      <c r="E176">
        <v>1.5867751775643699</v>
      </c>
    </row>
    <row r="177" spans="1:5">
      <c r="A177" t="s">
        <v>41</v>
      </c>
      <c r="B177" t="s">
        <v>21</v>
      </c>
      <c r="C177" t="s">
        <v>10</v>
      </c>
      <c r="D177">
        <f>_xlfn.STDEV.S(per_seed!$K$82:$K$91)</f>
        <v>5.1031952829523095E-2</v>
      </c>
      <c r="E177">
        <v>5.1031952829523088E-2</v>
      </c>
    </row>
    <row r="178" spans="1:5">
      <c r="A178" t="s">
        <v>40</v>
      </c>
      <c r="B178" t="s">
        <v>21</v>
      </c>
      <c r="C178" t="s">
        <v>11</v>
      </c>
      <c r="D178">
        <f>AVERAGE(per_seed!$L$82:$L$91)</f>
        <v>433.96888888891681</v>
      </c>
      <c r="E178">
        <v>433.96888888891681</v>
      </c>
    </row>
    <row r="179" spans="1:5">
      <c r="A179" t="s">
        <v>41</v>
      </c>
      <c r="B179" t="s">
        <v>21</v>
      </c>
      <c r="C179" t="s">
        <v>11</v>
      </c>
      <c r="D179">
        <f>_xlfn.STDEV.S(per_seed!$L$82:$L$91)</f>
        <v>36.138960884865206</v>
      </c>
      <c r="E179">
        <v>36.138960884865213</v>
      </c>
    </row>
    <row r="180" spans="1:5">
      <c r="A180" t="s">
        <v>40</v>
      </c>
      <c r="B180" t="s">
        <v>21</v>
      </c>
      <c r="C180" t="s">
        <v>12</v>
      </c>
      <c r="D180">
        <f>AVERAGE(per_seed!$M$82:$M$91)</f>
        <v>13.27728395072773</v>
      </c>
      <c r="E180">
        <v>13.27728395072773</v>
      </c>
    </row>
    <row r="181" spans="1:5">
      <c r="A181" t="s">
        <v>41</v>
      </c>
      <c r="B181" t="s">
        <v>21</v>
      </c>
      <c r="C181" t="s">
        <v>12</v>
      </c>
      <c r="D181">
        <f>_xlfn.STDEV.S(per_seed!$M$82:$M$91)</f>
        <v>1.5628403180658994</v>
      </c>
      <c r="E181">
        <v>1.562840318065909</v>
      </c>
    </row>
    <row r="182" spans="1:5">
      <c r="A182" t="s">
        <v>40</v>
      </c>
      <c r="B182" t="s">
        <v>22</v>
      </c>
      <c r="C182" t="s">
        <v>3</v>
      </c>
      <c r="D182">
        <f>AVERAGE(per_seed!$D$92:$D$101)</f>
        <v>1062.2</v>
      </c>
      <c r="E182">
        <v>1062.2</v>
      </c>
    </row>
    <row r="183" spans="1:5">
      <c r="A183" t="s">
        <v>41</v>
      </c>
      <c r="B183" t="s">
        <v>22</v>
      </c>
      <c r="C183" t="s">
        <v>3</v>
      </c>
      <c r="D183">
        <f>_xlfn.STDEV.S(per_seed!$D$92:$D$101)</f>
        <v>108.65316889585462</v>
      </c>
      <c r="E183">
        <v>108.65316889585461</v>
      </c>
    </row>
    <row r="184" spans="1:5">
      <c r="A184" t="s">
        <v>40</v>
      </c>
      <c r="B184" t="s">
        <v>22</v>
      </c>
      <c r="C184" t="s">
        <v>4</v>
      </c>
      <c r="D184">
        <f>AVERAGE(per_seed!$E$92:$E$101)</f>
        <v>692.7</v>
      </c>
      <c r="E184">
        <v>692.7</v>
      </c>
    </row>
    <row r="185" spans="1:5">
      <c r="A185" t="s">
        <v>41</v>
      </c>
      <c r="B185" t="s">
        <v>22</v>
      </c>
      <c r="C185" t="s">
        <v>4</v>
      </c>
      <c r="D185">
        <f>_xlfn.STDEV.S(per_seed!$E$92:$E$101)</f>
        <v>79.090735515889619</v>
      </c>
      <c r="E185">
        <v>79.090735515889875</v>
      </c>
    </row>
    <row r="186" spans="1:5">
      <c r="A186" t="s">
        <v>40</v>
      </c>
      <c r="B186" t="s">
        <v>22</v>
      </c>
      <c r="C186" t="s">
        <v>5</v>
      </c>
      <c r="D186">
        <f>AVERAGE(per_seed!$F$92:$F$101)</f>
        <v>485.8</v>
      </c>
      <c r="E186">
        <v>485.8</v>
      </c>
    </row>
    <row r="187" spans="1:5">
      <c r="A187" t="s">
        <v>41</v>
      </c>
      <c r="B187" t="s">
        <v>22</v>
      </c>
      <c r="C187" t="s">
        <v>5</v>
      </c>
      <c r="D187">
        <f>_xlfn.STDEV.S(per_seed!$F$92:$F$101)</f>
        <v>52.338216332703766</v>
      </c>
      <c r="E187">
        <v>52.338216332703666</v>
      </c>
    </row>
    <row r="188" spans="1:5">
      <c r="A188" t="s">
        <v>40</v>
      </c>
      <c r="B188" t="s">
        <v>22</v>
      </c>
      <c r="C188" t="s">
        <v>6</v>
      </c>
      <c r="D188">
        <f>AVERAGE(per_seed!$G$92:$G$101)</f>
        <v>3.5338561955570524</v>
      </c>
      <c r="E188">
        <v>3.533856195557052</v>
      </c>
    </row>
    <row r="189" spans="1:5">
      <c r="A189" t="s">
        <v>41</v>
      </c>
      <c r="B189" t="s">
        <v>22</v>
      </c>
      <c r="C189" t="s">
        <v>6</v>
      </c>
      <c r="D189">
        <f>_xlfn.STDEV.S(per_seed!$G$92:$G$101)</f>
        <v>0.2041108305613894</v>
      </c>
      <c r="E189">
        <v>0.20411083056138929</v>
      </c>
    </row>
    <row r="190" spans="1:5">
      <c r="A190" t="s">
        <v>40</v>
      </c>
      <c r="B190" t="s">
        <v>22</v>
      </c>
      <c r="C190" t="s">
        <v>7</v>
      </c>
      <c r="D190">
        <f>AVERAGE(per_seed!$H$92:$H$101)</f>
        <v>137.9</v>
      </c>
      <c r="E190">
        <v>137.9</v>
      </c>
    </row>
    <row r="191" spans="1:5">
      <c r="A191" t="s">
        <v>41</v>
      </c>
      <c r="B191" t="s">
        <v>22</v>
      </c>
      <c r="C191" t="s">
        <v>7</v>
      </c>
      <c r="D191">
        <f>_xlfn.STDEV.S(per_seed!$H$92:$H$101)</f>
        <v>16.901347743761587</v>
      </c>
      <c r="E191">
        <v>16.901347743761612</v>
      </c>
    </row>
    <row r="192" spans="1:5">
      <c r="A192" t="s">
        <v>40</v>
      </c>
      <c r="B192" t="s">
        <v>22</v>
      </c>
      <c r="C192" t="s">
        <v>8</v>
      </c>
      <c r="D192">
        <f>AVERAGE(per_seed!$I$92:$I$101)</f>
        <v>0.28382225122072352</v>
      </c>
      <c r="E192">
        <v>0.28382225122072352</v>
      </c>
    </row>
    <row r="193" spans="1:5">
      <c r="A193" t="s">
        <v>41</v>
      </c>
      <c r="B193" t="s">
        <v>22</v>
      </c>
      <c r="C193" t="s">
        <v>8</v>
      </c>
      <c r="D193">
        <f>_xlfn.STDEV.S(per_seed!$I$92:$I$101)</f>
        <v>1.6302953917324062E-2</v>
      </c>
      <c r="E193">
        <v>1.6302953917324059E-2</v>
      </c>
    </row>
    <row r="194" spans="1:5">
      <c r="A194" t="s">
        <v>40</v>
      </c>
      <c r="B194" t="s">
        <v>22</v>
      </c>
      <c r="C194" t="s">
        <v>9</v>
      </c>
      <c r="D194">
        <f>AVERAGE(per_seed!$J$92:$J$101)</f>
        <v>14.232857252170813</v>
      </c>
      <c r="E194">
        <v>14.23285725217081</v>
      </c>
    </row>
    <row r="195" spans="1:5">
      <c r="A195" t="s">
        <v>41</v>
      </c>
      <c r="B195" t="s">
        <v>22</v>
      </c>
      <c r="C195" t="s">
        <v>9</v>
      </c>
      <c r="D195">
        <f>_xlfn.STDEV.S(per_seed!$J$92:$J$101)</f>
        <v>0.73579651463016549</v>
      </c>
      <c r="E195">
        <v>0.73579651463016482</v>
      </c>
    </row>
    <row r="196" spans="1:5">
      <c r="A196" t="s">
        <v>40</v>
      </c>
      <c r="B196" t="s">
        <v>22</v>
      </c>
      <c r="C196" t="s">
        <v>10</v>
      </c>
      <c r="D196">
        <f>AVERAGE(per_seed!$K$92:$K$101)</f>
        <v>1.6559845466932099</v>
      </c>
      <c r="E196">
        <v>1.6559845466932099</v>
      </c>
    </row>
    <row r="197" spans="1:5">
      <c r="A197" t="s">
        <v>41</v>
      </c>
      <c r="B197" t="s">
        <v>22</v>
      </c>
      <c r="C197" t="s">
        <v>10</v>
      </c>
      <c r="D197">
        <f>_xlfn.STDEV.S(per_seed!$K$92:$K$101)</f>
        <v>9.2410416251472755E-2</v>
      </c>
      <c r="E197">
        <v>9.2410416251472741E-2</v>
      </c>
    </row>
    <row r="198" spans="1:5">
      <c r="A198" t="s">
        <v>40</v>
      </c>
      <c r="B198" t="s">
        <v>22</v>
      </c>
      <c r="C198" t="s">
        <v>11</v>
      </c>
      <c r="D198">
        <f>AVERAGE(per_seed!$L$92:$L$101)</f>
        <v>455.044444444921</v>
      </c>
      <c r="E198">
        <v>455.044444444921</v>
      </c>
    </row>
    <row r="199" spans="1:5">
      <c r="A199" t="s">
        <v>41</v>
      </c>
      <c r="B199" t="s">
        <v>22</v>
      </c>
      <c r="C199" t="s">
        <v>11</v>
      </c>
      <c r="D199">
        <f>_xlfn.STDEV.S(per_seed!$L$92:$L$101)</f>
        <v>36.59944904990752</v>
      </c>
      <c r="E199">
        <v>36.59944904990752</v>
      </c>
    </row>
    <row r="200" spans="1:5">
      <c r="A200" t="s">
        <v>40</v>
      </c>
      <c r="B200" t="s">
        <v>22</v>
      </c>
      <c r="C200" t="s">
        <v>12</v>
      </c>
      <c r="D200">
        <f>AVERAGE(per_seed!$M$92:$M$101)</f>
        <v>26.245154321009732</v>
      </c>
      <c r="E200">
        <v>26.245154321009728</v>
      </c>
    </row>
    <row r="201" spans="1:5">
      <c r="A201" t="s">
        <v>41</v>
      </c>
      <c r="B201" t="s">
        <v>22</v>
      </c>
      <c r="C201" t="s">
        <v>12</v>
      </c>
      <c r="D201">
        <f>_xlfn.STDEV.S(per_seed!$M$92:$M$101)</f>
        <v>7.5345268295403081</v>
      </c>
      <c r="E201">
        <v>7.5345268295403036</v>
      </c>
    </row>
    <row r="202" spans="1:5">
      <c r="A202" t="s">
        <v>40</v>
      </c>
      <c r="B202" t="s">
        <v>23</v>
      </c>
      <c r="C202" t="s">
        <v>3</v>
      </c>
      <c r="D202">
        <f>AVERAGE(per_seed!$D$102:$D$111)</f>
        <v>1197.7</v>
      </c>
      <c r="E202">
        <v>1197.7</v>
      </c>
    </row>
    <row r="203" spans="1:5">
      <c r="A203" t="s">
        <v>41</v>
      </c>
      <c r="B203" t="s">
        <v>23</v>
      </c>
      <c r="C203" t="s">
        <v>3</v>
      </c>
      <c r="D203">
        <f>_xlfn.STDEV.S(per_seed!$D$102:$D$111)</f>
        <v>36.511946294633795</v>
      </c>
      <c r="E203">
        <v>36.511946294633788</v>
      </c>
    </row>
    <row r="204" spans="1:5">
      <c r="A204" t="s">
        <v>40</v>
      </c>
      <c r="B204" t="s">
        <v>23</v>
      </c>
      <c r="C204" t="s">
        <v>4</v>
      </c>
      <c r="D204">
        <f>AVERAGE(per_seed!$E$102:$E$111)</f>
        <v>780.8</v>
      </c>
      <c r="E204">
        <v>780.8</v>
      </c>
    </row>
    <row r="205" spans="1:5">
      <c r="A205" t="s">
        <v>41</v>
      </c>
      <c r="B205" t="s">
        <v>23</v>
      </c>
      <c r="C205" t="s">
        <v>4</v>
      </c>
      <c r="D205">
        <f>_xlfn.STDEV.S(per_seed!$E$102:$E$111)</f>
        <v>21.647683992109229</v>
      </c>
      <c r="E205">
        <v>21.647683992109229</v>
      </c>
    </row>
    <row r="206" spans="1:5">
      <c r="A206" t="s">
        <v>40</v>
      </c>
      <c r="B206" t="s">
        <v>23</v>
      </c>
      <c r="C206" t="s">
        <v>5</v>
      </c>
      <c r="D206">
        <f>AVERAGE(per_seed!$F$102:$F$111)</f>
        <v>543.6</v>
      </c>
      <c r="E206">
        <v>543.6</v>
      </c>
    </row>
    <row r="207" spans="1:5">
      <c r="A207" t="s">
        <v>41</v>
      </c>
      <c r="B207" t="s">
        <v>23</v>
      </c>
      <c r="C207" t="s">
        <v>5</v>
      </c>
      <c r="D207">
        <f>_xlfn.STDEV.S(per_seed!$F$102:$F$111)</f>
        <v>16.607896381607823</v>
      </c>
      <c r="E207">
        <v>16.607896381607819</v>
      </c>
    </row>
    <row r="208" spans="1:5">
      <c r="A208" t="s">
        <v>40</v>
      </c>
      <c r="B208" t="s">
        <v>23</v>
      </c>
      <c r="C208" t="s">
        <v>6</v>
      </c>
      <c r="D208">
        <f>AVERAGE(per_seed!$G$102:$G$111)</f>
        <v>3.6166832092389631</v>
      </c>
      <c r="E208">
        <v>3.6166832092389631</v>
      </c>
    </row>
    <row r="209" spans="1:5">
      <c r="A209" t="s">
        <v>41</v>
      </c>
      <c r="B209" t="s">
        <v>23</v>
      </c>
      <c r="C209" t="s">
        <v>6</v>
      </c>
      <c r="D209">
        <f>_xlfn.STDEV.S(per_seed!$G$102:$G$111)</f>
        <v>0.11427911346087964</v>
      </c>
      <c r="E209">
        <v>0.1142791134608796</v>
      </c>
    </row>
    <row r="210" spans="1:5">
      <c r="A210" t="s">
        <v>40</v>
      </c>
      <c r="B210" t="s">
        <v>23</v>
      </c>
      <c r="C210" t="s">
        <v>7</v>
      </c>
      <c r="D210">
        <f>AVERAGE(per_seed!$H$102:$H$111)</f>
        <v>150.4</v>
      </c>
      <c r="E210">
        <v>150.4</v>
      </c>
    </row>
    <row r="211" spans="1:5">
      <c r="A211" t="s">
        <v>41</v>
      </c>
      <c r="B211" t="s">
        <v>23</v>
      </c>
      <c r="C211" t="s">
        <v>7</v>
      </c>
      <c r="D211">
        <f>_xlfn.STDEV.S(per_seed!$H$102:$H$111)</f>
        <v>5.5417606508321082</v>
      </c>
      <c r="E211">
        <v>5.5417606508321082</v>
      </c>
    </row>
    <row r="212" spans="1:5">
      <c r="A212" t="s">
        <v>40</v>
      </c>
      <c r="B212" t="s">
        <v>23</v>
      </c>
      <c r="C212" t="s">
        <v>8</v>
      </c>
      <c r="D212">
        <f>AVERAGE(per_seed!$I$102:$I$111)</f>
        <v>0.27674243851244751</v>
      </c>
      <c r="E212">
        <v>0.27674243851244751</v>
      </c>
    </row>
    <row r="213" spans="1:5">
      <c r="A213" t="s">
        <v>41</v>
      </c>
      <c r="B213" t="s">
        <v>23</v>
      </c>
      <c r="C213" t="s">
        <v>8</v>
      </c>
      <c r="D213">
        <f>_xlfn.STDEV.S(per_seed!$I$102:$I$111)</f>
        <v>8.6563770985162419E-3</v>
      </c>
      <c r="E213">
        <v>8.6563770985162332E-3</v>
      </c>
    </row>
    <row r="214" spans="1:5">
      <c r="A214" t="s">
        <v>40</v>
      </c>
      <c r="B214" t="s">
        <v>23</v>
      </c>
      <c r="C214" t="s">
        <v>9</v>
      </c>
      <c r="D214">
        <f>AVERAGE(per_seed!$J$102:$J$111)</f>
        <v>13.589656404615761</v>
      </c>
      <c r="E214">
        <v>13.589656404615759</v>
      </c>
    </row>
    <row r="215" spans="1:5">
      <c r="A215" t="s">
        <v>41</v>
      </c>
      <c r="B215" t="s">
        <v>23</v>
      </c>
      <c r="C215" t="s">
        <v>9</v>
      </c>
      <c r="D215">
        <f>_xlfn.STDEV.S(per_seed!$J$102:$J$111)</f>
        <v>0.36481015005869993</v>
      </c>
      <c r="E215">
        <v>0.36481015005869971</v>
      </c>
    </row>
    <row r="216" spans="1:5">
      <c r="A216" t="s">
        <v>40</v>
      </c>
      <c r="B216" t="s">
        <v>23</v>
      </c>
      <c r="C216" t="s">
        <v>10</v>
      </c>
      <c r="D216">
        <f>AVERAGE(per_seed!$K$102:$K$111)</f>
        <v>1.5872843973352002</v>
      </c>
      <c r="E216">
        <v>1.5872843973352</v>
      </c>
    </row>
    <row r="217" spans="1:5">
      <c r="A217" t="s">
        <v>41</v>
      </c>
      <c r="B217" t="s">
        <v>23</v>
      </c>
      <c r="C217" t="s">
        <v>10</v>
      </c>
      <c r="D217">
        <f>_xlfn.STDEV.S(per_seed!$K$102:$K$111)</f>
        <v>4.2978040060419741E-2</v>
      </c>
      <c r="E217">
        <v>4.2978040060419741E-2</v>
      </c>
    </row>
    <row r="218" spans="1:5">
      <c r="A218" t="s">
        <v>40</v>
      </c>
      <c r="B218" t="s">
        <v>23</v>
      </c>
      <c r="C218" t="s">
        <v>11</v>
      </c>
      <c r="D218">
        <f>AVERAGE(per_seed!$L$102:$L$111)</f>
        <v>452.05777777837983</v>
      </c>
      <c r="E218">
        <v>452.05777777837989</v>
      </c>
    </row>
    <row r="219" spans="1:5">
      <c r="A219" t="s">
        <v>41</v>
      </c>
      <c r="B219" t="s">
        <v>23</v>
      </c>
      <c r="C219" t="s">
        <v>11</v>
      </c>
      <c r="D219">
        <f>_xlfn.STDEV.S(per_seed!$L$102:$L$111)</f>
        <v>34.485694456294986</v>
      </c>
      <c r="E219">
        <v>34.485694456294993</v>
      </c>
    </row>
    <row r="220" spans="1:5">
      <c r="A220" t="s">
        <v>40</v>
      </c>
      <c r="B220" t="s">
        <v>23</v>
      </c>
      <c r="C220" t="s">
        <v>12</v>
      </c>
      <c r="D220">
        <f>AVERAGE(per_seed!$M$102:$M$111)</f>
        <v>16.876450617394369</v>
      </c>
      <c r="E220">
        <v>16.876450617394369</v>
      </c>
    </row>
    <row r="221" spans="1:5">
      <c r="A221" t="s">
        <v>41</v>
      </c>
      <c r="B221" t="s">
        <v>23</v>
      </c>
      <c r="C221" t="s">
        <v>12</v>
      </c>
      <c r="D221">
        <f>_xlfn.STDEV.S(per_seed!$M$102:$M$111)</f>
        <v>2.529974479106341</v>
      </c>
      <c r="E221">
        <v>2.5299744791063512</v>
      </c>
    </row>
    <row r="222" spans="1:5">
      <c r="A222" t="s">
        <v>40</v>
      </c>
      <c r="B222" t="s">
        <v>24</v>
      </c>
      <c r="C222" t="s">
        <v>3</v>
      </c>
      <c r="D222">
        <f>AVERAGE(per_seed!$D$112:$D$121)</f>
        <v>1241.4000000000001</v>
      </c>
      <c r="E222">
        <v>1241.4000000000001</v>
      </c>
    </row>
    <row r="223" spans="1:5">
      <c r="A223" t="s">
        <v>41</v>
      </c>
      <c r="B223" t="s">
        <v>24</v>
      </c>
      <c r="C223" t="s">
        <v>3</v>
      </c>
      <c r="D223">
        <f>_xlfn.STDEV.S(per_seed!$D$112:$D$121)</f>
        <v>36.028383872225582</v>
      </c>
      <c r="E223">
        <v>36.028383872225589</v>
      </c>
    </row>
    <row r="224" spans="1:5">
      <c r="A224" t="s">
        <v>40</v>
      </c>
      <c r="B224" t="s">
        <v>24</v>
      </c>
      <c r="C224" t="s">
        <v>4</v>
      </c>
      <c r="D224">
        <f>AVERAGE(per_seed!$E$112:$E$121)</f>
        <v>810.1</v>
      </c>
      <c r="E224">
        <v>810.1</v>
      </c>
    </row>
    <row r="225" spans="1:5">
      <c r="A225" t="s">
        <v>41</v>
      </c>
      <c r="B225" t="s">
        <v>24</v>
      </c>
      <c r="C225" t="s">
        <v>4</v>
      </c>
      <c r="D225">
        <f>_xlfn.STDEV.S(per_seed!$E$112:$E$121)</f>
        <v>25.488341561497396</v>
      </c>
      <c r="E225">
        <v>25.4883415614974</v>
      </c>
    </row>
    <row r="226" spans="1:5">
      <c r="A226" t="s">
        <v>40</v>
      </c>
      <c r="B226" t="s">
        <v>24</v>
      </c>
      <c r="C226" t="s">
        <v>5</v>
      </c>
      <c r="D226">
        <f>AVERAGE(per_seed!$F$112:$F$121)</f>
        <v>564.1</v>
      </c>
      <c r="E226">
        <v>564.1</v>
      </c>
    </row>
    <row r="227" spans="1:5">
      <c r="A227" t="s">
        <v>41</v>
      </c>
      <c r="B227" t="s">
        <v>24</v>
      </c>
      <c r="C227" t="s">
        <v>5</v>
      </c>
      <c r="D227">
        <f>_xlfn.STDEV.S(per_seed!$F$112:$F$121)</f>
        <v>19.930155822549686</v>
      </c>
      <c r="E227">
        <v>19.93015582254969</v>
      </c>
    </row>
    <row r="228" spans="1:5">
      <c r="A228" t="s">
        <v>40</v>
      </c>
      <c r="B228" t="s">
        <v>24</v>
      </c>
      <c r="C228" t="s">
        <v>6</v>
      </c>
      <c r="D228">
        <f>AVERAGE(per_seed!$G$112:$G$121)</f>
        <v>3.657358125558253</v>
      </c>
      <c r="E228">
        <v>3.657358125558253</v>
      </c>
    </row>
    <row r="229" spans="1:5">
      <c r="A229" t="s">
        <v>41</v>
      </c>
      <c r="B229" t="s">
        <v>24</v>
      </c>
      <c r="C229" t="s">
        <v>6</v>
      </c>
      <c r="D229">
        <f>_xlfn.STDEV.S(per_seed!$G$112:$G$121)</f>
        <v>0.16849536452823571</v>
      </c>
      <c r="E229">
        <v>0.1684953645282356</v>
      </c>
    </row>
    <row r="230" spans="1:5">
      <c r="A230" t="s">
        <v>40</v>
      </c>
      <c r="B230" t="s">
        <v>24</v>
      </c>
      <c r="C230" t="s">
        <v>7</v>
      </c>
      <c r="D230">
        <f>AVERAGE(per_seed!$H$112:$H$121)</f>
        <v>154.4</v>
      </c>
      <c r="E230">
        <v>154.4</v>
      </c>
    </row>
    <row r="231" spans="1:5">
      <c r="A231" t="s">
        <v>41</v>
      </c>
      <c r="B231" t="s">
        <v>24</v>
      </c>
      <c r="C231" t="s">
        <v>7</v>
      </c>
      <c r="D231">
        <f>_xlfn.STDEV.S(per_seed!$H$112:$H$121)</f>
        <v>5.8537737116040516</v>
      </c>
      <c r="E231">
        <v>5.8537737116040516</v>
      </c>
    </row>
    <row r="232" spans="1:5">
      <c r="A232" t="s">
        <v>40</v>
      </c>
      <c r="B232" t="s">
        <v>24</v>
      </c>
      <c r="C232" t="s">
        <v>8</v>
      </c>
      <c r="D232">
        <f>AVERAGE(per_seed!$I$112:$I$121)</f>
        <v>0.27395537400714665</v>
      </c>
      <c r="E232">
        <v>0.27395537400714659</v>
      </c>
    </row>
    <row r="233" spans="1:5">
      <c r="A233" t="s">
        <v>41</v>
      </c>
      <c r="B233" t="s">
        <v>24</v>
      </c>
      <c r="C233" t="s">
        <v>8</v>
      </c>
      <c r="D233">
        <f>_xlfn.STDEV.S(per_seed!$I$112:$I$121)</f>
        <v>1.2887301032608675E-2</v>
      </c>
      <c r="E233">
        <v>1.288730103260868E-2</v>
      </c>
    </row>
    <row r="234" spans="1:5">
      <c r="A234" t="s">
        <v>40</v>
      </c>
      <c r="B234" t="s">
        <v>24</v>
      </c>
      <c r="C234" t="s">
        <v>9</v>
      </c>
      <c r="D234">
        <f>AVERAGE(per_seed!$J$112:$J$121)</f>
        <v>13.543403928971363</v>
      </c>
      <c r="E234">
        <v>13.543403928971371</v>
      </c>
    </row>
    <row r="235" spans="1:5">
      <c r="A235" t="s">
        <v>41</v>
      </c>
      <c r="B235" t="s">
        <v>24</v>
      </c>
      <c r="C235" t="s">
        <v>9</v>
      </c>
      <c r="D235">
        <f>_xlfn.STDEV.S(per_seed!$J$112:$J$121)</f>
        <v>0.55469539584616967</v>
      </c>
      <c r="E235">
        <v>0.55469539584616878</v>
      </c>
    </row>
    <row r="236" spans="1:5">
      <c r="A236" t="s">
        <v>40</v>
      </c>
      <c r="B236" t="s">
        <v>24</v>
      </c>
      <c r="C236" t="s">
        <v>10</v>
      </c>
      <c r="D236">
        <f>AVERAGE(per_seed!$K$112:$K$121)</f>
        <v>1.5768190405533651</v>
      </c>
      <c r="E236">
        <v>1.5768190405533651</v>
      </c>
    </row>
    <row r="237" spans="1:5">
      <c r="A237" t="s">
        <v>41</v>
      </c>
      <c r="B237" t="s">
        <v>24</v>
      </c>
      <c r="C237" t="s">
        <v>10</v>
      </c>
      <c r="D237">
        <f>_xlfn.STDEV.S(per_seed!$K$112:$K$121)</f>
        <v>6.7323534313935035E-2</v>
      </c>
      <c r="E237">
        <v>6.7323534313935035E-2</v>
      </c>
    </row>
    <row r="238" spans="1:5">
      <c r="A238" t="s">
        <v>40</v>
      </c>
      <c r="B238" t="s">
        <v>24</v>
      </c>
      <c r="C238" t="s">
        <v>11</v>
      </c>
      <c r="D238">
        <f>AVERAGE(per_seed!$L$112:$L$121)</f>
        <v>438.85777777930264</v>
      </c>
      <c r="E238">
        <v>438.85777777930258</v>
      </c>
    </row>
    <row r="239" spans="1:5">
      <c r="A239" t="s">
        <v>41</v>
      </c>
      <c r="B239" t="s">
        <v>24</v>
      </c>
      <c r="C239" t="s">
        <v>11</v>
      </c>
      <c r="D239">
        <f>_xlfn.STDEV.S(per_seed!$L$112:$L$121)</f>
        <v>34.379252044388203</v>
      </c>
      <c r="E239">
        <v>34.379252044388203</v>
      </c>
    </row>
    <row r="240" spans="1:5">
      <c r="A240" t="s">
        <v>40</v>
      </c>
      <c r="B240" t="s">
        <v>24</v>
      </c>
      <c r="C240" t="s">
        <v>12</v>
      </c>
      <c r="D240">
        <f>AVERAGE(per_seed!$M$112:$M$121)</f>
        <v>13.837561728498107</v>
      </c>
      <c r="E240">
        <v>13.837561728498111</v>
      </c>
    </row>
    <row r="241" spans="1:5">
      <c r="A241" t="s">
        <v>41</v>
      </c>
      <c r="B241" t="s">
        <v>24</v>
      </c>
      <c r="C241" t="s">
        <v>12</v>
      </c>
      <c r="D241">
        <f>_xlfn.STDEV.S(per_seed!$M$112:$M$121)</f>
        <v>2.4912500565167219</v>
      </c>
      <c r="E241">
        <v>2.491250056516717</v>
      </c>
    </row>
    <row r="242" spans="1:5">
      <c r="A242" t="s">
        <v>40</v>
      </c>
      <c r="B242" t="s">
        <v>25</v>
      </c>
      <c r="C242" t="s">
        <v>3</v>
      </c>
      <c r="D242">
        <f>AVERAGE(per_seed!$D$122:$D$131)</f>
        <v>1328.2</v>
      </c>
      <c r="E242">
        <v>1328.2</v>
      </c>
    </row>
    <row r="243" spans="1:5">
      <c r="A243" t="s">
        <v>41</v>
      </c>
      <c r="B243" t="s">
        <v>25</v>
      </c>
      <c r="C243" t="s">
        <v>3</v>
      </c>
      <c r="D243">
        <f>_xlfn.STDEV.S(per_seed!$D$122:$D$131)</f>
        <v>109.04718652440737</v>
      </c>
      <c r="E243">
        <v>109.04718652440739</v>
      </c>
    </row>
    <row r="244" spans="1:5">
      <c r="A244" t="s">
        <v>40</v>
      </c>
      <c r="B244" t="s">
        <v>25</v>
      </c>
      <c r="C244" t="s">
        <v>4</v>
      </c>
      <c r="D244">
        <f>AVERAGE(per_seed!$E$122:$E$131)</f>
        <v>867.5</v>
      </c>
      <c r="E244">
        <v>867.5</v>
      </c>
    </row>
    <row r="245" spans="1:5">
      <c r="A245" t="s">
        <v>41</v>
      </c>
      <c r="B245" t="s">
        <v>25</v>
      </c>
      <c r="C245" t="s">
        <v>4</v>
      </c>
      <c r="D245">
        <f>_xlfn.STDEV.S(per_seed!$E$122:$E$131)</f>
        <v>71.32281853968226</v>
      </c>
      <c r="E245">
        <v>71.32281853968226</v>
      </c>
    </row>
    <row r="246" spans="1:5">
      <c r="A246" t="s">
        <v>40</v>
      </c>
      <c r="B246" t="s">
        <v>25</v>
      </c>
      <c r="C246" t="s">
        <v>5</v>
      </c>
      <c r="D246">
        <f>AVERAGE(per_seed!$F$122:$F$131)</f>
        <v>589.79999999999995</v>
      </c>
      <c r="E246">
        <v>589.79999999999995</v>
      </c>
    </row>
    <row r="247" spans="1:5">
      <c r="A247" t="s">
        <v>41</v>
      </c>
      <c r="B247" t="s">
        <v>25</v>
      </c>
      <c r="C247" t="s">
        <v>5</v>
      </c>
      <c r="D247">
        <f>_xlfn.STDEV.S(per_seed!$F$122:$F$131)</f>
        <v>42.004761634843256</v>
      </c>
      <c r="E247">
        <v>42.004761634843263</v>
      </c>
    </row>
    <row r="248" spans="1:5">
      <c r="A248" t="s">
        <v>40</v>
      </c>
      <c r="B248" t="s">
        <v>25</v>
      </c>
      <c r="C248" t="s">
        <v>6</v>
      </c>
      <c r="D248">
        <f>AVERAGE(per_seed!$G$122:$G$131)</f>
        <v>3.2703369669982898</v>
      </c>
      <c r="E248">
        <v>3.2703369669982898</v>
      </c>
    </row>
    <row r="249" spans="1:5">
      <c r="A249" t="s">
        <v>41</v>
      </c>
      <c r="B249" t="s">
        <v>25</v>
      </c>
      <c r="C249" t="s">
        <v>6</v>
      </c>
      <c r="D249">
        <f>_xlfn.STDEV.S(per_seed!$G$122:$G$131)</f>
        <v>0.13756564058616541</v>
      </c>
      <c r="E249">
        <v>0.13756564058616541</v>
      </c>
    </row>
    <row r="250" spans="1:5">
      <c r="A250" t="s">
        <v>40</v>
      </c>
      <c r="B250" t="s">
        <v>25</v>
      </c>
      <c r="C250" t="s">
        <v>7</v>
      </c>
      <c r="D250">
        <f>AVERAGE(per_seed!$H$122:$H$131)</f>
        <v>180.8</v>
      </c>
      <c r="E250">
        <v>180.8</v>
      </c>
    </row>
    <row r="251" spans="1:5">
      <c r="A251" t="s">
        <v>41</v>
      </c>
      <c r="B251" t="s">
        <v>25</v>
      </c>
      <c r="C251" t="s">
        <v>7</v>
      </c>
      <c r="D251">
        <f>_xlfn.STDEV.S(per_seed!$H$122:$H$131)</f>
        <v>16.585133905599516</v>
      </c>
      <c r="E251">
        <v>16.58513390559952</v>
      </c>
    </row>
    <row r="252" spans="1:5">
      <c r="A252" t="s">
        <v>40</v>
      </c>
      <c r="B252" t="s">
        <v>25</v>
      </c>
      <c r="C252" t="s">
        <v>8</v>
      </c>
      <c r="D252">
        <f>AVERAGE(per_seed!$I$122:$I$131)</f>
        <v>0.30625194460027233</v>
      </c>
      <c r="E252">
        <v>0.30625194460027227</v>
      </c>
    </row>
    <row r="253" spans="1:5">
      <c r="A253" t="s">
        <v>41</v>
      </c>
      <c r="B253" t="s">
        <v>25</v>
      </c>
      <c r="C253" t="s">
        <v>8</v>
      </c>
      <c r="D253">
        <f>_xlfn.STDEV.S(per_seed!$I$122:$I$131)</f>
        <v>1.2500621954259163E-2</v>
      </c>
      <c r="E253">
        <v>1.2500621954259159E-2</v>
      </c>
    </row>
    <row r="254" spans="1:5">
      <c r="A254" t="s">
        <v>40</v>
      </c>
      <c r="B254" t="s">
        <v>25</v>
      </c>
      <c r="C254" t="s">
        <v>9</v>
      </c>
      <c r="D254">
        <f>AVERAGE(per_seed!$J$122:$J$131)</f>
        <v>14.659360532907096</v>
      </c>
      <c r="E254">
        <v>14.659360532907099</v>
      </c>
    </row>
    <row r="255" spans="1:5">
      <c r="A255" t="s">
        <v>41</v>
      </c>
      <c r="B255" t="s">
        <v>25</v>
      </c>
      <c r="C255" t="s">
        <v>9</v>
      </c>
      <c r="D255">
        <f>_xlfn.STDEV.S(per_seed!$J$122:$J$131)</f>
        <v>0.21821855479832669</v>
      </c>
      <c r="E255">
        <v>0.21821855479832661</v>
      </c>
    </row>
    <row r="256" spans="1:5">
      <c r="A256" t="s">
        <v>40</v>
      </c>
      <c r="B256" t="s">
        <v>25</v>
      </c>
      <c r="C256" t="s">
        <v>10</v>
      </c>
      <c r="D256">
        <f>AVERAGE(per_seed!$K$122:$K$131)</f>
        <v>1.7834948301721265</v>
      </c>
      <c r="E256">
        <v>1.783494830172127</v>
      </c>
    </row>
    <row r="257" spans="1:5">
      <c r="A257" t="s">
        <v>41</v>
      </c>
      <c r="B257" t="s">
        <v>25</v>
      </c>
      <c r="C257" t="s">
        <v>10</v>
      </c>
      <c r="D257">
        <f>_xlfn.STDEV.S(per_seed!$K$122:$K$131)</f>
        <v>4.1322475871444914E-2</v>
      </c>
      <c r="E257">
        <v>4.1322475871444907E-2</v>
      </c>
    </row>
    <row r="258" spans="1:5">
      <c r="A258" t="s">
        <v>40</v>
      </c>
      <c r="B258" t="s">
        <v>25</v>
      </c>
      <c r="C258" t="s">
        <v>11</v>
      </c>
      <c r="D258">
        <f>AVERAGE(per_seed!$L$122:$L$131)</f>
        <v>472.25777777723897</v>
      </c>
      <c r="E258">
        <v>472.25777777723903</v>
      </c>
    </row>
    <row r="259" spans="1:5">
      <c r="A259" t="s">
        <v>41</v>
      </c>
      <c r="B259" t="s">
        <v>25</v>
      </c>
      <c r="C259" t="s">
        <v>11</v>
      </c>
      <c r="D259">
        <f>_xlfn.STDEV.S(per_seed!$L$122:$L$131)</f>
        <v>38.042014460507048</v>
      </c>
      <c r="E259">
        <v>38.042014460507048</v>
      </c>
    </row>
    <row r="260" spans="1:5">
      <c r="A260" t="s">
        <v>40</v>
      </c>
      <c r="B260" t="s">
        <v>25</v>
      </c>
      <c r="C260" t="s">
        <v>12</v>
      </c>
      <c r="D260">
        <f>AVERAGE(per_seed!$M$122:$M$131)</f>
        <v>7.8164506173723511</v>
      </c>
      <c r="E260">
        <v>7.8164506173723511</v>
      </c>
    </row>
    <row r="261" spans="1:5">
      <c r="A261" t="s">
        <v>41</v>
      </c>
      <c r="B261" t="s">
        <v>25</v>
      </c>
      <c r="C261" t="s">
        <v>12</v>
      </c>
      <c r="D261">
        <f>_xlfn.STDEV.S(per_seed!$M$122:$M$131)</f>
        <v>7.535655030422368</v>
      </c>
      <c r="E261">
        <v>7.5356550304223688</v>
      </c>
    </row>
    <row r="262" spans="1:5">
      <c r="A262" t="s">
        <v>40</v>
      </c>
      <c r="B262" t="s">
        <v>26</v>
      </c>
      <c r="C262" t="s">
        <v>3</v>
      </c>
      <c r="D262">
        <f>AVERAGE(per_seed!$D$132:$D$141)</f>
        <v>1389.5</v>
      </c>
      <c r="E262">
        <v>1389.5</v>
      </c>
    </row>
    <row r="263" spans="1:5">
      <c r="A263" t="s">
        <v>41</v>
      </c>
      <c r="B263" t="s">
        <v>26</v>
      </c>
      <c r="C263" t="s">
        <v>3</v>
      </c>
      <c r="D263">
        <f>_xlfn.STDEV.S(per_seed!$D$132:$D$141)</f>
        <v>25.347583711273153</v>
      </c>
      <c r="E263">
        <v>25.347583711273149</v>
      </c>
    </row>
    <row r="264" spans="1:5">
      <c r="A264" t="s">
        <v>40</v>
      </c>
      <c r="B264" t="s">
        <v>26</v>
      </c>
      <c r="C264" t="s">
        <v>4</v>
      </c>
      <c r="D264">
        <f>AVERAGE(per_seed!$E$132:$E$141)</f>
        <v>905.3</v>
      </c>
      <c r="E264">
        <v>905.3</v>
      </c>
    </row>
    <row r="265" spans="1:5">
      <c r="A265" t="s">
        <v>41</v>
      </c>
      <c r="B265" t="s">
        <v>26</v>
      </c>
      <c r="C265" t="s">
        <v>4</v>
      </c>
      <c r="D265">
        <f>_xlfn.STDEV.S(per_seed!$E$132:$E$141)</f>
        <v>22.83783410629534</v>
      </c>
      <c r="E265">
        <v>22.83783410629534</v>
      </c>
    </row>
    <row r="266" spans="1:5">
      <c r="A266" t="s">
        <v>40</v>
      </c>
      <c r="B266" t="s">
        <v>26</v>
      </c>
      <c r="C266" t="s">
        <v>5</v>
      </c>
      <c r="D266">
        <f>AVERAGE(per_seed!$F$132:$F$141)</f>
        <v>609.20000000000005</v>
      </c>
      <c r="E266">
        <v>609.20000000000005</v>
      </c>
    </row>
    <row r="267" spans="1:5">
      <c r="A267" t="s">
        <v>41</v>
      </c>
      <c r="B267" t="s">
        <v>26</v>
      </c>
      <c r="C267" t="s">
        <v>5</v>
      </c>
      <c r="D267">
        <f>_xlfn.STDEV.S(per_seed!$F$132:$F$141)</f>
        <v>19.406757127923825</v>
      </c>
      <c r="E267">
        <v>19.406757127923829</v>
      </c>
    </row>
    <row r="268" spans="1:5">
      <c r="A268" t="s">
        <v>40</v>
      </c>
      <c r="B268" t="s">
        <v>26</v>
      </c>
      <c r="C268" t="s">
        <v>6</v>
      </c>
      <c r="D268">
        <f>AVERAGE(per_seed!$G$132:$G$141)</f>
        <v>3.1793505175791563</v>
      </c>
      <c r="E268">
        <v>3.1793505175791559</v>
      </c>
    </row>
    <row r="269" spans="1:5">
      <c r="A269" t="s">
        <v>41</v>
      </c>
      <c r="B269" t="s">
        <v>26</v>
      </c>
      <c r="C269" t="s">
        <v>6</v>
      </c>
      <c r="D269">
        <f>_xlfn.STDEV.S(per_seed!$G$132:$G$141)</f>
        <v>0.11680720686919102</v>
      </c>
      <c r="E269">
        <v>0.11680720686919099</v>
      </c>
    </row>
    <row r="270" spans="1:5">
      <c r="A270" t="s">
        <v>40</v>
      </c>
      <c r="B270" t="s">
        <v>26</v>
      </c>
      <c r="C270" t="s">
        <v>7</v>
      </c>
      <c r="D270">
        <f>AVERAGE(per_seed!$H$132:$H$141)</f>
        <v>191.7</v>
      </c>
      <c r="E270">
        <v>191.7</v>
      </c>
    </row>
    <row r="271" spans="1:5">
      <c r="A271" t="s">
        <v>41</v>
      </c>
      <c r="B271" t="s">
        <v>26</v>
      </c>
      <c r="C271" t="s">
        <v>7</v>
      </c>
      <c r="D271">
        <f>_xlfn.STDEV.S(per_seed!$H$132:$H$141)</f>
        <v>5.0122073203551967</v>
      </c>
      <c r="E271">
        <v>5.0122073203551967</v>
      </c>
    </row>
    <row r="272" spans="1:5">
      <c r="A272" t="s">
        <v>40</v>
      </c>
      <c r="B272" t="s">
        <v>26</v>
      </c>
      <c r="C272" t="s">
        <v>8</v>
      </c>
      <c r="D272">
        <f>AVERAGE(per_seed!$I$132:$I$141)</f>
        <v>0.31491735425275469</v>
      </c>
      <c r="E272">
        <v>0.31491735425275469</v>
      </c>
    </row>
    <row r="273" spans="1:5">
      <c r="A273" t="s">
        <v>41</v>
      </c>
      <c r="B273" t="s">
        <v>26</v>
      </c>
      <c r="C273" t="s">
        <v>8</v>
      </c>
      <c r="D273">
        <f>_xlfn.STDEV.S(per_seed!$I$132:$I$141)</f>
        <v>1.1740640752068465E-2</v>
      </c>
      <c r="E273">
        <v>1.1740640752068441E-2</v>
      </c>
    </row>
    <row r="274" spans="1:5">
      <c r="A274" t="s">
        <v>40</v>
      </c>
      <c r="B274" t="s">
        <v>26</v>
      </c>
      <c r="C274" t="s">
        <v>9</v>
      </c>
      <c r="D274">
        <f>AVERAGE(per_seed!$J$132:$J$141)</f>
        <v>14.924284408924482</v>
      </c>
      <c r="E274">
        <v>14.92428440892448</v>
      </c>
    </row>
    <row r="275" spans="1:5">
      <c r="A275" t="s">
        <v>41</v>
      </c>
      <c r="B275" t="s">
        <v>26</v>
      </c>
      <c r="C275" t="s">
        <v>9</v>
      </c>
      <c r="D275">
        <f>_xlfn.STDEV.S(per_seed!$J$132:$J$141)</f>
        <v>0.49513844144979596</v>
      </c>
      <c r="E275">
        <v>0.49513844144979602</v>
      </c>
    </row>
    <row r="276" spans="1:5">
      <c r="A276" t="s">
        <v>40</v>
      </c>
      <c r="B276" t="s">
        <v>26</v>
      </c>
      <c r="C276" t="s">
        <v>10</v>
      </c>
      <c r="D276">
        <f>AVERAGE(per_seed!$K$132:$K$141)</f>
        <v>1.8300017159549711</v>
      </c>
      <c r="E276">
        <v>1.8300017159549711</v>
      </c>
    </row>
    <row r="277" spans="1:5">
      <c r="A277" t="s">
        <v>41</v>
      </c>
      <c r="B277" t="s">
        <v>26</v>
      </c>
      <c r="C277" t="s">
        <v>10</v>
      </c>
      <c r="D277">
        <f>_xlfn.STDEV.S(per_seed!$K$132:$K$141)</f>
        <v>7.4551990348548966E-2</v>
      </c>
      <c r="E277">
        <v>7.4551990348548966E-2</v>
      </c>
    </row>
    <row r="278" spans="1:5">
      <c r="A278" t="s">
        <v>40</v>
      </c>
      <c r="B278" t="s">
        <v>26</v>
      </c>
      <c r="C278" t="s">
        <v>11</v>
      </c>
      <c r="D278">
        <f>AVERAGE(per_seed!$L$132:$L$141)</f>
        <v>499.75555555706751</v>
      </c>
      <c r="E278">
        <v>499.75555555706751</v>
      </c>
    </row>
    <row r="279" spans="1:5">
      <c r="A279" t="s">
        <v>41</v>
      </c>
      <c r="B279" t="s">
        <v>26</v>
      </c>
      <c r="C279" t="s">
        <v>11</v>
      </c>
      <c r="D279">
        <f>_xlfn.STDEV.S(per_seed!$L$132:$L$141)</f>
        <v>40.807241347908381</v>
      </c>
      <c r="E279">
        <v>40.807241347908381</v>
      </c>
    </row>
    <row r="280" spans="1:5">
      <c r="A280" t="s">
        <v>40</v>
      </c>
      <c r="B280" t="s">
        <v>26</v>
      </c>
      <c r="C280" t="s">
        <v>12</v>
      </c>
      <c r="D280">
        <f>AVERAGE(per_seed!$M$132:$M$141)</f>
        <v>3.5832098766831386</v>
      </c>
      <c r="E280">
        <v>3.5832098766831391</v>
      </c>
    </row>
    <row r="281" spans="1:5">
      <c r="A281" t="s">
        <v>41</v>
      </c>
      <c r="B281" t="s">
        <v>26</v>
      </c>
      <c r="C281" t="s">
        <v>12</v>
      </c>
      <c r="D281">
        <f>_xlfn.STDEV.S(per_seed!$M$132:$M$141)</f>
        <v>1.7499878502323376</v>
      </c>
      <c r="E281">
        <v>1.749987850232338</v>
      </c>
    </row>
    <row r="282" spans="1:5">
      <c r="A282" t="s">
        <v>40</v>
      </c>
      <c r="B282" t="s">
        <v>27</v>
      </c>
      <c r="C282" t="s">
        <v>3</v>
      </c>
      <c r="D282">
        <f>AVERAGE(per_seed!$D$142:$D$151)</f>
        <v>1412.5</v>
      </c>
      <c r="E282">
        <v>1412.5</v>
      </c>
    </row>
    <row r="283" spans="1:5">
      <c r="A283" t="s">
        <v>41</v>
      </c>
      <c r="B283" t="s">
        <v>27</v>
      </c>
      <c r="C283" t="s">
        <v>3</v>
      </c>
      <c r="D283">
        <f>_xlfn.STDEV.S(per_seed!$D$142:$D$151)</f>
        <v>8.4491945704243836</v>
      </c>
      <c r="E283">
        <v>8.4491945704243836</v>
      </c>
    </row>
    <row r="284" spans="1:5">
      <c r="A284" t="s">
        <v>40</v>
      </c>
      <c r="B284" t="s">
        <v>27</v>
      </c>
      <c r="C284" t="s">
        <v>4</v>
      </c>
      <c r="D284">
        <f>AVERAGE(per_seed!$E$142:$E$151)</f>
        <v>923.7</v>
      </c>
      <c r="E284">
        <v>923.7</v>
      </c>
    </row>
    <row r="285" spans="1:5">
      <c r="A285" t="s">
        <v>41</v>
      </c>
      <c r="B285" t="s">
        <v>27</v>
      </c>
      <c r="C285" t="s">
        <v>4</v>
      </c>
      <c r="D285">
        <f>_xlfn.STDEV.S(per_seed!$E$142:$E$151)</f>
        <v>13.840761058072877</v>
      </c>
      <c r="E285">
        <v>13.84076105807288</v>
      </c>
    </row>
    <row r="286" spans="1:5">
      <c r="A286" t="s">
        <v>40</v>
      </c>
      <c r="B286" t="s">
        <v>27</v>
      </c>
      <c r="C286" t="s">
        <v>5</v>
      </c>
      <c r="D286">
        <f>AVERAGE(per_seed!$F$142:$F$151)</f>
        <v>618.9</v>
      </c>
      <c r="E286">
        <v>618.9</v>
      </c>
    </row>
    <row r="287" spans="1:5">
      <c r="A287" t="s">
        <v>41</v>
      </c>
      <c r="B287" t="s">
        <v>27</v>
      </c>
      <c r="C287" t="s">
        <v>5</v>
      </c>
      <c r="D287">
        <f>_xlfn.STDEV.S(per_seed!$F$142:$F$151)</f>
        <v>10.743990568375111</v>
      </c>
      <c r="E287">
        <v>10.743990568375111</v>
      </c>
    </row>
    <row r="288" spans="1:5">
      <c r="A288" t="s">
        <v>40</v>
      </c>
      <c r="B288" t="s">
        <v>27</v>
      </c>
      <c r="C288" t="s">
        <v>6</v>
      </c>
      <c r="D288">
        <f>AVERAGE(per_seed!$G$142:$G$151)</f>
        <v>3.2295100998438597</v>
      </c>
      <c r="E288">
        <v>3.2295100998438588</v>
      </c>
    </row>
    <row r="289" spans="1:5">
      <c r="A289" t="s">
        <v>41</v>
      </c>
      <c r="B289" t="s">
        <v>27</v>
      </c>
      <c r="C289" t="s">
        <v>6</v>
      </c>
      <c r="D289">
        <f>_xlfn.STDEV.S(per_seed!$G$142:$G$151)</f>
        <v>7.9517628599006171E-2</v>
      </c>
      <c r="E289">
        <v>7.9517628599006324E-2</v>
      </c>
    </row>
    <row r="290" spans="1:5">
      <c r="A290" t="s">
        <v>40</v>
      </c>
      <c r="B290" t="s">
        <v>27</v>
      </c>
      <c r="C290" t="s">
        <v>7</v>
      </c>
      <c r="D290">
        <f>AVERAGE(per_seed!$H$142:$H$151)</f>
        <v>191.7</v>
      </c>
      <c r="E290">
        <v>191.7</v>
      </c>
    </row>
    <row r="291" spans="1:5">
      <c r="A291" t="s">
        <v>41</v>
      </c>
      <c r="B291" t="s">
        <v>27</v>
      </c>
      <c r="C291" t="s">
        <v>7</v>
      </c>
      <c r="D291">
        <f>_xlfn.STDEV.S(per_seed!$H$142:$H$151)</f>
        <v>3.8311588035185613</v>
      </c>
      <c r="E291">
        <v>3.8311588035185622</v>
      </c>
    </row>
    <row r="292" spans="1:5">
      <c r="A292" t="s">
        <v>40</v>
      </c>
      <c r="B292" t="s">
        <v>27</v>
      </c>
      <c r="C292" t="s">
        <v>8</v>
      </c>
      <c r="D292">
        <f>AVERAGE(per_seed!$I$142:$I$151)</f>
        <v>0.30981464278631637</v>
      </c>
      <c r="E292">
        <v>0.30981464278631632</v>
      </c>
    </row>
    <row r="293" spans="1:5">
      <c r="A293" t="s">
        <v>41</v>
      </c>
      <c r="B293" t="s">
        <v>27</v>
      </c>
      <c r="C293" t="s">
        <v>8</v>
      </c>
      <c r="D293">
        <f>_xlfn.STDEV.S(per_seed!$I$142:$I$151)</f>
        <v>7.6808663081927601E-3</v>
      </c>
      <c r="E293">
        <v>7.6808663081927662E-3</v>
      </c>
    </row>
    <row r="294" spans="1:5">
      <c r="A294" t="s">
        <v>40</v>
      </c>
      <c r="B294" t="s">
        <v>27</v>
      </c>
      <c r="C294" t="s">
        <v>9</v>
      </c>
      <c r="D294">
        <f>AVERAGE(per_seed!$J$142:$J$151)</f>
        <v>14.907743934255024</v>
      </c>
      <c r="E294">
        <v>14.90774393425502</v>
      </c>
    </row>
    <row r="295" spans="1:5">
      <c r="A295" t="s">
        <v>41</v>
      </c>
      <c r="B295" t="s">
        <v>27</v>
      </c>
      <c r="C295" t="s">
        <v>9</v>
      </c>
      <c r="D295">
        <f>_xlfn.STDEV.S(per_seed!$J$142:$J$151)</f>
        <v>0.36398339268308094</v>
      </c>
      <c r="E295">
        <v>0.3639833926830795</v>
      </c>
    </row>
    <row r="296" spans="1:5">
      <c r="A296" t="s">
        <v>40</v>
      </c>
      <c r="B296" t="s">
        <v>27</v>
      </c>
      <c r="C296" t="s">
        <v>10</v>
      </c>
      <c r="D296">
        <f>AVERAGE(per_seed!$K$142:$K$151)</f>
        <v>1.8271855230178129</v>
      </c>
      <c r="E296">
        <v>1.8271855230178129</v>
      </c>
    </row>
    <row r="297" spans="1:5">
      <c r="A297" t="s">
        <v>41</v>
      </c>
      <c r="B297" t="s">
        <v>27</v>
      </c>
      <c r="C297" t="s">
        <v>10</v>
      </c>
      <c r="D297">
        <f>_xlfn.STDEV.S(per_seed!$K$142:$K$151)</f>
        <v>4.3861454601692149E-2</v>
      </c>
      <c r="E297">
        <v>4.3861454601692149E-2</v>
      </c>
    </row>
    <row r="298" spans="1:5">
      <c r="A298" t="s">
        <v>40</v>
      </c>
      <c r="B298" t="s">
        <v>27</v>
      </c>
      <c r="C298" t="s">
        <v>11</v>
      </c>
      <c r="D298">
        <f>AVERAGE(per_seed!$L$142:$L$151)</f>
        <v>524.47111111165032</v>
      </c>
      <c r="E298">
        <v>524.47111111165032</v>
      </c>
    </row>
    <row r="299" spans="1:5">
      <c r="A299" t="s">
        <v>41</v>
      </c>
      <c r="B299" t="s">
        <v>27</v>
      </c>
      <c r="C299" t="s">
        <v>11</v>
      </c>
      <c r="D299">
        <f>_xlfn.STDEV.S(per_seed!$L$142:$L$151)</f>
        <v>31.52886508312578</v>
      </c>
      <c r="E299">
        <v>31.52886508312578</v>
      </c>
    </row>
    <row r="300" spans="1:5">
      <c r="A300" t="s">
        <v>40</v>
      </c>
      <c r="B300" t="s">
        <v>27</v>
      </c>
      <c r="C300" t="s">
        <v>12</v>
      </c>
      <c r="D300">
        <f>AVERAGE(per_seed!$M$142:$M$151)</f>
        <v>1.9821913581719415</v>
      </c>
      <c r="E300">
        <v>1.982191358171941</v>
      </c>
    </row>
    <row r="301" spans="1:5">
      <c r="A301" t="s">
        <v>41</v>
      </c>
      <c r="B301" t="s">
        <v>27</v>
      </c>
      <c r="C301" t="s">
        <v>12</v>
      </c>
      <c r="D301">
        <f>_xlfn.STDEV.S(per_seed!$M$142:$M$151)</f>
        <v>0.59232129081248663</v>
      </c>
      <c r="E301">
        <v>0.59232129081248841</v>
      </c>
    </row>
    <row r="302" spans="1:5">
      <c r="A302" t="s">
        <v>40</v>
      </c>
      <c r="B302" t="s">
        <v>28</v>
      </c>
      <c r="C302" t="s">
        <v>3</v>
      </c>
      <c r="D302">
        <f>AVERAGE(per_seed!$D$152:$D$161)</f>
        <v>1418.1</v>
      </c>
      <c r="E302">
        <v>1418.1</v>
      </c>
    </row>
    <row r="303" spans="1:5">
      <c r="A303" t="s">
        <v>41</v>
      </c>
      <c r="B303" t="s">
        <v>28</v>
      </c>
      <c r="C303" t="s">
        <v>3</v>
      </c>
      <c r="D303">
        <f>_xlfn.STDEV.S(per_seed!$D$152:$D$161)</f>
        <v>9.9604774539733345</v>
      </c>
      <c r="E303">
        <v>9.9604774539733345</v>
      </c>
    </row>
    <row r="304" spans="1:5">
      <c r="A304" t="s">
        <v>40</v>
      </c>
      <c r="B304" t="s">
        <v>28</v>
      </c>
      <c r="C304" t="s">
        <v>4</v>
      </c>
      <c r="D304">
        <f>AVERAGE(per_seed!$E$152:$E$161)</f>
        <v>925.2</v>
      </c>
      <c r="E304">
        <v>925.2</v>
      </c>
    </row>
    <row r="305" spans="1:5">
      <c r="A305" t="s">
        <v>41</v>
      </c>
      <c r="B305" t="s">
        <v>28</v>
      </c>
      <c r="C305" t="s">
        <v>4</v>
      </c>
      <c r="D305">
        <f>_xlfn.STDEV.S(per_seed!$E$152:$E$161)</f>
        <v>15.788884979278583</v>
      </c>
      <c r="E305">
        <v>15.788884979278579</v>
      </c>
    </row>
    <row r="306" spans="1:5">
      <c r="A306" t="s">
        <v>40</v>
      </c>
      <c r="B306" t="s">
        <v>28</v>
      </c>
      <c r="C306" t="s">
        <v>5</v>
      </c>
      <c r="D306">
        <f>AVERAGE(per_seed!$F$152:$F$161)</f>
        <v>621.9</v>
      </c>
      <c r="E306">
        <v>621.9</v>
      </c>
    </row>
    <row r="307" spans="1:5">
      <c r="A307" t="s">
        <v>41</v>
      </c>
      <c r="B307" t="s">
        <v>28</v>
      </c>
      <c r="C307" t="s">
        <v>5</v>
      </c>
      <c r="D307">
        <f>_xlfn.STDEV.S(per_seed!$F$152:$F$161)</f>
        <v>10.170217958988555</v>
      </c>
      <c r="E307">
        <v>10.170217958988561</v>
      </c>
    </row>
    <row r="308" spans="1:5">
      <c r="A308" t="s">
        <v>40</v>
      </c>
      <c r="B308" t="s">
        <v>28</v>
      </c>
      <c r="C308" t="s">
        <v>6</v>
      </c>
      <c r="D308">
        <f>AVERAGE(per_seed!$G$152:$G$161)</f>
        <v>3.2249253235405142</v>
      </c>
      <c r="E308">
        <v>3.2249253235405142</v>
      </c>
    </row>
    <row r="309" spans="1:5">
      <c r="A309" t="s">
        <v>41</v>
      </c>
      <c r="B309" t="s">
        <v>28</v>
      </c>
      <c r="C309" t="s">
        <v>6</v>
      </c>
      <c r="D309">
        <f>_xlfn.STDEV.S(per_seed!$G$152:$G$161)</f>
        <v>5.4001655367158438E-2</v>
      </c>
      <c r="E309">
        <v>5.4001655367158258E-2</v>
      </c>
    </row>
    <row r="310" spans="1:5">
      <c r="A310" t="s">
        <v>40</v>
      </c>
      <c r="B310" t="s">
        <v>28</v>
      </c>
      <c r="C310" t="s">
        <v>7</v>
      </c>
      <c r="D310">
        <f>AVERAGE(per_seed!$H$152:$H$161)</f>
        <v>192.9</v>
      </c>
      <c r="E310">
        <v>192.9</v>
      </c>
    </row>
    <row r="311" spans="1:5">
      <c r="A311" t="s">
        <v>41</v>
      </c>
      <c r="B311" t="s">
        <v>28</v>
      </c>
      <c r="C311" t="s">
        <v>7</v>
      </c>
      <c r="D311">
        <f>_xlfn.STDEV.S(per_seed!$H$152:$H$161)</f>
        <v>4.9766119666562973</v>
      </c>
      <c r="E311">
        <v>4.9766119666562982</v>
      </c>
    </row>
    <row r="312" spans="1:5">
      <c r="A312" t="s">
        <v>40</v>
      </c>
      <c r="B312" t="s">
        <v>28</v>
      </c>
      <c r="C312" t="s">
        <v>8</v>
      </c>
      <c r="D312">
        <f>AVERAGE(per_seed!$I$152:$I$161)</f>
        <v>0.31016289141354159</v>
      </c>
      <c r="E312">
        <v>0.31016289141354159</v>
      </c>
    </row>
    <row r="313" spans="1:5">
      <c r="A313" t="s">
        <v>41</v>
      </c>
      <c r="B313" t="s">
        <v>28</v>
      </c>
      <c r="C313" t="s">
        <v>8</v>
      </c>
      <c r="D313">
        <f>_xlfn.STDEV.S(per_seed!$I$152:$I$161)</f>
        <v>5.1895942214287638E-3</v>
      </c>
      <c r="E313">
        <v>5.1895942214287751E-3</v>
      </c>
    </row>
    <row r="314" spans="1:5">
      <c r="A314" t="s">
        <v>40</v>
      </c>
      <c r="B314" t="s">
        <v>28</v>
      </c>
      <c r="C314" t="s">
        <v>9</v>
      </c>
      <c r="D314">
        <f>AVERAGE(per_seed!$J$152:$J$161)</f>
        <v>15.063904075333571</v>
      </c>
      <c r="E314">
        <v>15.06390407533357</v>
      </c>
    </row>
    <row r="315" spans="1:5">
      <c r="A315" t="s">
        <v>41</v>
      </c>
      <c r="B315" t="s">
        <v>28</v>
      </c>
      <c r="C315" t="s">
        <v>9</v>
      </c>
      <c r="D315">
        <f>_xlfn.STDEV.S(per_seed!$J$152:$J$161)</f>
        <v>0.31729817728042076</v>
      </c>
      <c r="E315">
        <v>0.31729817728041942</v>
      </c>
    </row>
    <row r="316" spans="1:5">
      <c r="A316" t="s">
        <v>40</v>
      </c>
      <c r="B316" t="s">
        <v>28</v>
      </c>
      <c r="C316" t="s">
        <v>10</v>
      </c>
      <c r="D316">
        <f>AVERAGE(per_seed!$K$152:$K$161)</f>
        <v>1.8452881392340881</v>
      </c>
      <c r="E316">
        <v>1.8452881392340881</v>
      </c>
    </row>
    <row r="317" spans="1:5">
      <c r="A317" t="s">
        <v>41</v>
      </c>
      <c r="B317" t="s">
        <v>28</v>
      </c>
      <c r="C317" t="s">
        <v>10</v>
      </c>
      <c r="D317">
        <f>_xlfn.STDEV.S(per_seed!$K$152:$K$161)</f>
        <v>3.1410724742192593E-2</v>
      </c>
      <c r="E317">
        <v>3.1410724742192593E-2</v>
      </c>
    </row>
    <row r="318" spans="1:5">
      <c r="A318" t="s">
        <v>40</v>
      </c>
      <c r="B318" t="s">
        <v>28</v>
      </c>
      <c r="C318" t="s">
        <v>11</v>
      </c>
      <c r="D318">
        <f>AVERAGE(per_seed!$L$152:$L$161)</f>
        <v>531.65333333500007</v>
      </c>
      <c r="E318">
        <v>531.65333333500018</v>
      </c>
    </row>
    <row r="319" spans="1:5">
      <c r="A319" t="s">
        <v>41</v>
      </c>
      <c r="B319" t="s">
        <v>28</v>
      </c>
      <c r="C319" t="s">
        <v>11</v>
      </c>
      <c r="D319">
        <f>_xlfn.STDEV.S(per_seed!$L$152:$L$161)</f>
        <v>36.632947008552613</v>
      </c>
      <c r="E319">
        <v>36.632947008552613</v>
      </c>
    </row>
    <row r="320" spans="1:5">
      <c r="A320" t="s">
        <v>40</v>
      </c>
      <c r="B320" t="s">
        <v>28</v>
      </c>
      <c r="C320" t="s">
        <v>12</v>
      </c>
      <c r="D320">
        <f>AVERAGE(per_seed!$M$152:$M$161)</f>
        <v>1.5930864199003338</v>
      </c>
      <c r="E320">
        <v>1.5930864199003341</v>
      </c>
    </row>
    <row r="321" spans="1:5">
      <c r="A321" t="s">
        <v>41</v>
      </c>
      <c r="B321" t="s">
        <v>28</v>
      </c>
      <c r="C321" t="s">
        <v>12</v>
      </c>
      <c r="D321">
        <f>_xlfn.STDEV.S(per_seed!$M$152:$M$161)</f>
        <v>0.68187465981860951</v>
      </c>
      <c r="E321">
        <v>0.68187465981860973</v>
      </c>
    </row>
    <row r="322" spans="1:5">
      <c r="A322" t="s">
        <v>40</v>
      </c>
      <c r="B322" t="s">
        <v>29</v>
      </c>
      <c r="C322" t="s">
        <v>3</v>
      </c>
      <c r="D322">
        <f>AVERAGE(per_seed!$D$162:$D$171)</f>
        <v>1422.5</v>
      </c>
      <c r="E322">
        <v>1422.5</v>
      </c>
    </row>
    <row r="323" spans="1:5">
      <c r="A323" t="s">
        <v>41</v>
      </c>
      <c r="B323" t="s">
        <v>29</v>
      </c>
      <c r="C323" t="s">
        <v>3</v>
      </c>
      <c r="D323">
        <f>_xlfn.STDEV.S(per_seed!$D$162:$D$171)</f>
        <v>4.377975178854566</v>
      </c>
      <c r="E323">
        <v>4.377975178854566</v>
      </c>
    </row>
    <row r="324" spans="1:5">
      <c r="A324" t="s">
        <v>40</v>
      </c>
      <c r="B324" t="s">
        <v>29</v>
      </c>
      <c r="C324" t="s">
        <v>4</v>
      </c>
      <c r="D324">
        <f>AVERAGE(per_seed!$E$162:$E$171)</f>
        <v>927.1</v>
      </c>
      <c r="E324">
        <v>927.1</v>
      </c>
    </row>
    <row r="325" spans="1:5">
      <c r="A325" t="s">
        <v>41</v>
      </c>
      <c r="B325" t="s">
        <v>29</v>
      </c>
      <c r="C325" t="s">
        <v>4</v>
      </c>
      <c r="D325">
        <f>_xlfn.STDEV.S(per_seed!$E$162:$E$171)</f>
        <v>9.666091936937768</v>
      </c>
      <c r="E325">
        <v>9.666091936937768</v>
      </c>
    </row>
    <row r="326" spans="1:5">
      <c r="A326" t="s">
        <v>40</v>
      </c>
      <c r="B326" t="s">
        <v>29</v>
      </c>
      <c r="C326" t="s">
        <v>5</v>
      </c>
      <c r="D326">
        <f>AVERAGE(per_seed!$F$162:$F$171)</f>
        <v>621.79999999999995</v>
      </c>
      <c r="E326">
        <v>621.79999999999995</v>
      </c>
    </row>
    <row r="327" spans="1:5">
      <c r="A327" t="s">
        <v>41</v>
      </c>
      <c r="B327" t="s">
        <v>29</v>
      </c>
      <c r="C327" t="s">
        <v>5</v>
      </c>
      <c r="D327">
        <f>_xlfn.STDEV.S(per_seed!$F$162:$F$171)</f>
        <v>11.998148005236288</v>
      </c>
      <c r="E327">
        <v>11.99814800523629</v>
      </c>
    </row>
    <row r="328" spans="1:5">
      <c r="A328" t="s">
        <v>40</v>
      </c>
      <c r="B328" t="s">
        <v>29</v>
      </c>
      <c r="C328" t="s">
        <v>6</v>
      </c>
      <c r="D328">
        <f>AVERAGE(per_seed!$G$162:$G$171)</f>
        <v>3.2746186730669464</v>
      </c>
      <c r="E328">
        <v>3.274618673066946</v>
      </c>
    </row>
    <row r="329" spans="1:5">
      <c r="A329" t="s">
        <v>41</v>
      </c>
      <c r="B329" t="s">
        <v>29</v>
      </c>
      <c r="C329" t="s">
        <v>6</v>
      </c>
      <c r="D329">
        <f>_xlfn.STDEV.S(per_seed!$G$162:$G$171)</f>
        <v>4.4851664126000258E-2</v>
      </c>
      <c r="E329">
        <v>4.4851664126000418E-2</v>
      </c>
    </row>
    <row r="330" spans="1:5">
      <c r="A330" t="s">
        <v>40</v>
      </c>
      <c r="B330" t="s">
        <v>29</v>
      </c>
      <c r="C330" t="s">
        <v>7</v>
      </c>
      <c r="D330">
        <f>AVERAGE(per_seed!$H$162:$H$171)</f>
        <v>189.9</v>
      </c>
      <c r="E330">
        <v>189.9</v>
      </c>
    </row>
    <row r="331" spans="1:5">
      <c r="A331" t="s">
        <v>41</v>
      </c>
      <c r="B331" t="s">
        <v>29</v>
      </c>
      <c r="C331" t="s">
        <v>7</v>
      </c>
      <c r="D331">
        <f>_xlfn.STDEV.S(per_seed!$H$162:$H$171)</f>
        <v>3.6040101122068022</v>
      </c>
      <c r="E331">
        <v>3.6040101122068018</v>
      </c>
    </row>
    <row r="332" spans="1:5">
      <c r="A332" t="s">
        <v>40</v>
      </c>
      <c r="B332" t="s">
        <v>29</v>
      </c>
      <c r="C332" t="s">
        <v>8</v>
      </c>
      <c r="D332">
        <f>AVERAGE(per_seed!$I$162:$I$171)</f>
        <v>0.3054305574829666</v>
      </c>
      <c r="E332">
        <v>0.3054305574829666</v>
      </c>
    </row>
    <row r="333" spans="1:5">
      <c r="A333" t="s">
        <v>41</v>
      </c>
      <c r="B333" t="s">
        <v>29</v>
      </c>
      <c r="C333" t="s">
        <v>8</v>
      </c>
      <c r="D333">
        <f>_xlfn.STDEV.S(per_seed!$I$162:$I$171)</f>
        <v>4.177209519394663E-3</v>
      </c>
      <c r="E333">
        <v>4.1772095193946613E-3</v>
      </c>
    </row>
    <row r="334" spans="1:5">
      <c r="A334" t="s">
        <v>40</v>
      </c>
      <c r="B334" t="s">
        <v>29</v>
      </c>
      <c r="C334" t="s">
        <v>9</v>
      </c>
      <c r="D334">
        <f>AVERAGE(per_seed!$J$162:$J$171)</f>
        <v>15.070956500211793</v>
      </c>
      <c r="E334">
        <v>15.0709565002118</v>
      </c>
    </row>
    <row r="335" spans="1:5">
      <c r="A335" t="s">
        <v>41</v>
      </c>
      <c r="B335" t="s">
        <v>29</v>
      </c>
      <c r="C335" t="s">
        <v>9</v>
      </c>
      <c r="D335">
        <f>_xlfn.STDEV.S(per_seed!$J$162:$J$171)</f>
        <v>0.19975855254293134</v>
      </c>
      <c r="E335">
        <v>0.19975855254293159</v>
      </c>
    </row>
    <row r="336" spans="1:5">
      <c r="A336" t="s">
        <v>40</v>
      </c>
      <c r="B336" t="s">
        <v>29</v>
      </c>
      <c r="C336" t="s">
        <v>10</v>
      </c>
      <c r="D336">
        <f>AVERAGE(per_seed!$K$162:$K$171)</f>
        <v>1.8441763357048699</v>
      </c>
      <c r="E336">
        <v>1.8441763357048699</v>
      </c>
    </row>
    <row r="337" spans="1:5">
      <c r="A337" t="s">
        <v>41</v>
      </c>
      <c r="B337" t="s">
        <v>29</v>
      </c>
      <c r="C337" t="s">
        <v>10</v>
      </c>
      <c r="D337">
        <f>_xlfn.STDEV.S(per_seed!$K$162:$K$171)</f>
        <v>3.9615589095807313E-2</v>
      </c>
      <c r="E337">
        <v>3.9615589095807313E-2</v>
      </c>
    </row>
    <row r="338" spans="1:5">
      <c r="A338" t="s">
        <v>40</v>
      </c>
      <c r="B338" t="s">
        <v>29</v>
      </c>
      <c r="C338" t="s">
        <v>11</v>
      </c>
      <c r="D338">
        <f>AVERAGE(per_seed!$L$162:$L$171)</f>
        <v>533.07555555492524</v>
      </c>
      <c r="E338">
        <v>533.07555555492524</v>
      </c>
    </row>
    <row r="339" spans="1:5">
      <c r="A339" t="s">
        <v>41</v>
      </c>
      <c r="B339" t="s">
        <v>29</v>
      </c>
      <c r="C339" t="s">
        <v>11</v>
      </c>
      <c r="D339">
        <f>_xlfn.STDEV.S(per_seed!$L$162:$L$171)</f>
        <v>18.914008569112362</v>
      </c>
      <c r="E339">
        <v>18.914008569112362</v>
      </c>
    </row>
    <row r="340" spans="1:5">
      <c r="A340" t="s">
        <v>40</v>
      </c>
      <c r="B340" t="s">
        <v>29</v>
      </c>
      <c r="C340" t="s">
        <v>12</v>
      </c>
      <c r="D340">
        <f>AVERAGE(per_seed!$M$162:$M$171)</f>
        <v>1.2793518519917106</v>
      </c>
      <c r="E340">
        <v>1.2793518519917111</v>
      </c>
    </row>
    <row r="341" spans="1:5">
      <c r="A341" t="s">
        <v>41</v>
      </c>
      <c r="B341" t="s">
        <v>29</v>
      </c>
      <c r="C341" t="s">
        <v>12</v>
      </c>
      <c r="D341">
        <f>_xlfn.STDEV.S(per_seed!$M$162:$M$171)</f>
        <v>0.29539108015854648</v>
      </c>
      <c r="E341">
        <v>0.29539108015854648</v>
      </c>
    </row>
    <row r="342" spans="1:5">
      <c r="A342" t="s">
        <v>40</v>
      </c>
      <c r="B342" t="s">
        <v>30</v>
      </c>
      <c r="C342" t="s">
        <v>3</v>
      </c>
      <c r="D342">
        <f>AVERAGE(per_seed!$D$172:$D$181)</f>
        <v>1422.5</v>
      </c>
      <c r="E342">
        <v>1422.5</v>
      </c>
    </row>
    <row r="343" spans="1:5">
      <c r="A343" t="s">
        <v>41</v>
      </c>
      <c r="B343" t="s">
        <v>30</v>
      </c>
      <c r="C343" t="s">
        <v>3</v>
      </c>
      <c r="D343">
        <f>_xlfn.STDEV.S(per_seed!$D$172:$D$181)</f>
        <v>6.948221195225277</v>
      </c>
      <c r="E343">
        <v>6.948221195225277</v>
      </c>
    </row>
    <row r="344" spans="1:5">
      <c r="A344" t="s">
        <v>40</v>
      </c>
      <c r="B344" t="s">
        <v>30</v>
      </c>
      <c r="C344" t="s">
        <v>4</v>
      </c>
      <c r="D344">
        <f>AVERAGE(per_seed!$E$172:$E$181)</f>
        <v>928.3</v>
      </c>
      <c r="E344">
        <v>928.3</v>
      </c>
    </row>
    <row r="345" spans="1:5">
      <c r="A345" t="s">
        <v>41</v>
      </c>
      <c r="B345" t="s">
        <v>30</v>
      </c>
      <c r="C345" t="s">
        <v>4</v>
      </c>
      <c r="D345">
        <f>_xlfn.STDEV.S(per_seed!$E$172:$E$181)</f>
        <v>12.534840334931362</v>
      </c>
      <c r="E345">
        <v>12.53484033493136</v>
      </c>
    </row>
    <row r="346" spans="1:5">
      <c r="A346" t="s">
        <v>40</v>
      </c>
      <c r="B346" t="s">
        <v>30</v>
      </c>
      <c r="C346" t="s">
        <v>5</v>
      </c>
      <c r="D346">
        <f>AVERAGE(per_seed!$F$172:$F$181)</f>
        <v>623.4</v>
      </c>
      <c r="E346">
        <v>623.4</v>
      </c>
    </row>
    <row r="347" spans="1:5">
      <c r="A347" t="s">
        <v>41</v>
      </c>
      <c r="B347" t="s">
        <v>30</v>
      </c>
      <c r="C347" t="s">
        <v>5</v>
      </c>
      <c r="D347">
        <f>_xlfn.STDEV.S(per_seed!$F$172:$F$181)</f>
        <v>11.59693446083442</v>
      </c>
      <c r="E347">
        <v>11.59693446083442</v>
      </c>
    </row>
    <row r="348" spans="1:5">
      <c r="A348" t="s">
        <v>40</v>
      </c>
      <c r="B348" t="s">
        <v>30</v>
      </c>
      <c r="C348" t="s">
        <v>6</v>
      </c>
      <c r="D348">
        <f>AVERAGE(per_seed!$G$172:$G$181)</f>
        <v>3.3039917343352299</v>
      </c>
      <c r="E348">
        <v>3.3039917343352299</v>
      </c>
    </row>
    <row r="349" spans="1:5">
      <c r="A349" t="s">
        <v>41</v>
      </c>
      <c r="B349" t="s">
        <v>30</v>
      </c>
      <c r="C349" t="s">
        <v>6</v>
      </c>
      <c r="D349">
        <f>_xlfn.STDEV.S(per_seed!$G$172:$G$181)</f>
        <v>4.0253959702013252E-2</v>
      </c>
      <c r="E349">
        <v>4.0253959702013203E-2</v>
      </c>
    </row>
    <row r="350" spans="1:5">
      <c r="A350" t="s">
        <v>40</v>
      </c>
      <c r="B350" t="s">
        <v>30</v>
      </c>
      <c r="C350" t="s">
        <v>7</v>
      </c>
      <c r="D350">
        <f>AVERAGE(per_seed!$H$172:$H$181)</f>
        <v>188.7</v>
      </c>
      <c r="E350">
        <v>188.7</v>
      </c>
    </row>
    <row r="351" spans="1:5">
      <c r="A351" t="s">
        <v>41</v>
      </c>
      <c r="B351" t="s">
        <v>30</v>
      </c>
      <c r="C351" t="s">
        <v>7</v>
      </c>
      <c r="D351">
        <f>_xlfn.STDEV.S(per_seed!$H$172:$H$181)</f>
        <v>3.8887301554906348</v>
      </c>
      <c r="E351">
        <v>3.8887301554906348</v>
      </c>
    </row>
    <row r="352" spans="1:5">
      <c r="A352" t="s">
        <v>40</v>
      </c>
      <c r="B352" t="s">
        <v>30</v>
      </c>
      <c r="C352" t="s">
        <v>8</v>
      </c>
      <c r="D352">
        <f>AVERAGE(per_seed!$I$172:$I$181)</f>
        <v>0.3027045121623379</v>
      </c>
      <c r="E352">
        <v>0.3027045121623379</v>
      </c>
    </row>
    <row r="353" spans="1:5">
      <c r="A353" t="s">
        <v>41</v>
      </c>
      <c r="B353" t="s">
        <v>30</v>
      </c>
      <c r="C353" t="s">
        <v>8</v>
      </c>
      <c r="D353">
        <f>_xlfn.STDEV.S(per_seed!$I$172:$I$181)</f>
        <v>3.6770621636061499E-3</v>
      </c>
      <c r="E353">
        <v>3.6770621636061638E-3</v>
      </c>
    </row>
    <row r="354" spans="1:5">
      <c r="A354" t="s">
        <v>40</v>
      </c>
      <c r="B354" t="s">
        <v>30</v>
      </c>
      <c r="C354" t="s">
        <v>9</v>
      </c>
      <c r="D354">
        <f>AVERAGE(per_seed!$J$172:$J$181)</f>
        <v>15.276978584589582</v>
      </c>
      <c r="E354">
        <v>15.276978584589591</v>
      </c>
    </row>
    <row r="355" spans="1:5">
      <c r="A355" t="s">
        <v>41</v>
      </c>
      <c r="B355" t="s">
        <v>30</v>
      </c>
      <c r="C355" t="s">
        <v>9</v>
      </c>
      <c r="D355">
        <f>_xlfn.STDEV.S(per_seed!$J$172:$J$181)</f>
        <v>0.25109836670894731</v>
      </c>
      <c r="E355">
        <v>0.25109836670894831</v>
      </c>
    </row>
    <row r="356" spans="1:5">
      <c r="A356" t="s">
        <v>40</v>
      </c>
      <c r="B356" t="s">
        <v>30</v>
      </c>
      <c r="C356" t="s">
        <v>10</v>
      </c>
      <c r="D356">
        <f>AVERAGE(per_seed!$K$172:$K$181)</f>
        <v>1.8678988353565391</v>
      </c>
      <c r="E356">
        <v>1.8678988353565389</v>
      </c>
    </row>
    <row r="357" spans="1:5">
      <c r="A357" t="s">
        <v>41</v>
      </c>
      <c r="B357" t="s">
        <v>30</v>
      </c>
      <c r="C357" t="s">
        <v>10</v>
      </c>
      <c r="D357">
        <f>_xlfn.STDEV.S(per_seed!$K$172:$K$181)</f>
        <v>2.6309865902617639E-2</v>
      </c>
      <c r="E357">
        <v>2.6309865902617639E-2</v>
      </c>
    </row>
    <row r="358" spans="1:5">
      <c r="A358" t="s">
        <v>40</v>
      </c>
      <c r="B358" t="s">
        <v>30</v>
      </c>
      <c r="C358" t="s">
        <v>11</v>
      </c>
      <c r="D358">
        <f>AVERAGE(per_seed!$L$172:$L$181)</f>
        <v>529.24444444495498</v>
      </c>
      <c r="E358">
        <v>529.24444444495498</v>
      </c>
    </row>
    <row r="359" spans="1:5">
      <c r="A359" t="s">
        <v>41</v>
      </c>
      <c r="B359" t="s">
        <v>30</v>
      </c>
      <c r="C359" t="s">
        <v>11</v>
      </c>
      <c r="D359">
        <f>_xlfn.STDEV.S(per_seed!$L$172:$L$181)</f>
        <v>33.99080324259738</v>
      </c>
      <c r="E359">
        <v>33.99080324259738</v>
      </c>
    </row>
    <row r="360" spans="1:5">
      <c r="A360" t="s">
        <v>40</v>
      </c>
      <c r="B360" t="s">
        <v>30</v>
      </c>
      <c r="C360" t="s">
        <v>12</v>
      </c>
      <c r="D360">
        <f>AVERAGE(per_seed!$M$172:$M$181)</f>
        <v>1.2999691359497896</v>
      </c>
      <c r="E360">
        <v>1.29996913594979</v>
      </c>
    </row>
    <row r="361" spans="1:5">
      <c r="A361" t="s">
        <v>41</v>
      </c>
      <c r="B361" t="s">
        <v>30</v>
      </c>
      <c r="C361" t="s">
        <v>12</v>
      </c>
      <c r="D361">
        <f>_xlfn.STDEV.S(per_seed!$M$172:$M$181)</f>
        <v>0.48149048235581138</v>
      </c>
      <c r="E361">
        <v>0.48149048235581138</v>
      </c>
    </row>
    <row r="362" spans="1:5">
      <c r="A362" t="s">
        <v>40</v>
      </c>
      <c r="B362" t="s">
        <v>31</v>
      </c>
      <c r="C362" t="s">
        <v>3</v>
      </c>
      <c r="D362">
        <f>AVERAGE(per_seed!$D$182:$D$191)</f>
        <v>1422.4</v>
      </c>
      <c r="E362">
        <v>1422.4</v>
      </c>
    </row>
    <row r="363" spans="1:5">
      <c r="A363" t="s">
        <v>41</v>
      </c>
      <c r="B363" t="s">
        <v>31</v>
      </c>
      <c r="C363" t="s">
        <v>3</v>
      </c>
      <c r="D363">
        <f>_xlfn.STDEV.S(per_seed!$D$182:$D$191)</f>
        <v>5.1897334549409511</v>
      </c>
      <c r="E363">
        <v>5.1897334549409511</v>
      </c>
    </row>
    <row r="364" spans="1:5">
      <c r="A364" t="s">
        <v>40</v>
      </c>
      <c r="B364" t="s">
        <v>31</v>
      </c>
      <c r="C364" t="s">
        <v>4</v>
      </c>
      <c r="D364">
        <f>AVERAGE(per_seed!$E$182:$E$191)</f>
        <v>931.5</v>
      </c>
      <c r="E364">
        <v>931.5</v>
      </c>
    </row>
    <row r="365" spans="1:5">
      <c r="A365" t="s">
        <v>41</v>
      </c>
      <c r="B365" t="s">
        <v>31</v>
      </c>
      <c r="C365" t="s">
        <v>4</v>
      </c>
      <c r="D365">
        <f>_xlfn.STDEV.S(per_seed!$E$182:$E$191)</f>
        <v>13.525695710182321</v>
      </c>
      <c r="E365">
        <v>13.525695710182321</v>
      </c>
    </row>
    <row r="366" spans="1:5">
      <c r="A366" t="s">
        <v>40</v>
      </c>
      <c r="B366" t="s">
        <v>31</v>
      </c>
      <c r="C366" t="s">
        <v>5</v>
      </c>
      <c r="D366">
        <f>AVERAGE(per_seed!$F$182:$F$191)</f>
        <v>624.1</v>
      </c>
      <c r="E366">
        <v>624.1</v>
      </c>
    </row>
    <row r="367" spans="1:5">
      <c r="A367" t="s">
        <v>41</v>
      </c>
      <c r="B367" t="s">
        <v>31</v>
      </c>
      <c r="C367" t="s">
        <v>5</v>
      </c>
      <c r="D367">
        <f>_xlfn.STDEV.S(per_seed!$F$182:$F$191)</f>
        <v>11.33774423968209</v>
      </c>
      <c r="E367">
        <v>11.33774423968209</v>
      </c>
    </row>
    <row r="368" spans="1:5">
      <c r="A368" t="s">
        <v>40</v>
      </c>
      <c r="B368" t="s">
        <v>31</v>
      </c>
      <c r="C368" t="s">
        <v>6</v>
      </c>
      <c r="D368">
        <f>AVERAGE(per_seed!$G$182:$G$191)</f>
        <v>3.3184733625878224</v>
      </c>
      <c r="E368">
        <v>3.318473362587822</v>
      </c>
    </row>
    <row r="369" spans="1:5">
      <c r="A369" t="s">
        <v>41</v>
      </c>
      <c r="B369" t="s">
        <v>31</v>
      </c>
      <c r="C369" t="s">
        <v>6</v>
      </c>
      <c r="D369">
        <f>_xlfn.STDEV.S(per_seed!$G$182:$G$191)</f>
        <v>7.0746932929792575E-2</v>
      </c>
      <c r="E369">
        <v>7.0746932929792547E-2</v>
      </c>
    </row>
    <row r="370" spans="1:5">
      <c r="A370" t="s">
        <v>40</v>
      </c>
      <c r="B370" t="s">
        <v>31</v>
      </c>
      <c r="C370" t="s">
        <v>7</v>
      </c>
      <c r="D370">
        <f>AVERAGE(per_seed!$H$182:$H$191)</f>
        <v>188.1</v>
      </c>
      <c r="E370">
        <v>188.1</v>
      </c>
    </row>
    <row r="371" spans="1:5">
      <c r="A371" t="s">
        <v>41</v>
      </c>
      <c r="B371" t="s">
        <v>31</v>
      </c>
      <c r="C371" t="s">
        <v>7</v>
      </c>
      <c r="D371">
        <f>_xlfn.STDEV.S(per_seed!$H$182:$H$191)</f>
        <v>2.960855732160327</v>
      </c>
      <c r="E371">
        <v>2.960855732160327</v>
      </c>
    </row>
    <row r="372" spans="1:5">
      <c r="A372" t="s">
        <v>40</v>
      </c>
      <c r="B372" t="s">
        <v>31</v>
      </c>
      <c r="C372" t="s">
        <v>8</v>
      </c>
      <c r="D372">
        <f>AVERAGE(per_seed!$I$182:$I$191)</f>
        <v>0.30146727004158469</v>
      </c>
      <c r="E372">
        <v>0.30146727004158469</v>
      </c>
    </row>
    <row r="373" spans="1:5">
      <c r="A373" t="s">
        <v>41</v>
      </c>
      <c r="B373" t="s">
        <v>31</v>
      </c>
      <c r="C373" t="s">
        <v>8</v>
      </c>
      <c r="D373">
        <f>_xlfn.STDEV.S(per_seed!$I$182:$I$191)</f>
        <v>6.4580996514259203E-3</v>
      </c>
      <c r="E373">
        <v>6.4580996514259246E-3</v>
      </c>
    </row>
    <row r="374" spans="1:5">
      <c r="A374" t="s">
        <v>40</v>
      </c>
      <c r="B374" t="s">
        <v>31</v>
      </c>
      <c r="C374" t="s">
        <v>9</v>
      </c>
      <c r="D374">
        <f>AVERAGE(per_seed!$J$182:$J$191)</f>
        <v>15.329333503229702</v>
      </c>
      <c r="E374">
        <v>15.3293335032297</v>
      </c>
    </row>
    <row r="375" spans="1:5">
      <c r="A375" t="s">
        <v>41</v>
      </c>
      <c r="B375" t="s">
        <v>31</v>
      </c>
      <c r="C375" t="s">
        <v>9</v>
      </c>
      <c r="D375">
        <f>_xlfn.STDEV.S(per_seed!$J$182:$J$191)</f>
        <v>0.47167352302731963</v>
      </c>
      <c r="E375">
        <v>0.4716735230273193</v>
      </c>
    </row>
    <row r="376" spans="1:5">
      <c r="A376" t="s">
        <v>40</v>
      </c>
      <c r="B376" t="s">
        <v>31</v>
      </c>
      <c r="C376" t="s">
        <v>10</v>
      </c>
      <c r="D376">
        <f>AVERAGE(per_seed!$K$182:$K$191)</f>
        <v>1.8748400437054282</v>
      </c>
      <c r="E376">
        <v>1.874840043705428</v>
      </c>
    </row>
    <row r="377" spans="1:5">
      <c r="A377" t="s">
        <v>41</v>
      </c>
      <c r="B377" t="s">
        <v>31</v>
      </c>
      <c r="C377" t="s">
        <v>10</v>
      </c>
      <c r="D377">
        <f>_xlfn.STDEV.S(per_seed!$K$182:$K$191)</f>
        <v>5.4385015942968032E-2</v>
      </c>
      <c r="E377">
        <v>5.4385015942968018E-2</v>
      </c>
    </row>
    <row r="378" spans="1:5">
      <c r="A378" t="s">
        <v>40</v>
      </c>
      <c r="B378" t="s">
        <v>31</v>
      </c>
      <c r="C378" t="s">
        <v>11</v>
      </c>
      <c r="D378">
        <f>AVERAGE(per_seed!$L$182:$L$191)</f>
        <v>537.48000000027378</v>
      </c>
      <c r="E378">
        <v>537.48000000027378</v>
      </c>
    </row>
    <row r="379" spans="1:5">
      <c r="A379" t="s">
        <v>41</v>
      </c>
      <c r="B379" t="s">
        <v>31</v>
      </c>
      <c r="C379" t="s">
        <v>11</v>
      </c>
      <c r="D379">
        <f>_xlfn.STDEV.S(per_seed!$L$182:$L$191)</f>
        <v>26.395069996063537</v>
      </c>
      <c r="E379">
        <v>26.39506999606353</v>
      </c>
    </row>
    <row r="380" spans="1:5">
      <c r="A380" t="s">
        <v>40</v>
      </c>
      <c r="B380" t="s">
        <v>31</v>
      </c>
      <c r="C380" t="s">
        <v>12</v>
      </c>
      <c r="D380">
        <f>AVERAGE(per_seed!$M$182:$M$191)</f>
        <v>1.2957407408879966</v>
      </c>
      <c r="E380">
        <v>1.2957407408879971</v>
      </c>
    </row>
    <row r="381" spans="1:5">
      <c r="A381" t="s">
        <v>41</v>
      </c>
      <c r="B381" t="s">
        <v>31</v>
      </c>
      <c r="C381" t="s">
        <v>12</v>
      </c>
      <c r="D381">
        <f>_xlfn.STDEV.S(per_seed!$M$182:$M$191)</f>
        <v>0.35663715803385038</v>
      </c>
      <c r="E381">
        <v>0.35663715803385032</v>
      </c>
    </row>
    <row r="382" spans="1:5">
      <c r="A382" t="s">
        <v>40</v>
      </c>
      <c r="B382" t="s">
        <v>32</v>
      </c>
      <c r="C382" t="s">
        <v>3</v>
      </c>
      <c r="D382">
        <f>AVERAGE(per_seed!$D$192:$D$201)</f>
        <v>1328.2</v>
      </c>
      <c r="E382">
        <v>1328.2</v>
      </c>
    </row>
    <row r="383" spans="1:5">
      <c r="A383" t="s">
        <v>41</v>
      </c>
      <c r="B383" t="s">
        <v>32</v>
      </c>
      <c r="C383" t="s">
        <v>3</v>
      </c>
      <c r="D383">
        <f>_xlfn.STDEV.S(per_seed!$D$192:$D$201)</f>
        <v>109.04718652440737</v>
      </c>
      <c r="E383">
        <v>109.04718652440739</v>
      </c>
    </row>
    <row r="384" spans="1:5">
      <c r="A384" t="s">
        <v>40</v>
      </c>
      <c r="B384" t="s">
        <v>32</v>
      </c>
      <c r="C384" t="s">
        <v>4</v>
      </c>
      <c r="D384">
        <f>AVERAGE(per_seed!$E$192:$E$201)</f>
        <v>867.5</v>
      </c>
      <c r="E384">
        <v>867.5</v>
      </c>
    </row>
    <row r="385" spans="1:5">
      <c r="A385" t="s">
        <v>41</v>
      </c>
      <c r="B385" t="s">
        <v>32</v>
      </c>
      <c r="C385" t="s">
        <v>4</v>
      </c>
      <c r="D385">
        <f>_xlfn.STDEV.S(per_seed!$E$192:$E$201)</f>
        <v>71.32281853968226</v>
      </c>
      <c r="E385">
        <v>71.32281853968226</v>
      </c>
    </row>
    <row r="386" spans="1:5">
      <c r="A386" t="s">
        <v>40</v>
      </c>
      <c r="B386" t="s">
        <v>32</v>
      </c>
      <c r="C386" t="s">
        <v>5</v>
      </c>
      <c r="D386">
        <f>AVERAGE(per_seed!$F$192:$F$201)</f>
        <v>589.79999999999995</v>
      </c>
      <c r="E386">
        <v>589.79999999999995</v>
      </c>
    </row>
    <row r="387" spans="1:5">
      <c r="A387" t="s">
        <v>41</v>
      </c>
      <c r="B387" t="s">
        <v>32</v>
      </c>
      <c r="C387" t="s">
        <v>5</v>
      </c>
      <c r="D387">
        <f>_xlfn.STDEV.S(per_seed!$F$192:$F$201)</f>
        <v>42.004761634843256</v>
      </c>
      <c r="E387">
        <v>42.004761634843263</v>
      </c>
    </row>
    <row r="388" spans="1:5">
      <c r="A388" t="s">
        <v>40</v>
      </c>
      <c r="B388" t="s">
        <v>32</v>
      </c>
      <c r="C388" t="s">
        <v>6</v>
      </c>
      <c r="D388">
        <f>AVERAGE(per_seed!$G$192:$G$201)</f>
        <v>3.2703369669982898</v>
      </c>
      <c r="E388">
        <v>3.2703369669982898</v>
      </c>
    </row>
    <row r="389" spans="1:5">
      <c r="A389" t="s">
        <v>41</v>
      </c>
      <c r="B389" t="s">
        <v>32</v>
      </c>
      <c r="C389" t="s">
        <v>6</v>
      </c>
      <c r="D389">
        <f>_xlfn.STDEV.S(per_seed!$G$192:$G$201)</f>
        <v>0.13756564058616541</v>
      </c>
      <c r="E389">
        <v>0.13756564058616541</v>
      </c>
    </row>
    <row r="390" spans="1:5">
      <c r="A390" t="s">
        <v>40</v>
      </c>
      <c r="B390" t="s">
        <v>32</v>
      </c>
      <c r="C390" t="s">
        <v>7</v>
      </c>
      <c r="D390">
        <f>AVERAGE(per_seed!$H$192:$H$201)</f>
        <v>180.8</v>
      </c>
      <c r="E390">
        <v>180.8</v>
      </c>
    </row>
    <row r="391" spans="1:5">
      <c r="A391" t="s">
        <v>41</v>
      </c>
      <c r="B391" t="s">
        <v>32</v>
      </c>
      <c r="C391" t="s">
        <v>7</v>
      </c>
      <c r="D391">
        <f>_xlfn.STDEV.S(per_seed!$H$192:$H$201)</f>
        <v>16.585133905599516</v>
      </c>
      <c r="E391">
        <v>16.58513390559952</v>
      </c>
    </row>
    <row r="392" spans="1:5">
      <c r="A392" t="s">
        <v>40</v>
      </c>
      <c r="B392" t="s">
        <v>32</v>
      </c>
      <c r="C392" t="s">
        <v>8</v>
      </c>
      <c r="D392">
        <f>AVERAGE(per_seed!$I$192:$I$201)</f>
        <v>0.30625194460027233</v>
      </c>
      <c r="E392">
        <v>0.30625194460027227</v>
      </c>
    </row>
    <row r="393" spans="1:5">
      <c r="A393" t="s">
        <v>41</v>
      </c>
      <c r="B393" t="s">
        <v>32</v>
      </c>
      <c r="C393" t="s">
        <v>8</v>
      </c>
      <c r="D393">
        <f>_xlfn.STDEV.S(per_seed!$I$192:$I$201)</f>
        <v>1.2500621954259163E-2</v>
      </c>
      <c r="E393">
        <v>1.2500621954259159E-2</v>
      </c>
    </row>
    <row r="394" spans="1:5">
      <c r="A394" t="s">
        <v>40</v>
      </c>
      <c r="B394" t="s">
        <v>32</v>
      </c>
      <c r="C394" t="s">
        <v>9</v>
      </c>
      <c r="D394">
        <f>AVERAGE(per_seed!$J$192:$J$201)</f>
        <v>14.659360532907096</v>
      </c>
      <c r="E394">
        <v>14.659360532907099</v>
      </c>
    </row>
    <row r="395" spans="1:5">
      <c r="A395" t="s">
        <v>41</v>
      </c>
      <c r="B395" t="s">
        <v>32</v>
      </c>
      <c r="C395" t="s">
        <v>9</v>
      </c>
      <c r="D395">
        <f>_xlfn.STDEV.S(per_seed!$J$192:$J$201)</f>
        <v>0.21821855479832669</v>
      </c>
      <c r="E395">
        <v>0.21821855479832661</v>
      </c>
    </row>
    <row r="396" spans="1:5">
      <c r="A396" t="s">
        <v>40</v>
      </c>
      <c r="B396" t="s">
        <v>32</v>
      </c>
      <c r="C396" t="s">
        <v>10</v>
      </c>
      <c r="D396">
        <f>AVERAGE(per_seed!$K$192:$K$201)</f>
        <v>1.7834948301721265</v>
      </c>
      <c r="E396">
        <v>1.783494830172127</v>
      </c>
    </row>
    <row r="397" spans="1:5">
      <c r="A397" t="s">
        <v>41</v>
      </c>
      <c r="B397" t="s">
        <v>32</v>
      </c>
      <c r="C397" t="s">
        <v>10</v>
      </c>
      <c r="D397">
        <f>_xlfn.STDEV.S(per_seed!$K$192:$K$201)</f>
        <v>4.1322475871444914E-2</v>
      </c>
      <c r="E397">
        <v>4.1322475871444907E-2</v>
      </c>
    </row>
    <row r="398" spans="1:5">
      <c r="A398" t="s">
        <v>40</v>
      </c>
      <c r="B398" t="s">
        <v>32</v>
      </c>
      <c r="C398" t="s">
        <v>11</v>
      </c>
      <c r="D398">
        <f>AVERAGE(per_seed!$L$192:$L$201)</f>
        <v>472.25777777723897</v>
      </c>
      <c r="E398">
        <v>472.25777777723903</v>
      </c>
    </row>
    <row r="399" spans="1:5">
      <c r="A399" t="s">
        <v>41</v>
      </c>
      <c r="B399" t="s">
        <v>32</v>
      </c>
      <c r="C399" t="s">
        <v>11</v>
      </c>
      <c r="D399">
        <f>_xlfn.STDEV.S(per_seed!$L$192:$L$201)</f>
        <v>38.042014460507048</v>
      </c>
      <c r="E399">
        <v>38.042014460507048</v>
      </c>
    </row>
    <row r="400" spans="1:5">
      <c r="A400" t="s">
        <v>40</v>
      </c>
      <c r="B400" t="s">
        <v>32</v>
      </c>
      <c r="C400" t="s">
        <v>12</v>
      </c>
      <c r="D400">
        <f>AVERAGE(per_seed!$M$192:$M$201)</f>
        <v>7.8164506173723511</v>
      </c>
      <c r="E400">
        <v>7.8164506173723511</v>
      </c>
    </row>
    <row r="401" spans="1:5">
      <c r="A401" t="s">
        <v>41</v>
      </c>
      <c r="B401" t="s">
        <v>32</v>
      </c>
      <c r="C401" t="s">
        <v>12</v>
      </c>
      <c r="D401">
        <f>_xlfn.STDEV.S(per_seed!$M$192:$M$201)</f>
        <v>7.535655030422368</v>
      </c>
      <c r="E401">
        <v>7.5356550304223688</v>
      </c>
    </row>
    <row r="402" spans="1:5">
      <c r="A402" t="s">
        <v>40</v>
      </c>
      <c r="B402" t="s">
        <v>33</v>
      </c>
      <c r="C402" t="s">
        <v>3</v>
      </c>
      <c r="D402">
        <f>AVERAGE(per_seed!$D$202:$D$211)</f>
        <v>1412.5</v>
      </c>
      <c r="E402">
        <v>1412.5</v>
      </c>
    </row>
    <row r="403" spans="1:5">
      <c r="A403" t="s">
        <v>41</v>
      </c>
      <c r="B403" t="s">
        <v>33</v>
      </c>
      <c r="C403" t="s">
        <v>3</v>
      </c>
      <c r="D403">
        <f>_xlfn.STDEV.S(per_seed!$D$202:$D$211)</f>
        <v>8.4491945704243836</v>
      </c>
      <c r="E403">
        <v>8.4491945704243836</v>
      </c>
    </row>
    <row r="404" spans="1:5">
      <c r="A404" t="s">
        <v>40</v>
      </c>
      <c r="B404" t="s">
        <v>33</v>
      </c>
      <c r="C404" t="s">
        <v>4</v>
      </c>
      <c r="D404">
        <f>AVERAGE(per_seed!$E$202:$E$211)</f>
        <v>923.7</v>
      </c>
      <c r="E404">
        <v>923.7</v>
      </c>
    </row>
    <row r="405" spans="1:5">
      <c r="A405" t="s">
        <v>41</v>
      </c>
      <c r="B405" t="s">
        <v>33</v>
      </c>
      <c r="C405" t="s">
        <v>4</v>
      </c>
      <c r="D405">
        <f>_xlfn.STDEV.S(per_seed!$E$202:$E$211)</f>
        <v>13.840761058072877</v>
      </c>
      <c r="E405">
        <v>13.84076105807288</v>
      </c>
    </row>
    <row r="406" spans="1:5">
      <c r="A406" t="s">
        <v>40</v>
      </c>
      <c r="B406" t="s">
        <v>33</v>
      </c>
      <c r="C406" t="s">
        <v>5</v>
      </c>
      <c r="D406">
        <f>AVERAGE(per_seed!$F$202:$F$211)</f>
        <v>618.9</v>
      </c>
      <c r="E406">
        <v>618.9</v>
      </c>
    </row>
    <row r="407" spans="1:5">
      <c r="A407" t="s">
        <v>41</v>
      </c>
      <c r="B407" t="s">
        <v>33</v>
      </c>
      <c r="C407" t="s">
        <v>5</v>
      </c>
      <c r="D407">
        <f>_xlfn.STDEV.S(per_seed!$F$202:$F$211)</f>
        <v>10.743990568375111</v>
      </c>
      <c r="E407">
        <v>10.743990568375111</v>
      </c>
    </row>
    <row r="408" spans="1:5">
      <c r="A408" t="s">
        <v>40</v>
      </c>
      <c r="B408" t="s">
        <v>33</v>
      </c>
      <c r="C408" t="s">
        <v>6</v>
      </c>
      <c r="D408">
        <f>AVERAGE(per_seed!$G$202:$G$211)</f>
        <v>3.2295100998438597</v>
      </c>
      <c r="E408">
        <v>3.2295100998438588</v>
      </c>
    </row>
    <row r="409" spans="1:5">
      <c r="A409" t="s">
        <v>41</v>
      </c>
      <c r="B409" t="s">
        <v>33</v>
      </c>
      <c r="C409" t="s">
        <v>6</v>
      </c>
      <c r="D409">
        <f>_xlfn.STDEV.S(per_seed!$G$202:$G$211)</f>
        <v>7.9517628599006171E-2</v>
      </c>
      <c r="E409">
        <v>7.9517628599006324E-2</v>
      </c>
    </row>
    <row r="410" spans="1:5">
      <c r="A410" t="s">
        <v>40</v>
      </c>
      <c r="B410" t="s">
        <v>33</v>
      </c>
      <c r="C410" t="s">
        <v>7</v>
      </c>
      <c r="D410">
        <f>AVERAGE(per_seed!$H$202:$H$211)</f>
        <v>191.7</v>
      </c>
      <c r="E410">
        <v>191.7</v>
      </c>
    </row>
    <row r="411" spans="1:5">
      <c r="A411" t="s">
        <v>41</v>
      </c>
      <c r="B411" t="s">
        <v>33</v>
      </c>
      <c r="C411" t="s">
        <v>7</v>
      </c>
      <c r="D411">
        <f>_xlfn.STDEV.S(per_seed!$H$202:$H$211)</f>
        <v>3.8311588035185613</v>
      </c>
      <c r="E411">
        <v>3.8311588035185622</v>
      </c>
    </row>
    <row r="412" spans="1:5">
      <c r="A412" t="s">
        <v>40</v>
      </c>
      <c r="B412" t="s">
        <v>33</v>
      </c>
      <c r="C412" t="s">
        <v>8</v>
      </c>
      <c r="D412">
        <f>AVERAGE(per_seed!$I$202:$I$211)</f>
        <v>0.30981464278631637</v>
      </c>
      <c r="E412">
        <v>0.30981464278631632</v>
      </c>
    </row>
    <row r="413" spans="1:5">
      <c r="A413" t="s">
        <v>41</v>
      </c>
      <c r="B413" t="s">
        <v>33</v>
      </c>
      <c r="C413" t="s">
        <v>8</v>
      </c>
      <c r="D413">
        <f>_xlfn.STDEV.S(per_seed!$I$202:$I$211)</f>
        <v>7.6808663081927601E-3</v>
      </c>
      <c r="E413">
        <v>7.6808663081927662E-3</v>
      </c>
    </row>
    <row r="414" spans="1:5">
      <c r="A414" t="s">
        <v>40</v>
      </c>
      <c r="B414" t="s">
        <v>33</v>
      </c>
      <c r="C414" t="s">
        <v>9</v>
      </c>
      <c r="D414">
        <f>AVERAGE(per_seed!$J$202:$J$211)</f>
        <v>14.907743934255024</v>
      </c>
      <c r="E414">
        <v>14.90774393425502</v>
      </c>
    </row>
    <row r="415" spans="1:5">
      <c r="A415" t="s">
        <v>41</v>
      </c>
      <c r="B415" t="s">
        <v>33</v>
      </c>
      <c r="C415" t="s">
        <v>9</v>
      </c>
      <c r="D415">
        <f>_xlfn.STDEV.S(per_seed!$J$202:$J$211)</f>
        <v>0.36398339268308094</v>
      </c>
      <c r="E415">
        <v>0.3639833926830795</v>
      </c>
    </row>
    <row r="416" spans="1:5">
      <c r="A416" t="s">
        <v>40</v>
      </c>
      <c r="B416" t="s">
        <v>33</v>
      </c>
      <c r="C416" t="s">
        <v>10</v>
      </c>
      <c r="D416">
        <f>AVERAGE(per_seed!$K$202:$K$211)</f>
        <v>1.8271855230178129</v>
      </c>
      <c r="E416">
        <v>1.8271855230178129</v>
      </c>
    </row>
    <row r="417" spans="1:5">
      <c r="A417" t="s">
        <v>41</v>
      </c>
      <c r="B417" t="s">
        <v>33</v>
      </c>
      <c r="C417" t="s">
        <v>10</v>
      </c>
      <c r="D417">
        <f>_xlfn.STDEV.S(per_seed!$K$202:$K$211)</f>
        <v>4.3861454601692149E-2</v>
      </c>
      <c r="E417">
        <v>4.3861454601692149E-2</v>
      </c>
    </row>
    <row r="418" spans="1:5">
      <c r="A418" t="s">
        <v>40</v>
      </c>
      <c r="B418" t="s">
        <v>33</v>
      </c>
      <c r="C418" t="s">
        <v>11</v>
      </c>
      <c r="D418">
        <f>AVERAGE(per_seed!$L$202:$L$211)</f>
        <v>524.47111111165032</v>
      </c>
      <c r="E418">
        <v>524.47111111165032</v>
      </c>
    </row>
    <row r="419" spans="1:5">
      <c r="A419" t="s">
        <v>41</v>
      </c>
      <c r="B419" t="s">
        <v>33</v>
      </c>
      <c r="C419" t="s">
        <v>11</v>
      </c>
      <c r="D419">
        <f>_xlfn.STDEV.S(per_seed!$L$202:$L$211)</f>
        <v>31.52886508312578</v>
      </c>
      <c r="E419">
        <v>31.52886508312578</v>
      </c>
    </row>
    <row r="420" spans="1:5">
      <c r="A420" t="s">
        <v>40</v>
      </c>
      <c r="B420" t="s">
        <v>33</v>
      </c>
      <c r="C420" t="s">
        <v>12</v>
      </c>
      <c r="D420">
        <f>AVERAGE(per_seed!$M$202:$M$211)</f>
        <v>1.9821913581719415</v>
      </c>
      <c r="E420">
        <v>1.982191358171941</v>
      </c>
    </row>
    <row r="421" spans="1:5">
      <c r="A421" t="s">
        <v>41</v>
      </c>
      <c r="B421" t="s">
        <v>33</v>
      </c>
      <c r="C421" t="s">
        <v>12</v>
      </c>
      <c r="D421">
        <f>_xlfn.STDEV.S(per_seed!$M$202:$M$211)</f>
        <v>0.59232129081248663</v>
      </c>
      <c r="E421">
        <v>0.59232129081248841</v>
      </c>
    </row>
    <row r="422" spans="1:5">
      <c r="A422" t="s">
        <v>40</v>
      </c>
      <c r="B422" t="s">
        <v>34</v>
      </c>
      <c r="C422" t="s">
        <v>3</v>
      </c>
      <c r="D422">
        <f>AVERAGE(per_seed!$D$212:$D$221)</f>
        <v>1422.5</v>
      </c>
      <c r="E422">
        <v>1422.5</v>
      </c>
    </row>
    <row r="423" spans="1:5">
      <c r="A423" t="s">
        <v>41</v>
      </c>
      <c r="B423" t="s">
        <v>34</v>
      </c>
      <c r="C423" t="s">
        <v>3</v>
      </c>
      <c r="D423">
        <f>_xlfn.STDEV.S(per_seed!$D$212:$D$221)</f>
        <v>4.377975178854566</v>
      </c>
      <c r="E423">
        <v>4.377975178854566</v>
      </c>
    </row>
    <row r="424" spans="1:5">
      <c r="A424" t="s">
        <v>40</v>
      </c>
      <c r="B424" t="s">
        <v>34</v>
      </c>
      <c r="C424" t="s">
        <v>4</v>
      </c>
      <c r="D424">
        <f>AVERAGE(per_seed!$E$212:$E$221)</f>
        <v>927.1</v>
      </c>
      <c r="E424">
        <v>927.1</v>
      </c>
    </row>
    <row r="425" spans="1:5">
      <c r="A425" t="s">
        <v>41</v>
      </c>
      <c r="B425" t="s">
        <v>34</v>
      </c>
      <c r="C425" t="s">
        <v>4</v>
      </c>
      <c r="D425">
        <f>_xlfn.STDEV.S(per_seed!$E$212:$E$221)</f>
        <v>9.666091936937768</v>
      </c>
      <c r="E425">
        <v>9.666091936937768</v>
      </c>
    </row>
    <row r="426" spans="1:5">
      <c r="A426" t="s">
        <v>40</v>
      </c>
      <c r="B426" t="s">
        <v>34</v>
      </c>
      <c r="C426" t="s">
        <v>5</v>
      </c>
      <c r="D426">
        <f>AVERAGE(per_seed!$F$212:$F$221)</f>
        <v>621.79999999999995</v>
      </c>
      <c r="E426">
        <v>621.79999999999995</v>
      </c>
    </row>
    <row r="427" spans="1:5">
      <c r="A427" t="s">
        <v>41</v>
      </c>
      <c r="B427" t="s">
        <v>34</v>
      </c>
      <c r="C427" t="s">
        <v>5</v>
      </c>
      <c r="D427">
        <f>_xlfn.STDEV.S(per_seed!$F$212:$F$221)</f>
        <v>11.998148005236288</v>
      </c>
      <c r="E427">
        <v>11.99814800523629</v>
      </c>
    </row>
    <row r="428" spans="1:5">
      <c r="A428" t="s">
        <v>40</v>
      </c>
      <c r="B428" t="s">
        <v>34</v>
      </c>
      <c r="C428" t="s">
        <v>6</v>
      </c>
      <c r="D428">
        <f>AVERAGE(per_seed!$G$212:$G$221)</f>
        <v>3.2746186730669464</v>
      </c>
      <c r="E428">
        <v>3.274618673066946</v>
      </c>
    </row>
    <row r="429" spans="1:5">
      <c r="A429" t="s">
        <v>41</v>
      </c>
      <c r="B429" t="s">
        <v>34</v>
      </c>
      <c r="C429" t="s">
        <v>6</v>
      </c>
      <c r="D429">
        <f>_xlfn.STDEV.S(per_seed!$G$212:$G$221)</f>
        <v>4.4851664126000258E-2</v>
      </c>
      <c r="E429">
        <v>4.4851664126000418E-2</v>
      </c>
    </row>
    <row r="430" spans="1:5">
      <c r="A430" t="s">
        <v>40</v>
      </c>
      <c r="B430" t="s">
        <v>34</v>
      </c>
      <c r="C430" t="s">
        <v>7</v>
      </c>
      <c r="D430">
        <f>AVERAGE(per_seed!$H$212:$H$221)</f>
        <v>189.9</v>
      </c>
      <c r="E430">
        <v>189.9</v>
      </c>
    </row>
    <row r="431" spans="1:5">
      <c r="A431" t="s">
        <v>41</v>
      </c>
      <c r="B431" t="s">
        <v>34</v>
      </c>
      <c r="C431" t="s">
        <v>7</v>
      </c>
      <c r="D431">
        <f>_xlfn.STDEV.S(per_seed!$H$212:$H$221)</f>
        <v>3.6040101122068022</v>
      </c>
      <c r="E431">
        <v>3.6040101122068018</v>
      </c>
    </row>
    <row r="432" spans="1:5">
      <c r="A432" t="s">
        <v>40</v>
      </c>
      <c r="B432" t="s">
        <v>34</v>
      </c>
      <c r="C432" t="s">
        <v>8</v>
      </c>
      <c r="D432">
        <f>AVERAGE(per_seed!$I$212:$I$221)</f>
        <v>0.3054305574829666</v>
      </c>
      <c r="E432">
        <v>0.3054305574829666</v>
      </c>
    </row>
    <row r="433" spans="1:5">
      <c r="A433" t="s">
        <v>41</v>
      </c>
      <c r="B433" t="s">
        <v>34</v>
      </c>
      <c r="C433" t="s">
        <v>8</v>
      </c>
      <c r="D433">
        <f>_xlfn.STDEV.S(per_seed!$I$212:$I$221)</f>
        <v>4.177209519394663E-3</v>
      </c>
      <c r="E433">
        <v>4.1772095193946613E-3</v>
      </c>
    </row>
    <row r="434" spans="1:5">
      <c r="A434" t="s">
        <v>40</v>
      </c>
      <c r="B434" t="s">
        <v>34</v>
      </c>
      <c r="C434" t="s">
        <v>9</v>
      </c>
      <c r="D434">
        <f>AVERAGE(per_seed!$J$212:$J$221)</f>
        <v>15.070956500211793</v>
      </c>
      <c r="E434">
        <v>15.0709565002118</v>
      </c>
    </row>
    <row r="435" spans="1:5">
      <c r="A435" t="s">
        <v>41</v>
      </c>
      <c r="B435" t="s">
        <v>34</v>
      </c>
      <c r="C435" t="s">
        <v>9</v>
      </c>
      <c r="D435">
        <f>_xlfn.STDEV.S(per_seed!$J$212:$J$221)</f>
        <v>0.19975855254293134</v>
      </c>
      <c r="E435">
        <v>0.19975855254293159</v>
      </c>
    </row>
    <row r="436" spans="1:5">
      <c r="A436" t="s">
        <v>40</v>
      </c>
      <c r="B436" t="s">
        <v>34</v>
      </c>
      <c r="C436" t="s">
        <v>10</v>
      </c>
      <c r="D436">
        <f>AVERAGE(per_seed!$K$212:$K$221)</f>
        <v>1.8441763357048699</v>
      </c>
      <c r="E436">
        <v>1.8441763357048699</v>
      </c>
    </row>
    <row r="437" spans="1:5">
      <c r="A437" t="s">
        <v>41</v>
      </c>
      <c r="B437" t="s">
        <v>34</v>
      </c>
      <c r="C437" t="s">
        <v>10</v>
      </c>
      <c r="D437">
        <f>_xlfn.STDEV.S(per_seed!$K$212:$K$221)</f>
        <v>3.9615589095807313E-2</v>
      </c>
      <c r="E437">
        <v>3.9615589095807313E-2</v>
      </c>
    </row>
    <row r="438" spans="1:5">
      <c r="A438" t="s">
        <v>40</v>
      </c>
      <c r="B438" t="s">
        <v>34</v>
      </c>
      <c r="C438" t="s">
        <v>11</v>
      </c>
      <c r="D438">
        <f>AVERAGE(per_seed!$L$212:$L$221)</f>
        <v>533.07555555492524</v>
      </c>
      <c r="E438">
        <v>533.07555555492524</v>
      </c>
    </row>
    <row r="439" spans="1:5">
      <c r="A439" t="s">
        <v>41</v>
      </c>
      <c r="B439" t="s">
        <v>34</v>
      </c>
      <c r="C439" t="s">
        <v>11</v>
      </c>
      <c r="D439">
        <f>_xlfn.STDEV.S(per_seed!$L$212:$L$221)</f>
        <v>18.914008569112362</v>
      </c>
      <c r="E439">
        <v>18.914008569112362</v>
      </c>
    </row>
    <row r="440" spans="1:5">
      <c r="A440" t="s">
        <v>40</v>
      </c>
      <c r="B440" t="s">
        <v>34</v>
      </c>
      <c r="C440" t="s">
        <v>12</v>
      </c>
      <c r="D440">
        <f>AVERAGE(per_seed!$M$212:$M$221)</f>
        <v>1.2793518519917106</v>
      </c>
      <c r="E440">
        <v>1.2793518519917111</v>
      </c>
    </row>
    <row r="441" spans="1:5">
      <c r="A441" t="s">
        <v>41</v>
      </c>
      <c r="B441" t="s">
        <v>34</v>
      </c>
      <c r="C441" t="s">
        <v>12</v>
      </c>
      <c r="D441">
        <f>_xlfn.STDEV.S(per_seed!$M$212:$M$221)</f>
        <v>0.29539108015854648</v>
      </c>
      <c r="E441">
        <v>0.29539108015854648</v>
      </c>
    </row>
    <row r="442" spans="1:5">
      <c r="A442" t="s">
        <v>42</v>
      </c>
      <c r="B442" t="s">
        <v>43</v>
      </c>
      <c r="C442" t="s">
        <v>3</v>
      </c>
      <c r="D442">
        <f>(AVERAGE(per_seed!$D$22:$D$31)-AVERAGE(per_seed!$D$2:$D$11))/AVERAGE(per_seed!$D$2:$D$11)*100</f>
        <v>-7.4174147999651279</v>
      </c>
      <c r="E442">
        <v>-7.4174147999651279</v>
      </c>
    </row>
    <row r="443" spans="1:5">
      <c r="A443" t="s">
        <v>44</v>
      </c>
      <c r="B443" t="s">
        <v>43</v>
      </c>
      <c r="C443" t="s">
        <v>3</v>
      </c>
      <c r="D443">
        <f>_xlfn.T.TEST(per_seed!$D$2:$D$11,per_seed!$D$22:$D$31,2,1)</f>
        <v>3.3920417007017527E-2</v>
      </c>
      <c r="E443">
        <v>3.3920417007017402E-2</v>
      </c>
    </row>
    <row r="444" spans="1:5">
      <c r="A444" t="s">
        <v>42</v>
      </c>
      <c r="B444" t="s">
        <v>43</v>
      </c>
      <c r="C444" t="s">
        <v>4</v>
      </c>
      <c r="D444">
        <f>(AVERAGE(per_seed!$E$22:$E$31)-AVERAGE(per_seed!$E$2:$E$11))/AVERAGE(per_seed!$E$2:$E$11)*100</f>
        <v>-7.405427081940914</v>
      </c>
      <c r="E444">
        <v>-7.405427081940914</v>
      </c>
    </row>
    <row r="445" spans="1:5">
      <c r="A445" t="s">
        <v>44</v>
      </c>
      <c r="B445" t="s">
        <v>43</v>
      </c>
      <c r="C445" t="s">
        <v>4</v>
      </c>
      <c r="D445">
        <f>_xlfn.T.TEST(per_seed!$E$2:$E$11,per_seed!$E$22:$E$31,2,1)</f>
        <v>4.0837959006131179E-2</v>
      </c>
      <c r="E445">
        <v>4.0837959006131103E-2</v>
      </c>
    </row>
    <row r="446" spans="1:5">
      <c r="A446" t="s">
        <v>42</v>
      </c>
      <c r="B446" t="s">
        <v>43</v>
      </c>
      <c r="C446" t="s">
        <v>5</v>
      </c>
      <c r="D446">
        <f>(AVERAGE(per_seed!$F$22:$F$31)-AVERAGE(per_seed!$F$2:$F$11))/AVERAGE(per_seed!$F$2:$F$11)*100</f>
        <v>-7.1483180428134618</v>
      </c>
      <c r="E446">
        <v>-7.1483180428134618</v>
      </c>
    </row>
    <row r="447" spans="1:5">
      <c r="A447" t="s">
        <v>44</v>
      </c>
      <c r="B447" t="s">
        <v>43</v>
      </c>
      <c r="C447" t="s">
        <v>5</v>
      </c>
      <c r="D447">
        <f>_xlfn.T.TEST(per_seed!$F$2:$F$11,per_seed!$F$22:$F$31,2,1)</f>
        <v>3.2470695881157814E-2</v>
      </c>
      <c r="E447">
        <v>3.2470695881157897E-2</v>
      </c>
    </row>
    <row r="448" spans="1:5">
      <c r="A448" t="s">
        <v>42</v>
      </c>
      <c r="B448" t="s">
        <v>43</v>
      </c>
      <c r="C448" t="s">
        <v>6</v>
      </c>
      <c r="D448">
        <f>(AVERAGE(per_seed!$G$22:$G$31)-AVERAGE(per_seed!$G$2:$G$11))/AVERAGE(per_seed!$G$2:$G$11)*100</f>
        <v>14.633357300005134</v>
      </c>
      <c r="E448">
        <v>14.63335730000512</v>
      </c>
    </row>
    <row r="449" spans="1:5">
      <c r="A449" t="s">
        <v>44</v>
      </c>
      <c r="B449" t="s">
        <v>43</v>
      </c>
      <c r="C449" t="s">
        <v>6</v>
      </c>
      <c r="D449">
        <f>_xlfn.T.TEST(per_seed!$G$2:$G$11,per_seed!$G$22:$G$31,2,1)</f>
        <v>6.5024449646808957E-6</v>
      </c>
      <c r="E449">
        <v>6.5024449646810313E-6</v>
      </c>
    </row>
    <row r="450" spans="1:5">
      <c r="A450" t="s">
        <v>42</v>
      </c>
      <c r="B450" t="s">
        <v>43</v>
      </c>
      <c r="C450" t="s">
        <v>7</v>
      </c>
      <c r="D450">
        <f>(AVERAGE(per_seed!$H$22:$H$31)-AVERAGE(per_seed!$H$2:$H$11))/AVERAGE(per_seed!$H$2:$H$11)*100</f>
        <v>-18.786808009422852</v>
      </c>
      <c r="E450">
        <v>-18.786808009422849</v>
      </c>
    </row>
    <row r="451" spans="1:5">
      <c r="A451" t="s">
        <v>44</v>
      </c>
      <c r="B451" t="s">
        <v>43</v>
      </c>
      <c r="C451" t="s">
        <v>7</v>
      </c>
      <c r="D451">
        <f>_xlfn.T.TEST(per_seed!$H$2:$H$11,per_seed!$H$22:$H$31,2,1)</f>
        <v>9.8274769161691791E-5</v>
      </c>
      <c r="E451">
        <v>9.8274769161691751E-5</v>
      </c>
    </row>
    <row r="452" spans="1:5">
      <c r="A452" t="s">
        <v>42</v>
      </c>
      <c r="B452" t="s">
        <v>43</v>
      </c>
      <c r="C452" t="s">
        <v>8</v>
      </c>
      <c r="D452">
        <f>(AVERAGE(per_seed!$I$22:$I$31)-AVERAGE(per_seed!$I$2:$I$11))/AVERAGE(per_seed!$I$2:$I$11)*100</f>
        <v>-12.715933760523127</v>
      </c>
      <c r="E452">
        <v>-12.715933760523161</v>
      </c>
    </row>
    <row r="453" spans="1:5">
      <c r="A453" t="s">
        <v>44</v>
      </c>
      <c r="B453" t="s">
        <v>43</v>
      </c>
      <c r="C453" t="s">
        <v>8</v>
      </c>
      <c r="D453">
        <f>_xlfn.T.TEST(per_seed!$I$2:$I$11,per_seed!$I$22:$I$31,2,1)</f>
        <v>4.216043314883392E-6</v>
      </c>
      <c r="E453">
        <v>4.2160433148832734E-6</v>
      </c>
    </row>
    <row r="454" spans="1:5">
      <c r="A454" t="s">
        <v>42</v>
      </c>
      <c r="B454" t="s">
        <v>43</v>
      </c>
      <c r="C454" t="s">
        <v>9</v>
      </c>
      <c r="D454">
        <f>(AVERAGE(per_seed!$J$22:$J$31)-AVERAGE(per_seed!$J$2:$J$11))/AVERAGE(per_seed!$J$2:$J$11)*100</f>
        <v>-4.0737416205686179</v>
      </c>
      <c r="E454">
        <v>-4.0737416205686179</v>
      </c>
    </row>
    <row r="455" spans="1:5">
      <c r="A455" t="s">
        <v>44</v>
      </c>
      <c r="B455" t="s">
        <v>43</v>
      </c>
      <c r="C455" t="s">
        <v>9</v>
      </c>
      <c r="D455">
        <f>_xlfn.T.TEST(per_seed!$J$2:$J$11,per_seed!$J$22:$J$31,2,1)</f>
        <v>2.0507965997078874E-2</v>
      </c>
      <c r="E455">
        <v>2.0507965997078541E-2</v>
      </c>
    </row>
    <row r="456" spans="1:5">
      <c r="A456" t="s">
        <v>42</v>
      </c>
      <c r="B456" t="s">
        <v>43</v>
      </c>
      <c r="C456" t="s">
        <v>10</v>
      </c>
      <c r="D456">
        <f>(AVERAGE(per_seed!$K$22:$K$31)-AVERAGE(per_seed!$K$2:$K$11))/AVERAGE(per_seed!$K$2:$K$11)*100</f>
        <v>-5.136240108718658</v>
      </c>
      <c r="E456">
        <v>-5.136240108718658</v>
      </c>
    </row>
    <row r="457" spans="1:5">
      <c r="A457" t="s">
        <v>44</v>
      </c>
      <c r="B457" t="s">
        <v>43</v>
      </c>
      <c r="C457" t="s">
        <v>10</v>
      </c>
      <c r="D457">
        <f>_xlfn.T.TEST(per_seed!$K$2:$K$11,per_seed!$K$22:$K$31,2,1)</f>
        <v>2.5838371130163162E-3</v>
      </c>
      <c r="E457">
        <v>2.5838371130162711E-3</v>
      </c>
    </row>
    <row r="458" spans="1:5">
      <c r="A458" t="s">
        <v>42</v>
      </c>
      <c r="B458" t="s">
        <v>43</v>
      </c>
      <c r="C458" t="s">
        <v>11</v>
      </c>
      <c r="D458">
        <f>(AVERAGE(per_seed!$L$22:$L$31)-AVERAGE(per_seed!$L$2:$L$11))/AVERAGE(per_seed!$L$2:$L$11)*100</f>
        <v>4.4979485190962585</v>
      </c>
      <c r="E458">
        <v>4.4979485190962576</v>
      </c>
    </row>
    <row r="459" spans="1:5">
      <c r="A459" t="s">
        <v>44</v>
      </c>
      <c r="B459" t="s">
        <v>43</v>
      </c>
      <c r="C459" t="s">
        <v>11</v>
      </c>
      <c r="D459">
        <f>_xlfn.T.TEST(per_seed!$L$2:$L$11,per_seed!$L$22:$L$31,2,1)</f>
        <v>0.23302076042730116</v>
      </c>
      <c r="E459">
        <v>0.23302076042730061</v>
      </c>
    </row>
    <row r="460" spans="1:5">
      <c r="A460" t="s">
        <v>42</v>
      </c>
      <c r="B460" t="s">
        <v>43</v>
      </c>
      <c r="C460" t="s">
        <v>12</v>
      </c>
      <c r="D460">
        <f>(AVERAGE(per_seed!$M$22:$M$31)-AVERAGE(per_seed!$M$2:$M$11))/AVERAGE(per_seed!$M$2:$M$11)*100</f>
        <v>28.839653272755811</v>
      </c>
      <c r="E460">
        <v>28.839653272755779</v>
      </c>
    </row>
    <row r="461" spans="1:5">
      <c r="A461" t="s">
        <v>44</v>
      </c>
      <c r="B461" t="s">
        <v>43</v>
      </c>
      <c r="C461" t="s">
        <v>12</v>
      </c>
      <c r="D461">
        <f>_xlfn.T.TEST(per_seed!$M$2:$M$11,per_seed!$M$22:$M$31,2,1)</f>
        <v>3.4361285132670866E-2</v>
      </c>
      <c r="E461">
        <v>3.43612851326709E-2</v>
      </c>
    </row>
    <row r="462" spans="1:5">
      <c r="A462" t="s">
        <v>42</v>
      </c>
      <c r="B462" t="s">
        <v>45</v>
      </c>
      <c r="C462" t="s">
        <v>3</v>
      </c>
      <c r="D462">
        <f>(AVERAGE(per_seed!$D$32:$D$41)-AVERAGE(per_seed!$D$2:$D$11))/AVERAGE(per_seed!$D$2:$D$11)*100</f>
        <v>0.42708968883466319</v>
      </c>
      <c r="E462">
        <v>0.42708968883466319</v>
      </c>
    </row>
    <row r="463" spans="1:5">
      <c r="A463" t="s">
        <v>44</v>
      </c>
      <c r="B463" t="s">
        <v>45</v>
      </c>
      <c r="C463" t="s">
        <v>3</v>
      </c>
      <c r="D463">
        <f>_xlfn.T.TEST(per_seed!$D$2:$D$11,per_seed!$D$32:$D$41,2,1)</f>
        <v>0.77368668747639158</v>
      </c>
      <c r="E463">
        <v>0.77368668747639568</v>
      </c>
    </row>
    <row r="464" spans="1:5">
      <c r="A464" t="s">
        <v>42</v>
      </c>
      <c r="B464" t="s">
        <v>45</v>
      </c>
      <c r="C464" t="s">
        <v>4</v>
      </c>
      <c r="D464">
        <f>(AVERAGE(per_seed!$E$32:$E$41)-AVERAGE(per_seed!$E$2:$E$11))/AVERAGE(per_seed!$E$2:$E$11)*100</f>
        <v>0.52132067905359936</v>
      </c>
      <c r="E464">
        <v>0.52132067905359936</v>
      </c>
    </row>
    <row r="465" spans="1:5">
      <c r="A465" t="s">
        <v>44</v>
      </c>
      <c r="B465" t="s">
        <v>45</v>
      </c>
      <c r="C465" t="s">
        <v>4</v>
      </c>
      <c r="D465">
        <f>_xlfn.T.TEST(per_seed!$E$2:$E$11,per_seed!$E$32:$E$41,2,1)</f>
        <v>0.75126583740620534</v>
      </c>
      <c r="E465">
        <v>0.75126583740620412</v>
      </c>
    </row>
    <row r="466" spans="1:5">
      <c r="A466" t="s">
        <v>42</v>
      </c>
      <c r="B466" t="s">
        <v>45</v>
      </c>
      <c r="C466" t="s">
        <v>5</v>
      </c>
      <c r="D466">
        <f>(AVERAGE(per_seed!$F$32:$F$41)-AVERAGE(per_seed!$F$2:$F$11))/AVERAGE(per_seed!$F$2:$F$11)*100</f>
        <v>1.9113149847077415E-2</v>
      </c>
      <c r="E466">
        <v>1.9113149847077411E-2</v>
      </c>
    </row>
    <row r="467" spans="1:5">
      <c r="A467" t="s">
        <v>44</v>
      </c>
      <c r="B467" t="s">
        <v>45</v>
      </c>
      <c r="C467" t="s">
        <v>5</v>
      </c>
      <c r="D467">
        <f>_xlfn.T.TEST(per_seed!$F$2:$F$11,per_seed!$F$32:$F$41,2,1)</f>
        <v>0.99144666637311651</v>
      </c>
      <c r="E467">
        <v>0.99144666637312395</v>
      </c>
    </row>
    <row r="468" spans="1:5">
      <c r="A468" t="s">
        <v>42</v>
      </c>
      <c r="B468" t="s">
        <v>45</v>
      </c>
      <c r="C468" t="s">
        <v>6</v>
      </c>
      <c r="D468">
        <f>(AVERAGE(per_seed!$G$32:$G$41)-AVERAGE(per_seed!$G$2:$G$11))/AVERAGE(per_seed!$G$2:$G$11)*100</f>
        <v>14.170279695485805</v>
      </c>
      <c r="E468">
        <v>14.170279695485791</v>
      </c>
    </row>
    <row r="469" spans="1:5">
      <c r="A469" t="s">
        <v>44</v>
      </c>
      <c r="B469" t="s">
        <v>45</v>
      </c>
      <c r="C469" t="s">
        <v>6</v>
      </c>
      <c r="D469">
        <f>_xlfn.T.TEST(per_seed!$G$2:$G$11,per_seed!$G$32:$G$41,2,1)</f>
        <v>1.0502005057551499E-6</v>
      </c>
      <c r="E469">
        <v>1.0502005057551631E-6</v>
      </c>
    </row>
    <row r="470" spans="1:5">
      <c r="A470" t="s">
        <v>42</v>
      </c>
      <c r="B470" t="s">
        <v>45</v>
      </c>
      <c r="C470" t="s">
        <v>7</v>
      </c>
      <c r="D470">
        <f>(AVERAGE(per_seed!$H$32:$H$41)-AVERAGE(per_seed!$H$2:$H$11))/AVERAGE(per_seed!$H$2:$H$11)*100</f>
        <v>-12.426383981154311</v>
      </c>
      <c r="E470">
        <v>-12.426383981154309</v>
      </c>
    </row>
    <row r="471" spans="1:5">
      <c r="A471" t="s">
        <v>44</v>
      </c>
      <c r="B471" t="s">
        <v>45</v>
      </c>
      <c r="C471" t="s">
        <v>7</v>
      </c>
      <c r="D471">
        <f>_xlfn.T.TEST(per_seed!$H$2:$H$11,per_seed!$H$32:$H$41,2,1)</f>
        <v>2.6482854520734925E-5</v>
      </c>
      <c r="E471">
        <v>2.6482854520735091E-5</v>
      </c>
    </row>
    <row r="472" spans="1:5">
      <c r="A472" t="s">
        <v>42</v>
      </c>
      <c r="B472" t="s">
        <v>45</v>
      </c>
      <c r="C472" t="s">
        <v>8</v>
      </c>
      <c r="D472">
        <f>(AVERAGE(per_seed!$I$32:$I$41)-AVERAGE(per_seed!$I$2:$I$11))/AVERAGE(per_seed!$I$2:$I$11)*100</f>
        <v>-12.582247499781069</v>
      </c>
      <c r="E472">
        <v>-12.582247499781079</v>
      </c>
    </row>
    <row r="473" spans="1:5">
      <c r="A473" t="s">
        <v>44</v>
      </c>
      <c r="B473" t="s">
        <v>45</v>
      </c>
      <c r="C473" t="s">
        <v>8</v>
      </c>
      <c r="D473">
        <f>_xlfn.T.TEST(per_seed!$I$2:$I$11,per_seed!$I$32:$I$41,2,1)</f>
        <v>4.2880508775029987E-6</v>
      </c>
      <c r="E473">
        <v>4.2880508775029572E-6</v>
      </c>
    </row>
    <row r="474" spans="1:5">
      <c r="A474" t="s">
        <v>42</v>
      </c>
      <c r="B474" t="s">
        <v>45</v>
      </c>
      <c r="C474" t="s">
        <v>9</v>
      </c>
      <c r="D474">
        <f>(AVERAGE(per_seed!$J$32:$J$41)-AVERAGE(per_seed!$J$2:$J$11))/AVERAGE(per_seed!$J$2:$J$11)*100</f>
        <v>-5.797868352715466</v>
      </c>
      <c r="E474">
        <v>-5.797868352715466</v>
      </c>
    </row>
    <row r="475" spans="1:5">
      <c r="A475" t="s">
        <v>44</v>
      </c>
      <c r="B475" t="s">
        <v>45</v>
      </c>
      <c r="C475" t="s">
        <v>9</v>
      </c>
      <c r="D475">
        <f>_xlfn.T.TEST(per_seed!$J$2:$J$11,per_seed!$J$32:$J$41,2,1)</f>
        <v>2.9788671090388128E-3</v>
      </c>
      <c r="E475">
        <v>2.978867109038782E-3</v>
      </c>
    </row>
    <row r="476" spans="1:5">
      <c r="A476" t="s">
        <v>42</v>
      </c>
      <c r="B476" t="s">
        <v>45</v>
      </c>
      <c r="C476" t="s">
        <v>10</v>
      </c>
      <c r="D476">
        <f>(AVERAGE(per_seed!$K$32:$K$41)-AVERAGE(per_seed!$K$2:$K$11))/AVERAGE(per_seed!$K$2:$K$11)*100</f>
        <v>-5.8956609744078827</v>
      </c>
      <c r="E476">
        <v>-5.8956609744078579</v>
      </c>
    </row>
    <row r="477" spans="1:5">
      <c r="A477" t="s">
        <v>44</v>
      </c>
      <c r="B477" t="s">
        <v>45</v>
      </c>
      <c r="C477" t="s">
        <v>10</v>
      </c>
      <c r="D477">
        <f>_xlfn.T.TEST(per_seed!$K$2:$K$11,per_seed!$K$32:$K$41,2,1)</f>
        <v>4.7581918014791644E-3</v>
      </c>
      <c r="E477">
        <v>4.758191801479082E-3</v>
      </c>
    </row>
    <row r="478" spans="1:5">
      <c r="A478" t="s">
        <v>42</v>
      </c>
      <c r="B478" t="s">
        <v>45</v>
      </c>
      <c r="C478" t="s">
        <v>11</v>
      </c>
      <c r="D478">
        <f>(AVERAGE(per_seed!$L$32:$L$41)-AVERAGE(per_seed!$L$2:$L$11))/AVERAGE(per_seed!$L$2:$L$11)*100</f>
        <v>1.6064830881040715</v>
      </c>
      <c r="E478">
        <v>1.606483088104071</v>
      </c>
    </row>
    <row r="479" spans="1:5">
      <c r="A479" t="s">
        <v>44</v>
      </c>
      <c r="B479" t="s">
        <v>45</v>
      </c>
      <c r="C479" t="s">
        <v>11</v>
      </c>
      <c r="D479">
        <f>_xlfn.T.TEST(per_seed!$L$2:$L$11,per_seed!$L$32:$L$41,2,1)</f>
        <v>0.48874843407497026</v>
      </c>
      <c r="E479">
        <v>0.48874843407496971</v>
      </c>
    </row>
    <row r="480" spans="1:5">
      <c r="A480" t="s">
        <v>42</v>
      </c>
      <c r="B480" t="s">
        <v>45</v>
      </c>
      <c r="C480" t="s">
        <v>12</v>
      </c>
      <c r="D480">
        <f>(AVERAGE(per_seed!$M$32:$M$41)-AVERAGE(per_seed!$M$2:$M$11))/AVERAGE(per_seed!$M$2:$M$11)*100</f>
        <v>-1.7371185802597384</v>
      </c>
      <c r="E480">
        <v>-1.737118580259756</v>
      </c>
    </row>
    <row r="481" spans="1:5">
      <c r="A481" t="s">
        <v>44</v>
      </c>
      <c r="B481" t="s">
        <v>45</v>
      </c>
      <c r="C481" t="s">
        <v>12</v>
      </c>
      <c r="D481">
        <f>_xlfn.T.TEST(per_seed!$M$2:$M$11,per_seed!$M$32:$M$41,2,1)</f>
        <v>0.76490285947045034</v>
      </c>
      <c r="E481">
        <v>0.76490285947044889</v>
      </c>
    </row>
    <row r="482" spans="1:5">
      <c r="A482" t="s">
        <v>42</v>
      </c>
      <c r="B482" t="s">
        <v>46</v>
      </c>
      <c r="C482" t="s">
        <v>3</v>
      </c>
      <c r="D482">
        <f>(AVERAGE(per_seed!$D$42:$D$51)-AVERAGE(per_seed!$D$2:$D$11))/AVERAGE(per_seed!$D$2:$D$11)*100</f>
        <v>4.3929225137278909</v>
      </c>
      <c r="E482">
        <v>4.3929225137278909</v>
      </c>
    </row>
    <row r="483" spans="1:5">
      <c r="A483" t="s">
        <v>44</v>
      </c>
      <c r="B483" t="s">
        <v>46</v>
      </c>
      <c r="C483" t="s">
        <v>3</v>
      </c>
      <c r="D483">
        <f>_xlfn.T.TEST(per_seed!$D$2:$D$11,per_seed!$D$42:$D$51,2,1)</f>
        <v>1.2230645989984225E-2</v>
      </c>
      <c r="E483">
        <v>1.2230645989984331E-2</v>
      </c>
    </row>
    <row r="484" spans="1:5">
      <c r="A484" t="s">
        <v>42</v>
      </c>
      <c r="B484" t="s">
        <v>46</v>
      </c>
      <c r="C484" t="s">
        <v>4</v>
      </c>
      <c r="D484">
        <f>(AVERAGE(per_seed!$E$42:$E$51)-AVERAGE(per_seed!$E$2:$E$11))/AVERAGE(per_seed!$E$2:$E$11)*100</f>
        <v>4.3710733859109654</v>
      </c>
      <c r="E484">
        <v>4.3710733859109654</v>
      </c>
    </row>
    <row r="485" spans="1:5">
      <c r="A485" t="s">
        <v>44</v>
      </c>
      <c r="B485" t="s">
        <v>46</v>
      </c>
      <c r="C485" t="s">
        <v>4</v>
      </c>
      <c r="D485">
        <f>_xlfn.T.TEST(per_seed!$E$2:$E$11,per_seed!$E$42:$E$51,2,1)</f>
        <v>2.0462666844357012E-2</v>
      </c>
      <c r="E485">
        <v>2.046266684435679E-2</v>
      </c>
    </row>
    <row r="486" spans="1:5">
      <c r="A486" t="s">
        <v>42</v>
      </c>
      <c r="B486" t="s">
        <v>46</v>
      </c>
      <c r="C486" t="s">
        <v>5</v>
      </c>
      <c r="D486">
        <f>(AVERAGE(per_seed!$F$42:$F$51)-AVERAGE(per_seed!$F$2:$F$11))/AVERAGE(per_seed!$F$2:$F$11)*100</f>
        <v>3.8990825688073349</v>
      </c>
      <c r="E486">
        <v>3.8990825688073349</v>
      </c>
    </row>
    <row r="487" spans="1:5">
      <c r="A487" t="s">
        <v>44</v>
      </c>
      <c r="B487" t="s">
        <v>46</v>
      </c>
      <c r="C487" t="s">
        <v>5</v>
      </c>
      <c r="D487">
        <f>_xlfn.T.TEST(per_seed!$F$2:$F$11,per_seed!$F$42:$F$51,2,1)</f>
        <v>4.6652040260473489E-2</v>
      </c>
      <c r="E487">
        <v>4.6652040260473308E-2</v>
      </c>
    </row>
    <row r="488" spans="1:5">
      <c r="A488" t="s">
        <v>42</v>
      </c>
      <c r="B488" t="s">
        <v>46</v>
      </c>
      <c r="C488" t="s">
        <v>6</v>
      </c>
      <c r="D488">
        <f>(AVERAGE(per_seed!$G$42:$G$51)-AVERAGE(per_seed!$G$2:$G$11))/AVERAGE(per_seed!$G$2:$G$11)*100</f>
        <v>17.320149893724192</v>
      </c>
      <c r="E488">
        <v>17.32014989372416</v>
      </c>
    </row>
    <row r="489" spans="1:5">
      <c r="A489" t="s">
        <v>44</v>
      </c>
      <c r="B489" t="s">
        <v>46</v>
      </c>
      <c r="C489" t="s">
        <v>6</v>
      </c>
      <c r="D489">
        <f>_xlfn.T.TEST(per_seed!$G$2:$G$11,per_seed!$G$42:$G$51,2,1)</f>
        <v>1.094371358909455E-6</v>
      </c>
      <c r="E489">
        <v>1.094371358909456E-6</v>
      </c>
    </row>
    <row r="490" spans="1:5">
      <c r="A490" t="s">
        <v>42</v>
      </c>
      <c r="B490" t="s">
        <v>46</v>
      </c>
      <c r="C490" t="s">
        <v>7</v>
      </c>
      <c r="D490">
        <f>(AVERAGE(per_seed!$H$42:$H$51)-AVERAGE(per_seed!$H$2:$H$11))/AVERAGE(per_seed!$H$2:$H$11)*100</f>
        <v>-11.425206124852769</v>
      </c>
      <c r="E490">
        <v>-11.425206124852769</v>
      </c>
    </row>
    <row r="491" spans="1:5">
      <c r="A491" t="s">
        <v>44</v>
      </c>
      <c r="B491" t="s">
        <v>46</v>
      </c>
      <c r="C491" t="s">
        <v>7</v>
      </c>
      <c r="D491">
        <f>_xlfn.T.TEST(per_seed!$H$2:$H$11,per_seed!$H$42:$H$51,2,1)</f>
        <v>1.29559598975524E-4</v>
      </c>
      <c r="E491">
        <v>1.29559598975524E-4</v>
      </c>
    </row>
    <row r="492" spans="1:5">
      <c r="A492" t="s">
        <v>42</v>
      </c>
      <c r="B492" t="s">
        <v>46</v>
      </c>
      <c r="C492" t="s">
        <v>8</v>
      </c>
      <c r="D492">
        <f>(AVERAGE(per_seed!$I$42:$I$51)-AVERAGE(per_seed!$I$2:$I$11))/AVERAGE(per_seed!$I$2:$I$11)*100</f>
        <v>-14.893193784127412</v>
      </c>
      <c r="E492">
        <v>-14.89319378412743</v>
      </c>
    </row>
    <row r="493" spans="1:5">
      <c r="A493" t="s">
        <v>44</v>
      </c>
      <c r="B493" t="s">
        <v>46</v>
      </c>
      <c r="C493" t="s">
        <v>8</v>
      </c>
      <c r="D493">
        <f>_xlfn.T.TEST(per_seed!$I$2:$I$11,per_seed!$I$42:$I$51,2,1)</f>
        <v>2.4343656406064263E-6</v>
      </c>
      <c r="E493">
        <v>2.4343656406063759E-6</v>
      </c>
    </row>
    <row r="494" spans="1:5">
      <c r="A494" t="s">
        <v>42</v>
      </c>
      <c r="B494" t="s">
        <v>46</v>
      </c>
      <c r="C494" t="s">
        <v>9</v>
      </c>
      <c r="D494">
        <f>(AVERAGE(per_seed!$J$42:$J$51)-AVERAGE(per_seed!$J$2:$J$11))/AVERAGE(per_seed!$J$2:$J$11)*100</f>
        <v>-8.4087707436229255</v>
      </c>
      <c r="E494">
        <v>-8.4087707436229486</v>
      </c>
    </row>
    <row r="495" spans="1:5">
      <c r="A495" t="s">
        <v>44</v>
      </c>
      <c r="B495" t="s">
        <v>46</v>
      </c>
      <c r="C495" t="s">
        <v>9</v>
      </c>
      <c r="D495">
        <f>_xlfn.T.TEST(per_seed!$J$2:$J$11,per_seed!$J$42:$J$51,2,1)</f>
        <v>9.6888285252041902E-5</v>
      </c>
      <c r="E495">
        <v>9.6888285252038893E-5</v>
      </c>
    </row>
    <row r="496" spans="1:5">
      <c r="A496" t="s">
        <v>42</v>
      </c>
      <c r="B496" t="s">
        <v>46</v>
      </c>
      <c r="C496" t="s">
        <v>10</v>
      </c>
      <c r="D496">
        <f>(AVERAGE(per_seed!$K$42:$K$51)-AVERAGE(per_seed!$K$2:$K$11))/AVERAGE(per_seed!$K$2:$K$11)*100</f>
        <v>-9.0717565881491744</v>
      </c>
      <c r="E496">
        <v>-9.0717565881491868</v>
      </c>
    </row>
    <row r="497" spans="1:5">
      <c r="A497" t="s">
        <v>44</v>
      </c>
      <c r="B497" t="s">
        <v>46</v>
      </c>
      <c r="C497" t="s">
        <v>10</v>
      </c>
      <c r="D497">
        <f>_xlfn.T.TEST(per_seed!$K$2:$K$11,per_seed!$K$42:$K$51,2,1)</f>
        <v>1.746252426873357E-4</v>
      </c>
      <c r="E497">
        <v>1.7462524268733201E-4</v>
      </c>
    </row>
    <row r="498" spans="1:5">
      <c r="A498" t="s">
        <v>42</v>
      </c>
      <c r="B498" t="s">
        <v>46</v>
      </c>
      <c r="C498" t="s">
        <v>11</v>
      </c>
      <c r="D498">
        <f>(AVERAGE(per_seed!$L$42:$L$51)-AVERAGE(per_seed!$L$2:$L$11))/AVERAGE(per_seed!$L$2:$L$11)*100</f>
        <v>3.8120802629863939</v>
      </c>
      <c r="E498">
        <v>3.812080262986421</v>
      </c>
    </row>
    <row r="499" spans="1:5">
      <c r="A499" t="s">
        <v>44</v>
      </c>
      <c r="B499" t="s">
        <v>46</v>
      </c>
      <c r="C499" t="s">
        <v>11</v>
      </c>
      <c r="D499">
        <f>_xlfn.T.TEST(per_seed!$L$2:$L$11,per_seed!$L$42:$L$51,2,1)</f>
        <v>0.17548379417430468</v>
      </c>
      <c r="E499">
        <v>0.17548379417430249</v>
      </c>
    </row>
    <row r="500" spans="1:5">
      <c r="A500" t="s">
        <v>42</v>
      </c>
      <c r="B500" t="s">
        <v>46</v>
      </c>
      <c r="C500" t="s">
        <v>12</v>
      </c>
      <c r="D500">
        <f>(AVERAGE(per_seed!$M$42:$M$51)-AVERAGE(per_seed!$M$2:$M$11))/AVERAGE(per_seed!$M$2:$M$11)*100</f>
        <v>-17.152095223945249</v>
      </c>
      <c r="E500">
        <v>-17.15209522394526</v>
      </c>
    </row>
    <row r="501" spans="1:5">
      <c r="A501" t="s">
        <v>44</v>
      </c>
      <c r="B501" t="s">
        <v>46</v>
      </c>
      <c r="C501" t="s">
        <v>12</v>
      </c>
      <c r="D501">
        <f>_xlfn.T.TEST(per_seed!$M$2:$M$11,per_seed!$M$42:$M$51,2,1)</f>
        <v>1.2281788122112704E-2</v>
      </c>
      <c r="E501">
        <v>1.228178812211262E-2</v>
      </c>
    </row>
    <row r="502" spans="1:5">
      <c r="A502" t="s">
        <v>42</v>
      </c>
      <c r="B502" t="s">
        <v>47</v>
      </c>
      <c r="C502" t="s">
        <v>3</v>
      </c>
      <c r="D502">
        <f>(AVERAGE(per_seed!$D$52:$D$61)-AVERAGE(per_seed!$D$2:$D$11))/AVERAGE(per_seed!$D$2:$D$11)*100</f>
        <v>7.6876143990237997</v>
      </c>
      <c r="E502">
        <v>7.6876143990237997</v>
      </c>
    </row>
    <row r="503" spans="1:5">
      <c r="A503" t="s">
        <v>44</v>
      </c>
      <c r="B503" t="s">
        <v>47</v>
      </c>
      <c r="C503" t="s">
        <v>3</v>
      </c>
      <c r="D503">
        <f>_xlfn.T.TEST(per_seed!$D$2:$D$11,per_seed!$D$52:$D$61,2,1)</f>
        <v>1.2028276876025208E-3</v>
      </c>
      <c r="E503">
        <v>1.202827687602524E-3</v>
      </c>
    </row>
    <row r="504" spans="1:5">
      <c r="A504" t="s">
        <v>42</v>
      </c>
      <c r="B504" t="s">
        <v>47</v>
      </c>
      <c r="C504" t="s">
        <v>4</v>
      </c>
      <c r="D504">
        <f>(AVERAGE(per_seed!$E$52:$E$61)-AVERAGE(per_seed!$E$2:$E$11))/AVERAGE(per_seed!$E$2:$E$11)*100</f>
        <v>7.8599117765004607</v>
      </c>
      <c r="E504">
        <v>7.8599117765004607</v>
      </c>
    </row>
    <row r="505" spans="1:5">
      <c r="A505" t="s">
        <v>44</v>
      </c>
      <c r="B505" t="s">
        <v>47</v>
      </c>
      <c r="C505" t="s">
        <v>4</v>
      </c>
      <c r="D505">
        <f>_xlfn.T.TEST(per_seed!$E$2:$E$11,per_seed!$E$52:$E$61,2,1)</f>
        <v>2.1107627900087303E-3</v>
      </c>
      <c r="E505">
        <v>2.110762790008722E-3</v>
      </c>
    </row>
    <row r="506" spans="1:5">
      <c r="A506" t="s">
        <v>42</v>
      </c>
      <c r="B506" t="s">
        <v>47</v>
      </c>
      <c r="C506" t="s">
        <v>5</v>
      </c>
      <c r="D506">
        <f>(AVERAGE(per_seed!$F$52:$F$61)-AVERAGE(per_seed!$F$2:$F$11))/AVERAGE(per_seed!$F$2:$F$11)*100</f>
        <v>7.3394495412843987</v>
      </c>
      <c r="E506">
        <v>7.3394495412843987</v>
      </c>
    </row>
    <row r="507" spans="1:5">
      <c r="A507" t="s">
        <v>44</v>
      </c>
      <c r="B507" t="s">
        <v>47</v>
      </c>
      <c r="C507" t="s">
        <v>5</v>
      </c>
      <c r="D507">
        <f>_xlfn.T.TEST(per_seed!$F$2:$F$11,per_seed!$F$52:$F$61,2,1)</f>
        <v>4.7056175943161844E-3</v>
      </c>
      <c r="E507">
        <v>4.7056175943161679E-3</v>
      </c>
    </row>
    <row r="508" spans="1:5">
      <c r="A508" t="s">
        <v>42</v>
      </c>
      <c r="B508" t="s">
        <v>47</v>
      </c>
      <c r="C508" t="s">
        <v>6</v>
      </c>
      <c r="D508">
        <f>(AVERAGE(per_seed!$G$52:$G$61)-AVERAGE(per_seed!$G$2:$G$11))/AVERAGE(per_seed!$G$2:$G$11)*100</f>
        <v>16.747801400664382</v>
      </c>
      <c r="E508">
        <v>16.747801400664368</v>
      </c>
    </row>
    <row r="509" spans="1:5">
      <c r="A509" t="s">
        <v>44</v>
      </c>
      <c r="B509" t="s">
        <v>47</v>
      </c>
      <c r="C509" t="s">
        <v>6</v>
      </c>
      <c r="D509">
        <f>_xlfn.T.TEST(per_seed!$G$2:$G$11,per_seed!$G$52:$G$61,2,1)</f>
        <v>4.2026686541841708E-6</v>
      </c>
      <c r="E509">
        <v>4.2026686541841818E-6</v>
      </c>
    </row>
    <row r="510" spans="1:5">
      <c r="A510" t="s">
        <v>42</v>
      </c>
      <c r="B510" t="s">
        <v>47</v>
      </c>
      <c r="C510" t="s">
        <v>7</v>
      </c>
      <c r="D510">
        <f>(AVERAGE(per_seed!$H$52:$H$61)-AVERAGE(per_seed!$H$2:$H$11))/AVERAGE(per_seed!$H$2:$H$11)*100</f>
        <v>-8.1272084805653773</v>
      </c>
      <c r="E510">
        <v>-8.1272084805653773</v>
      </c>
    </row>
    <row r="511" spans="1:5">
      <c r="A511" t="s">
        <v>44</v>
      </c>
      <c r="B511" t="s">
        <v>47</v>
      </c>
      <c r="C511" t="s">
        <v>7</v>
      </c>
      <c r="D511">
        <f>_xlfn.T.TEST(per_seed!$H$2:$H$11,per_seed!$H$52:$H$61,2,1)</f>
        <v>4.9043900789802454E-5</v>
      </c>
      <c r="E511">
        <v>4.90439007898028E-5</v>
      </c>
    </row>
    <row r="512" spans="1:5">
      <c r="A512" t="s">
        <v>42</v>
      </c>
      <c r="B512" t="s">
        <v>47</v>
      </c>
      <c r="C512" t="s">
        <v>8</v>
      </c>
      <c r="D512">
        <f>(AVERAGE(per_seed!$I$52:$I$61)-AVERAGE(per_seed!$I$2:$I$11))/AVERAGE(per_seed!$I$2:$I$11)*100</f>
        <v>-14.522729685544963</v>
      </c>
      <c r="E512">
        <v>-14.522729685544981</v>
      </c>
    </row>
    <row r="513" spans="1:5">
      <c r="A513" t="s">
        <v>44</v>
      </c>
      <c r="B513" t="s">
        <v>47</v>
      </c>
      <c r="C513" t="s">
        <v>8</v>
      </c>
      <c r="D513">
        <f>_xlfn.T.TEST(per_seed!$I$2:$I$11,per_seed!$I$52:$I$61,2,1)</f>
        <v>1.0934543776567503E-5</v>
      </c>
      <c r="E513">
        <v>1.093454377656739E-5</v>
      </c>
    </row>
    <row r="514" spans="1:5">
      <c r="A514" t="s">
        <v>42</v>
      </c>
      <c r="B514" t="s">
        <v>47</v>
      </c>
      <c r="C514" t="s">
        <v>9</v>
      </c>
      <c r="D514">
        <f>(AVERAGE(per_seed!$J$52:$J$61)-AVERAGE(per_seed!$J$2:$J$11))/AVERAGE(per_seed!$J$2:$J$11)*100</f>
        <v>-8.3890121454619209</v>
      </c>
      <c r="E514">
        <v>-8.3890121454619333</v>
      </c>
    </row>
    <row r="515" spans="1:5">
      <c r="A515" t="s">
        <v>44</v>
      </c>
      <c r="B515" t="s">
        <v>47</v>
      </c>
      <c r="C515" t="s">
        <v>9</v>
      </c>
      <c r="D515">
        <f>_xlfn.T.TEST(per_seed!$J$2:$J$11,per_seed!$J$52:$J$61,2,1)</f>
        <v>2.5208001391117552E-3</v>
      </c>
      <c r="E515">
        <v>2.520800139111698E-3</v>
      </c>
    </row>
    <row r="516" spans="1:5">
      <c r="A516" t="s">
        <v>42</v>
      </c>
      <c r="B516" t="s">
        <v>47</v>
      </c>
      <c r="C516" t="s">
        <v>10</v>
      </c>
      <c r="D516">
        <f>(AVERAGE(per_seed!$K$52:$K$61)-AVERAGE(per_seed!$K$2:$K$11))/AVERAGE(per_seed!$K$2:$K$11)*100</f>
        <v>-8.9678124891253983</v>
      </c>
      <c r="E516">
        <v>-8.9678124891253983</v>
      </c>
    </row>
    <row r="517" spans="1:5">
      <c r="A517" t="s">
        <v>44</v>
      </c>
      <c r="B517" t="s">
        <v>47</v>
      </c>
      <c r="C517" t="s">
        <v>10</v>
      </c>
      <c r="D517">
        <f>_xlfn.T.TEST(per_seed!$K$2:$K$11,per_seed!$K$52:$K$61,2,1)</f>
        <v>2.3301549712787988E-3</v>
      </c>
      <c r="E517">
        <v>2.3301549712787589E-3</v>
      </c>
    </row>
    <row r="518" spans="1:5">
      <c r="A518" t="s">
        <v>42</v>
      </c>
      <c r="B518" t="s">
        <v>47</v>
      </c>
      <c r="C518" t="s">
        <v>11</v>
      </c>
      <c r="D518">
        <f>(AVERAGE(per_seed!$L$52:$L$61)-AVERAGE(per_seed!$L$2:$L$11))/AVERAGE(per_seed!$L$2:$L$11)*100</f>
        <v>0.63993957826786041</v>
      </c>
      <c r="E518">
        <v>0.63993957826786041</v>
      </c>
    </row>
    <row r="519" spans="1:5">
      <c r="A519" t="s">
        <v>44</v>
      </c>
      <c r="B519" t="s">
        <v>47</v>
      </c>
      <c r="C519" t="s">
        <v>11</v>
      </c>
      <c r="D519">
        <f>_xlfn.T.TEST(per_seed!$L$2:$L$11,per_seed!$L$52:$L$61,2,1)</f>
        <v>0.74560245993011787</v>
      </c>
      <c r="E519">
        <v>0.74560245993012253</v>
      </c>
    </row>
    <row r="520" spans="1:5">
      <c r="A520" t="s">
        <v>42</v>
      </c>
      <c r="B520" t="s">
        <v>47</v>
      </c>
      <c r="C520" t="s">
        <v>12</v>
      </c>
      <c r="D520">
        <f>(AVERAGE(per_seed!$M$52:$M$61)-AVERAGE(per_seed!$M$2:$M$11))/AVERAGE(per_seed!$M$2:$M$11)*100</f>
        <v>-30.130711923022524</v>
      </c>
      <c r="E520">
        <v>-30.130711923022531</v>
      </c>
    </row>
    <row r="521" spans="1:5">
      <c r="A521" t="s">
        <v>44</v>
      </c>
      <c r="B521" t="s">
        <v>47</v>
      </c>
      <c r="C521" t="s">
        <v>12</v>
      </c>
      <c r="D521">
        <f>_xlfn.T.TEST(per_seed!$M$2:$M$11,per_seed!$M$52:$M$61,2,1)</f>
        <v>1.1735224203869475E-3</v>
      </c>
      <c r="E521">
        <v>1.1735224203869459E-3</v>
      </c>
    </row>
    <row r="522" spans="1:5">
      <c r="A522" t="s">
        <v>42</v>
      </c>
      <c r="B522" t="s">
        <v>48</v>
      </c>
      <c r="C522" t="s">
        <v>3</v>
      </c>
      <c r="D522">
        <f>(AVERAGE(per_seed!$D$62:$D$71)-AVERAGE(per_seed!$D$2:$D$11))/AVERAGE(per_seed!$D$2:$D$11)*100</f>
        <v>8.2018652488451256</v>
      </c>
      <c r="E522">
        <v>8.2018652488451256</v>
      </c>
    </row>
    <row r="523" spans="1:5">
      <c r="A523" t="s">
        <v>44</v>
      </c>
      <c r="B523" t="s">
        <v>48</v>
      </c>
      <c r="C523" t="s">
        <v>3</v>
      </c>
      <c r="D523">
        <f>_xlfn.T.TEST(per_seed!$D$2:$D$11,per_seed!$D$62:$D$71,2,1)</f>
        <v>1.3790652405778304E-4</v>
      </c>
      <c r="E523">
        <v>1.3790652405778461E-4</v>
      </c>
    </row>
    <row r="524" spans="1:5">
      <c r="A524" t="s">
        <v>42</v>
      </c>
      <c r="B524" t="s">
        <v>48</v>
      </c>
      <c r="C524" t="s">
        <v>4</v>
      </c>
      <c r="D524">
        <f>(AVERAGE(per_seed!$E$62:$E$71)-AVERAGE(per_seed!$E$2:$E$11))/AVERAGE(per_seed!$E$2:$E$11)*100</f>
        <v>8.2876620772623983</v>
      </c>
      <c r="E524">
        <v>8.2876620772623983</v>
      </c>
    </row>
    <row r="525" spans="1:5">
      <c r="A525" t="s">
        <v>44</v>
      </c>
      <c r="B525" t="s">
        <v>48</v>
      </c>
      <c r="C525" t="s">
        <v>4</v>
      </c>
      <c r="D525">
        <f>_xlfn.T.TEST(per_seed!$E$2:$E$11,per_seed!$E$62:$E$71,2,1)</f>
        <v>1.3207411845717518E-4</v>
      </c>
      <c r="E525">
        <v>1.320741184571751E-4</v>
      </c>
    </row>
    <row r="526" spans="1:5">
      <c r="A526" t="s">
        <v>42</v>
      </c>
      <c r="B526" t="s">
        <v>48</v>
      </c>
      <c r="C526" t="s">
        <v>5</v>
      </c>
      <c r="D526">
        <f>(AVERAGE(per_seed!$F$62:$F$71)-AVERAGE(per_seed!$F$2:$F$11))/AVERAGE(per_seed!$F$2:$F$11)*100</f>
        <v>7.8172782874617681</v>
      </c>
      <c r="E526">
        <v>7.8172782874617681</v>
      </c>
    </row>
    <row r="527" spans="1:5">
      <c r="A527" t="s">
        <v>44</v>
      </c>
      <c r="B527" t="s">
        <v>48</v>
      </c>
      <c r="C527" t="s">
        <v>5</v>
      </c>
      <c r="D527">
        <f>_xlfn.T.TEST(per_seed!$F$2:$F$11,per_seed!$F$62:$F$71,2,1)</f>
        <v>3.3579893352563012E-4</v>
      </c>
      <c r="E527">
        <v>3.3579893352562838E-4</v>
      </c>
    </row>
    <row r="528" spans="1:5">
      <c r="A528" t="s">
        <v>42</v>
      </c>
      <c r="B528" t="s">
        <v>48</v>
      </c>
      <c r="C528" t="s">
        <v>6</v>
      </c>
      <c r="D528">
        <f>(AVERAGE(per_seed!$G$62:$G$71)-AVERAGE(per_seed!$G$2:$G$11))/AVERAGE(per_seed!$G$2:$G$11)*100</f>
        <v>18.639587346057183</v>
      </c>
      <c r="E528">
        <v>18.639587346057169</v>
      </c>
    </row>
    <row r="529" spans="1:5">
      <c r="A529" t="s">
        <v>44</v>
      </c>
      <c r="B529" t="s">
        <v>48</v>
      </c>
      <c r="C529" t="s">
        <v>6</v>
      </c>
      <c r="D529">
        <f>_xlfn.T.TEST(per_seed!$G$2:$G$11,per_seed!$G$62:$G$71,2,1)</f>
        <v>1.557385585049777E-5</v>
      </c>
      <c r="E529">
        <v>1.5573855850497841E-5</v>
      </c>
    </row>
    <row r="530" spans="1:5">
      <c r="A530" t="s">
        <v>42</v>
      </c>
      <c r="B530" t="s">
        <v>48</v>
      </c>
      <c r="C530" t="s">
        <v>7</v>
      </c>
      <c r="D530">
        <f>(AVERAGE(per_seed!$H$62:$H$71)-AVERAGE(per_seed!$H$2:$H$11))/AVERAGE(per_seed!$H$2:$H$11)*100</f>
        <v>-9.0694935217903456</v>
      </c>
      <c r="E530">
        <v>-9.0694935217903456</v>
      </c>
    </row>
    <row r="531" spans="1:5">
      <c r="A531" t="s">
        <v>44</v>
      </c>
      <c r="B531" t="s">
        <v>48</v>
      </c>
      <c r="C531" t="s">
        <v>7</v>
      </c>
      <c r="D531">
        <f>_xlfn.T.TEST(per_seed!$H$2:$H$11,per_seed!$H$62:$H$71,2,1)</f>
        <v>2.4476470453463838E-4</v>
      </c>
      <c r="E531">
        <v>2.4476470453463827E-4</v>
      </c>
    </row>
    <row r="532" spans="1:5">
      <c r="A532" t="s">
        <v>42</v>
      </c>
      <c r="B532" t="s">
        <v>48</v>
      </c>
      <c r="C532" t="s">
        <v>8</v>
      </c>
      <c r="D532">
        <f>(AVERAGE(per_seed!$I$62:$I$71)-AVERAGE(per_seed!$I$2:$I$11))/AVERAGE(per_seed!$I$2:$I$11)*100</f>
        <v>-15.750301786928755</v>
      </c>
      <c r="E532">
        <v>-15.750301786928789</v>
      </c>
    </row>
    <row r="533" spans="1:5">
      <c r="A533" t="s">
        <v>44</v>
      </c>
      <c r="B533" t="s">
        <v>48</v>
      </c>
      <c r="C533" t="s">
        <v>8</v>
      </c>
      <c r="D533">
        <f>_xlfn.T.TEST(per_seed!$I$2:$I$11,per_seed!$I$62:$I$71,2,1)</f>
        <v>2.0924010373539187E-5</v>
      </c>
      <c r="E533">
        <v>2.0924010373538899E-5</v>
      </c>
    </row>
    <row r="534" spans="1:5">
      <c r="A534" t="s">
        <v>42</v>
      </c>
      <c r="B534" t="s">
        <v>48</v>
      </c>
      <c r="C534" t="s">
        <v>9</v>
      </c>
      <c r="D534">
        <f>(AVERAGE(per_seed!$J$62:$J$71)-AVERAGE(per_seed!$J$2:$J$11))/AVERAGE(per_seed!$J$2:$J$11)*100</f>
        <v>-8.7205020320594873</v>
      </c>
      <c r="E534">
        <v>-8.7205020320594606</v>
      </c>
    </row>
    <row r="535" spans="1:5">
      <c r="A535" t="s">
        <v>44</v>
      </c>
      <c r="B535" t="s">
        <v>48</v>
      </c>
      <c r="C535" t="s">
        <v>9</v>
      </c>
      <c r="D535">
        <f>_xlfn.T.TEST(per_seed!$J$2:$J$11,per_seed!$J$62:$J$71,2,1)</f>
        <v>8.9498732495552318E-4</v>
      </c>
      <c r="E535">
        <v>8.9498732495552069E-4</v>
      </c>
    </row>
    <row r="536" spans="1:5">
      <c r="A536" t="s">
        <v>42</v>
      </c>
      <c r="B536" t="s">
        <v>48</v>
      </c>
      <c r="C536" t="s">
        <v>10</v>
      </c>
      <c r="D536">
        <f>(AVERAGE(per_seed!$K$62:$K$71)-AVERAGE(per_seed!$K$2:$K$11))/AVERAGE(per_seed!$K$2:$K$11)*100</f>
        <v>-9.6712688812506187</v>
      </c>
      <c r="E536">
        <v>-9.6712688812506187</v>
      </c>
    </row>
    <row r="537" spans="1:5">
      <c r="A537" t="s">
        <v>44</v>
      </c>
      <c r="B537" t="s">
        <v>48</v>
      </c>
      <c r="C537" t="s">
        <v>10</v>
      </c>
      <c r="D537">
        <f>_xlfn.T.TEST(per_seed!$K$2:$K$11,per_seed!$K$62:$K$71,2,1)</f>
        <v>9.2359810960218321E-4</v>
      </c>
      <c r="E537">
        <v>9.2359810960217237E-4</v>
      </c>
    </row>
    <row r="538" spans="1:5">
      <c r="A538" t="s">
        <v>42</v>
      </c>
      <c r="B538" t="s">
        <v>48</v>
      </c>
      <c r="C538" t="s">
        <v>11</v>
      </c>
      <c r="D538">
        <f>(AVERAGE(per_seed!$L$62:$L$71)-AVERAGE(per_seed!$L$2:$L$11))/AVERAGE(per_seed!$L$2:$L$11)*100</f>
        <v>0.78078752401394935</v>
      </c>
      <c r="E538">
        <v>0.78078752401394935</v>
      </c>
    </row>
    <row r="539" spans="1:5">
      <c r="A539" t="s">
        <v>44</v>
      </c>
      <c r="B539" t="s">
        <v>48</v>
      </c>
      <c r="C539" t="s">
        <v>11</v>
      </c>
      <c r="D539">
        <f>_xlfn.T.TEST(per_seed!$L$2:$L$11,per_seed!$L$62:$L$71,2,1)</f>
        <v>0.72017711478212532</v>
      </c>
      <c r="E539">
        <v>0.72017711478212632</v>
      </c>
    </row>
    <row r="540" spans="1:5">
      <c r="A540" t="s">
        <v>42</v>
      </c>
      <c r="B540" t="s">
        <v>48</v>
      </c>
      <c r="C540" t="s">
        <v>12</v>
      </c>
      <c r="D540">
        <f>(AVERAGE(per_seed!$M$62:$M$71)-AVERAGE(per_seed!$M$2:$M$11))/AVERAGE(per_seed!$M$2:$M$11)*100</f>
        <v>-32.07025443882165</v>
      </c>
      <c r="E540">
        <v>-32.070254438821657</v>
      </c>
    </row>
    <row r="541" spans="1:5">
      <c r="A541" t="s">
        <v>44</v>
      </c>
      <c r="B541" t="s">
        <v>48</v>
      </c>
      <c r="C541" t="s">
        <v>12</v>
      </c>
      <c r="D541">
        <f>_xlfn.T.TEST(per_seed!$M$2:$M$11,per_seed!$M$62:$M$71,2,1)</f>
        <v>1.3338860939190658E-4</v>
      </c>
      <c r="E541">
        <v>1.3338860939190539E-4</v>
      </c>
    </row>
    <row r="542" spans="1:5">
      <c r="A542" t="s">
        <v>42</v>
      </c>
      <c r="B542" t="s">
        <v>49</v>
      </c>
      <c r="C542" t="s">
        <v>3</v>
      </c>
      <c r="D542">
        <f>(AVERAGE(per_seed!$D$72:$D$81)-AVERAGE(per_seed!$D$2:$D$11))/AVERAGE(per_seed!$D$2:$D$11)*100</f>
        <v>7.9839623463784664</v>
      </c>
      <c r="E542">
        <v>7.9839623463784664</v>
      </c>
    </row>
    <row r="543" spans="1:5">
      <c r="A543" t="s">
        <v>44</v>
      </c>
      <c r="B543" t="s">
        <v>49</v>
      </c>
      <c r="C543" t="s">
        <v>3</v>
      </c>
      <c r="D543">
        <f>_xlfn.T.TEST(per_seed!$D$2:$D$11,per_seed!$D$72:$D$81,2,1)</f>
        <v>2.8676836252504779E-5</v>
      </c>
      <c r="E543">
        <v>2.8676836252505111E-5</v>
      </c>
    </row>
    <row r="544" spans="1:5">
      <c r="A544" t="s">
        <v>42</v>
      </c>
      <c r="B544" t="s">
        <v>49</v>
      </c>
      <c r="C544" t="s">
        <v>4</v>
      </c>
      <c r="D544">
        <f>(AVERAGE(per_seed!$E$72:$E$81)-AVERAGE(per_seed!$E$2:$E$11))/AVERAGE(per_seed!$E$2:$E$11)*100</f>
        <v>8.4480684400481127</v>
      </c>
      <c r="E544">
        <v>8.4480684400481127</v>
      </c>
    </row>
    <row r="545" spans="1:5">
      <c r="A545" t="s">
        <v>44</v>
      </c>
      <c r="B545" t="s">
        <v>49</v>
      </c>
      <c r="C545" t="s">
        <v>4</v>
      </c>
      <c r="D545">
        <f>_xlfn.T.TEST(per_seed!$E$2:$E$11,per_seed!$E$72:$E$81,2,1)</f>
        <v>5.9378167988228633E-5</v>
      </c>
      <c r="E545">
        <v>5.9378167988228098E-5</v>
      </c>
    </row>
    <row r="546" spans="1:5">
      <c r="A546" t="s">
        <v>42</v>
      </c>
      <c r="B546" t="s">
        <v>49</v>
      </c>
      <c r="C546" t="s">
        <v>5</v>
      </c>
      <c r="D546">
        <f>(AVERAGE(per_seed!$F$72:$F$81)-AVERAGE(per_seed!$F$2:$F$11))/AVERAGE(per_seed!$F$2:$F$11)*100</f>
        <v>8.1039755351681908</v>
      </c>
      <c r="E546">
        <v>8.1039755351681908</v>
      </c>
    </row>
    <row r="547" spans="1:5">
      <c r="A547" t="s">
        <v>44</v>
      </c>
      <c r="B547" t="s">
        <v>49</v>
      </c>
      <c r="C547" t="s">
        <v>5</v>
      </c>
      <c r="D547">
        <f>_xlfn.T.TEST(per_seed!$F$2:$F$11,per_seed!$F$72:$F$81,2,1)</f>
        <v>1.1398415774735063E-4</v>
      </c>
      <c r="E547">
        <v>1.1398415774735011E-4</v>
      </c>
    </row>
    <row r="548" spans="1:5">
      <c r="A548" t="s">
        <v>42</v>
      </c>
      <c r="B548" t="s">
        <v>49</v>
      </c>
      <c r="C548" t="s">
        <v>6</v>
      </c>
      <c r="D548">
        <f>(AVERAGE(per_seed!$G$72:$G$81)-AVERAGE(per_seed!$G$2:$G$11))/AVERAGE(per_seed!$G$2:$G$11)*100</f>
        <v>18.165038714428221</v>
      </c>
      <c r="E548">
        <v>18.165038714428199</v>
      </c>
    </row>
    <row r="549" spans="1:5">
      <c r="A549" t="s">
        <v>44</v>
      </c>
      <c r="B549" t="s">
        <v>49</v>
      </c>
      <c r="C549" t="s">
        <v>6</v>
      </c>
      <c r="D549">
        <f>_xlfn.T.TEST(per_seed!$G$2:$G$11,per_seed!$G$72:$G$81,2,1)</f>
        <v>5.1513087466235248E-7</v>
      </c>
      <c r="E549">
        <v>5.151308746623493E-7</v>
      </c>
    </row>
    <row r="550" spans="1:5">
      <c r="A550" t="s">
        <v>42</v>
      </c>
      <c r="B550" t="s">
        <v>49</v>
      </c>
      <c r="C550" t="s">
        <v>7</v>
      </c>
      <c r="D550">
        <f>(AVERAGE(per_seed!$H$72:$H$81)-AVERAGE(per_seed!$H$2:$H$11))/AVERAGE(per_seed!$H$2:$H$11)*100</f>
        <v>-8.5394581861012959</v>
      </c>
      <c r="E550">
        <v>-8.5394581861012959</v>
      </c>
    </row>
    <row r="551" spans="1:5">
      <c r="A551" t="s">
        <v>44</v>
      </c>
      <c r="B551" t="s">
        <v>49</v>
      </c>
      <c r="C551" t="s">
        <v>7</v>
      </c>
      <c r="D551">
        <f>_xlfn.T.TEST(per_seed!$H$2:$H$11,per_seed!$H$72:$H$81,2,1)</f>
        <v>1.1016757844536419E-4</v>
      </c>
      <c r="E551">
        <v>1.1016757844536409E-4</v>
      </c>
    </row>
    <row r="552" spans="1:5">
      <c r="A552" t="s">
        <v>42</v>
      </c>
      <c r="B552" t="s">
        <v>49</v>
      </c>
      <c r="C552" t="s">
        <v>8</v>
      </c>
      <c r="D552">
        <f>(AVERAGE(per_seed!$I$72:$I$81)-AVERAGE(per_seed!$I$2:$I$11))/AVERAGE(per_seed!$I$2:$I$11)*100</f>
        <v>-15.505845846824434</v>
      </c>
      <c r="E552">
        <v>-15.50584584682445</v>
      </c>
    </row>
    <row r="553" spans="1:5">
      <c r="A553" t="s">
        <v>44</v>
      </c>
      <c r="B553" t="s">
        <v>49</v>
      </c>
      <c r="C553" t="s">
        <v>8</v>
      </c>
      <c r="D553">
        <f>_xlfn.T.TEST(per_seed!$I$2:$I$11,per_seed!$I$72:$I$81,2,1)</f>
        <v>1.5393057974034608E-6</v>
      </c>
      <c r="E553">
        <v>1.5393057974034589E-6</v>
      </c>
    </row>
    <row r="554" spans="1:5">
      <c r="A554" t="s">
        <v>42</v>
      </c>
      <c r="B554" t="s">
        <v>49</v>
      </c>
      <c r="C554" t="s">
        <v>9</v>
      </c>
      <c r="D554">
        <f>(AVERAGE(per_seed!$J$72:$J$81)-AVERAGE(per_seed!$J$2:$J$11))/AVERAGE(per_seed!$J$2:$J$11)*100</f>
        <v>-7.9283824481962011</v>
      </c>
      <c r="E554">
        <v>-7.9283824481962011</v>
      </c>
    </row>
    <row r="555" spans="1:5">
      <c r="A555" t="s">
        <v>44</v>
      </c>
      <c r="B555" t="s">
        <v>49</v>
      </c>
      <c r="C555" t="s">
        <v>9</v>
      </c>
      <c r="D555">
        <f>_xlfn.T.TEST(per_seed!$J$2:$J$11,per_seed!$J$72:$J$81,2,1)</f>
        <v>6.082425301928943E-4</v>
      </c>
      <c r="E555">
        <v>6.0824253019287685E-4</v>
      </c>
    </row>
    <row r="556" spans="1:5">
      <c r="A556" t="s">
        <v>42</v>
      </c>
      <c r="B556" t="s">
        <v>49</v>
      </c>
      <c r="C556" t="s">
        <v>10</v>
      </c>
      <c r="D556">
        <f>(AVERAGE(per_seed!$K$72:$K$81)-AVERAGE(per_seed!$K$2:$K$11))/AVERAGE(per_seed!$K$2:$K$11)*100</f>
        <v>-9.1418717452032734</v>
      </c>
      <c r="E556">
        <v>-9.1418717452032858</v>
      </c>
    </row>
    <row r="557" spans="1:5">
      <c r="A557" t="s">
        <v>44</v>
      </c>
      <c r="B557" t="s">
        <v>49</v>
      </c>
      <c r="C557" t="s">
        <v>10</v>
      </c>
      <c r="D557">
        <f>_xlfn.T.TEST(per_seed!$K$2:$K$11,per_seed!$K$72:$K$81,2,1)</f>
        <v>1.609343768591792E-4</v>
      </c>
      <c r="E557">
        <v>1.609343768591757E-4</v>
      </c>
    </row>
    <row r="558" spans="1:5">
      <c r="A558" t="s">
        <v>42</v>
      </c>
      <c r="B558" t="s">
        <v>49</v>
      </c>
      <c r="C558" t="s">
        <v>11</v>
      </c>
      <c r="D558">
        <f>(AVERAGE(per_seed!$L$72:$L$81)-AVERAGE(per_seed!$L$2:$L$11))/AVERAGE(per_seed!$L$2:$L$11)*100</f>
        <v>1.5513686746507909</v>
      </c>
      <c r="E558">
        <v>1.5513686746508171</v>
      </c>
    </row>
    <row r="559" spans="1:5">
      <c r="A559" t="s">
        <v>44</v>
      </c>
      <c r="B559" t="s">
        <v>49</v>
      </c>
      <c r="C559" t="s">
        <v>11</v>
      </c>
      <c r="D559">
        <f>_xlfn.T.TEST(per_seed!$L$2:$L$11,per_seed!$L$72:$L$81,2,1)</f>
        <v>0.50628921205881006</v>
      </c>
      <c r="E559">
        <v>0.50628921205880628</v>
      </c>
    </row>
    <row r="560" spans="1:5">
      <c r="A560" t="s">
        <v>42</v>
      </c>
      <c r="B560" t="s">
        <v>49</v>
      </c>
      <c r="C560" t="s">
        <v>12</v>
      </c>
      <c r="D560">
        <f>(AVERAGE(per_seed!$M$72:$M$81)-AVERAGE(per_seed!$M$2:$M$11))/AVERAGE(per_seed!$M$2:$M$11)*100</f>
        <v>-31.13101343763967</v>
      </c>
      <c r="E560">
        <v>-31.131013437639702</v>
      </c>
    </row>
    <row r="561" spans="1:5">
      <c r="A561" t="s">
        <v>44</v>
      </c>
      <c r="B561" t="s">
        <v>49</v>
      </c>
      <c r="C561" t="s">
        <v>12</v>
      </c>
      <c r="D561">
        <f>_xlfn.T.TEST(per_seed!$M$2:$M$11,per_seed!$M$72:$M$81,2,1)</f>
        <v>2.8529048530000386E-5</v>
      </c>
      <c r="E561">
        <v>2.852904853000025E-5</v>
      </c>
    </row>
    <row r="562" spans="1:5">
      <c r="A562" t="s">
        <v>42</v>
      </c>
      <c r="B562" t="s">
        <v>50</v>
      </c>
      <c r="C562" t="s">
        <v>3</v>
      </c>
      <c r="D562">
        <f>(AVERAGE(per_seed!$D$82:$D$91)-AVERAGE(per_seed!$D$2:$D$11))/AVERAGE(per_seed!$D$2:$D$11)*100</f>
        <v>8.9165867689357583</v>
      </c>
      <c r="E562">
        <v>8.9165867689357583</v>
      </c>
    </row>
    <row r="563" spans="1:5">
      <c r="A563" t="s">
        <v>44</v>
      </c>
      <c r="B563" t="s">
        <v>50</v>
      </c>
      <c r="C563" t="s">
        <v>3</v>
      </c>
      <c r="D563">
        <f>_xlfn.T.TEST(per_seed!$D$2:$D$11,per_seed!$D$82:$D$91,2,1)</f>
        <v>2.0756740110886401E-5</v>
      </c>
      <c r="E563">
        <v>2.075674011088634E-5</v>
      </c>
    </row>
    <row r="564" spans="1:5">
      <c r="A564" t="s">
        <v>42</v>
      </c>
      <c r="B564" t="s">
        <v>50</v>
      </c>
      <c r="C564" t="s">
        <v>4</v>
      </c>
      <c r="D564">
        <f>(AVERAGE(per_seed!$E$82:$E$91)-AVERAGE(per_seed!$E$2:$E$11))/AVERAGE(per_seed!$E$2:$E$11)*100</f>
        <v>9.1431626787862559</v>
      </c>
      <c r="E564">
        <v>9.1431626787862559</v>
      </c>
    </row>
    <row r="565" spans="1:5">
      <c r="A565" t="s">
        <v>44</v>
      </c>
      <c r="B565" t="s">
        <v>50</v>
      </c>
      <c r="C565" t="s">
        <v>4</v>
      </c>
      <c r="D565">
        <f>_xlfn.T.TEST(per_seed!$E$2:$E$11,per_seed!$E$82:$E$91,2,1)</f>
        <v>1.374983748112704E-5</v>
      </c>
      <c r="E565">
        <v>1.3749837481127001E-5</v>
      </c>
    </row>
    <row r="566" spans="1:5">
      <c r="A566" t="s">
        <v>42</v>
      </c>
      <c r="B566" t="s">
        <v>50</v>
      </c>
      <c r="C566" t="s">
        <v>5</v>
      </c>
      <c r="D566">
        <f>(AVERAGE(per_seed!$F$82:$F$91)-AVERAGE(per_seed!$F$2:$F$11))/AVERAGE(per_seed!$F$2:$F$11)*100</f>
        <v>8.7729357798165086</v>
      </c>
      <c r="E566">
        <v>8.7729357798165086</v>
      </c>
    </row>
    <row r="567" spans="1:5">
      <c r="A567" t="s">
        <v>44</v>
      </c>
      <c r="B567" t="s">
        <v>50</v>
      </c>
      <c r="C567" t="s">
        <v>5</v>
      </c>
      <c r="D567">
        <f>_xlfn.T.TEST(per_seed!$F$2:$F$11,per_seed!$F$82:$F$91,2,1)</f>
        <v>1.8447181261845307E-5</v>
      </c>
      <c r="E567">
        <v>1.8447181261845199E-5</v>
      </c>
    </row>
    <row r="568" spans="1:5">
      <c r="A568" t="s">
        <v>42</v>
      </c>
      <c r="B568" t="s">
        <v>50</v>
      </c>
      <c r="C568" t="s">
        <v>6</v>
      </c>
      <c r="D568">
        <f>(AVERAGE(per_seed!$G$82:$G$91)-AVERAGE(per_seed!$G$2:$G$11))/AVERAGE(per_seed!$G$2:$G$11)*100</f>
        <v>19.199966359997568</v>
      </c>
      <c r="E568">
        <v>19.199966359997578</v>
      </c>
    </row>
    <row r="569" spans="1:5">
      <c r="A569" t="s">
        <v>44</v>
      </c>
      <c r="B569" t="s">
        <v>50</v>
      </c>
      <c r="C569" t="s">
        <v>6</v>
      </c>
      <c r="D569">
        <f>_xlfn.T.TEST(per_seed!$G$2:$G$11,per_seed!$G$82:$G$91,2,1)</f>
        <v>1.8976466646359673E-6</v>
      </c>
      <c r="E569">
        <v>1.897646664635955E-6</v>
      </c>
    </row>
    <row r="570" spans="1:5">
      <c r="A570" t="s">
        <v>42</v>
      </c>
      <c r="B570" t="s">
        <v>50</v>
      </c>
      <c r="C570" t="s">
        <v>7</v>
      </c>
      <c r="D570">
        <f>(AVERAGE(per_seed!$H$82:$H$91)-AVERAGE(per_seed!$H$2:$H$11))/AVERAGE(per_seed!$H$2:$H$11)*100</f>
        <v>-8.7750294464075402</v>
      </c>
      <c r="E570">
        <v>-8.7750294464075402</v>
      </c>
    </row>
    <row r="571" spans="1:5">
      <c r="A571" t="s">
        <v>44</v>
      </c>
      <c r="B571" t="s">
        <v>50</v>
      </c>
      <c r="C571" t="s">
        <v>7</v>
      </c>
      <c r="D571">
        <f>_xlfn.T.TEST(per_seed!$H$2:$H$11,per_seed!$H$82:$H$91,2,1)</f>
        <v>2.2171185445055407E-4</v>
      </c>
      <c r="E571">
        <v>2.2171185445055459E-4</v>
      </c>
    </row>
    <row r="572" spans="1:5">
      <c r="A572" t="s">
        <v>42</v>
      </c>
      <c r="B572" t="s">
        <v>50</v>
      </c>
      <c r="C572" t="s">
        <v>8</v>
      </c>
      <c r="D572">
        <f>(AVERAGE(per_seed!$I$82:$I$91)-AVERAGE(per_seed!$I$2:$I$11))/AVERAGE(per_seed!$I$2:$I$11)*100</f>
        <v>-16.219065676140385</v>
      </c>
      <c r="E572">
        <v>-16.219065676140399</v>
      </c>
    </row>
    <row r="573" spans="1:5">
      <c r="A573" t="s">
        <v>44</v>
      </c>
      <c r="B573" t="s">
        <v>50</v>
      </c>
      <c r="C573" t="s">
        <v>8</v>
      </c>
      <c r="D573">
        <f>_xlfn.T.TEST(per_seed!$I$2:$I$11,per_seed!$I$82:$I$91,2,1)</f>
        <v>3.6612475415657093E-6</v>
      </c>
      <c r="E573">
        <v>3.661247541565706E-6</v>
      </c>
    </row>
    <row r="574" spans="1:5">
      <c r="A574" t="s">
        <v>42</v>
      </c>
      <c r="B574" t="s">
        <v>50</v>
      </c>
      <c r="C574" t="s">
        <v>9</v>
      </c>
      <c r="D574">
        <f>(AVERAGE(per_seed!$J$82:$J$91)-AVERAGE(per_seed!$J$2:$J$11))/AVERAGE(per_seed!$J$2:$J$11)*100</f>
        <v>-7.9064052683571431</v>
      </c>
      <c r="E574">
        <v>-7.9064052683571431</v>
      </c>
    </row>
    <row r="575" spans="1:5">
      <c r="A575" t="s">
        <v>44</v>
      </c>
      <c r="B575" t="s">
        <v>50</v>
      </c>
      <c r="C575" t="s">
        <v>9</v>
      </c>
      <c r="D575">
        <f>_xlfn.T.TEST(per_seed!$J$2:$J$11,per_seed!$J$82:$J$91,2,1)</f>
        <v>1.2763243614275534E-3</v>
      </c>
      <c r="E575">
        <v>1.276324361427525E-3</v>
      </c>
    </row>
    <row r="576" spans="1:5">
      <c r="A576" t="s">
        <v>42</v>
      </c>
      <c r="B576" t="s">
        <v>50</v>
      </c>
      <c r="C576" t="s">
        <v>10</v>
      </c>
      <c r="D576">
        <f>(AVERAGE(per_seed!$K$82:$K$91)-AVERAGE(per_seed!$K$2:$K$11))/AVERAGE(per_seed!$K$2:$K$11)*100</f>
        <v>-9.1009274534017379</v>
      </c>
      <c r="E576">
        <v>-9.1009274534017379</v>
      </c>
    </row>
    <row r="577" spans="1:5">
      <c r="A577" t="s">
        <v>44</v>
      </c>
      <c r="B577" t="s">
        <v>50</v>
      </c>
      <c r="C577" t="s">
        <v>10</v>
      </c>
      <c r="D577">
        <f>_xlfn.T.TEST(per_seed!$K$2:$K$11,per_seed!$K$82:$K$91,2,1)</f>
        <v>7.3692153470295094E-4</v>
      </c>
      <c r="E577">
        <v>7.3692153470293728E-4</v>
      </c>
    </row>
    <row r="578" spans="1:5">
      <c r="A578" t="s">
        <v>42</v>
      </c>
      <c r="B578" t="s">
        <v>50</v>
      </c>
      <c r="C578" t="s">
        <v>11</v>
      </c>
      <c r="D578">
        <f>(AVERAGE(per_seed!$L$82:$L$91)-AVERAGE(per_seed!$L$2:$L$11))/AVERAGE(per_seed!$L$2:$L$11)*100</f>
        <v>-0.34191349084253952</v>
      </c>
      <c r="E578">
        <v>-0.34191349084253952</v>
      </c>
    </row>
    <row r="579" spans="1:5">
      <c r="A579" t="s">
        <v>44</v>
      </c>
      <c r="B579" t="s">
        <v>50</v>
      </c>
      <c r="C579" t="s">
        <v>11</v>
      </c>
      <c r="D579">
        <f>_xlfn.T.TEST(per_seed!$L$2:$L$11,per_seed!$L$82:$L$91,2,1)</f>
        <v>0.91638008787986713</v>
      </c>
      <c r="E579">
        <v>0.91638008787986547</v>
      </c>
    </row>
    <row r="580" spans="1:5">
      <c r="A580" t="s">
        <v>42</v>
      </c>
      <c r="B580" t="s">
        <v>50</v>
      </c>
      <c r="C580" t="s">
        <v>12</v>
      </c>
      <c r="D580">
        <f>(AVERAGE(per_seed!$M$82:$M$91)-AVERAGE(per_seed!$M$2:$M$11))/AVERAGE(per_seed!$M$2:$M$11)*100</f>
        <v>-34.820704816877885</v>
      </c>
      <c r="E580">
        <v>-34.820704816877921</v>
      </c>
    </row>
    <row r="581" spans="1:5">
      <c r="A581" t="s">
        <v>44</v>
      </c>
      <c r="B581" t="s">
        <v>50</v>
      </c>
      <c r="C581" t="s">
        <v>12</v>
      </c>
      <c r="D581">
        <f>_xlfn.T.TEST(per_seed!$M$2:$M$11,per_seed!$M$82:$M$91,2,1)</f>
        <v>2.0307900461292252E-5</v>
      </c>
      <c r="E581">
        <v>2.0307900461292011E-5</v>
      </c>
    </row>
    <row r="582" spans="1:5">
      <c r="A582" t="s">
        <v>42</v>
      </c>
      <c r="B582" t="s">
        <v>51</v>
      </c>
      <c r="C582" t="s">
        <v>3</v>
      </c>
      <c r="D582">
        <f>(AVERAGE(per_seed!$D$92:$D$101)-AVERAGE(per_seed!$D$2:$D$11))/AVERAGE(per_seed!$D$2:$D$11)*100</f>
        <v>-7.4174147999651279</v>
      </c>
      <c r="E582">
        <v>-7.4174147999651279</v>
      </c>
    </row>
    <row r="583" spans="1:5">
      <c r="A583" t="s">
        <v>44</v>
      </c>
      <c r="B583" t="s">
        <v>51</v>
      </c>
      <c r="C583" t="s">
        <v>3</v>
      </c>
      <c r="D583">
        <f>_xlfn.T.TEST(per_seed!$D$2:$D$11,per_seed!$D$92:$D$101,2,1)</f>
        <v>3.3920417007017527E-2</v>
      </c>
      <c r="E583">
        <v>3.3920417007017402E-2</v>
      </c>
    </row>
    <row r="584" spans="1:5">
      <c r="A584" t="s">
        <v>42</v>
      </c>
      <c r="B584" t="s">
        <v>51</v>
      </c>
      <c r="C584" t="s">
        <v>4</v>
      </c>
      <c r="D584">
        <f>(AVERAGE(per_seed!$E$92:$E$101)-AVERAGE(per_seed!$E$2:$E$11))/AVERAGE(per_seed!$E$2:$E$11)*100</f>
        <v>-7.405427081940914</v>
      </c>
      <c r="E584">
        <v>-7.405427081940914</v>
      </c>
    </row>
    <row r="585" spans="1:5">
      <c r="A585" t="s">
        <v>44</v>
      </c>
      <c r="B585" t="s">
        <v>51</v>
      </c>
      <c r="C585" t="s">
        <v>4</v>
      </c>
      <c r="D585">
        <f>_xlfn.T.TEST(per_seed!$E$2:$E$11,per_seed!$E$92:$E$101,2,1)</f>
        <v>4.0837959006131179E-2</v>
      </c>
      <c r="E585">
        <v>4.0837959006131103E-2</v>
      </c>
    </row>
    <row r="586" spans="1:5">
      <c r="A586" t="s">
        <v>42</v>
      </c>
      <c r="B586" t="s">
        <v>51</v>
      </c>
      <c r="C586" t="s">
        <v>5</v>
      </c>
      <c r="D586">
        <f>(AVERAGE(per_seed!$F$92:$F$101)-AVERAGE(per_seed!$F$2:$F$11))/AVERAGE(per_seed!$F$2:$F$11)*100</f>
        <v>-7.1483180428134618</v>
      </c>
      <c r="E586">
        <v>-7.1483180428134618</v>
      </c>
    </row>
    <row r="587" spans="1:5">
      <c r="A587" t="s">
        <v>44</v>
      </c>
      <c r="B587" t="s">
        <v>51</v>
      </c>
      <c r="C587" t="s">
        <v>5</v>
      </c>
      <c r="D587">
        <f>_xlfn.T.TEST(per_seed!$F$2:$F$11,per_seed!$F$92:$F$101,2,1)</f>
        <v>3.2470695881157814E-2</v>
      </c>
      <c r="E587">
        <v>3.2470695881157897E-2</v>
      </c>
    </row>
    <row r="588" spans="1:5">
      <c r="A588" t="s">
        <v>42</v>
      </c>
      <c r="B588" t="s">
        <v>51</v>
      </c>
      <c r="C588" t="s">
        <v>6</v>
      </c>
      <c r="D588">
        <f>(AVERAGE(per_seed!$G$92:$G$101)-AVERAGE(per_seed!$G$2:$G$11))/AVERAGE(per_seed!$G$2:$G$11)*100</f>
        <v>14.633357300005134</v>
      </c>
      <c r="E588">
        <v>14.63335730000512</v>
      </c>
    </row>
    <row r="589" spans="1:5">
      <c r="A589" t="s">
        <v>44</v>
      </c>
      <c r="B589" t="s">
        <v>51</v>
      </c>
      <c r="C589" t="s">
        <v>6</v>
      </c>
      <c r="D589">
        <f>_xlfn.T.TEST(per_seed!$G$2:$G$11,per_seed!$G$92:$G$101,2,1)</f>
        <v>6.5024449646808957E-6</v>
      </c>
      <c r="E589">
        <v>6.5024449646810313E-6</v>
      </c>
    </row>
    <row r="590" spans="1:5">
      <c r="A590" t="s">
        <v>42</v>
      </c>
      <c r="B590" t="s">
        <v>51</v>
      </c>
      <c r="C590" t="s">
        <v>7</v>
      </c>
      <c r="D590">
        <f>(AVERAGE(per_seed!$H$92:$H$101)-AVERAGE(per_seed!$H$2:$H$11))/AVERAGE(per_seed!$H$2:$H$11)*100</f>
        <v>-18.786808009422852</v>
      </c>
      <c r="E590">
        <v>-18.786808009422849</v>
      </c>
    </row>
    <row r="591" spans="1:5">
      <c r="A591" t="s">
        <v>44</v>
      </c>
      <c r="B591" t="s">
        <v>51</v>
      </c>
      <c r="C591" t="s">
        <v>7</v>
      </c>
      <c r="D591">
        <f>_xlfn.T.TEST(per_seed!$H$2:$H$11,per_seed!$H$92:$H$101,2,1)</f>
        <v>9.8274769161691791E-5</v>
      </c>
      <c r="E591">
        <v>9.8274769161691751E-5</v>
      </c>
    </row>
    <row r="592" spans="1:5">
      <c r="A592" t="s">
        <v>42</v>
      </c>
      <c r="B592" t="s">
        <v>51</v>
      </c>
      <c r="C592" t="s">
        <v>8</v>
      </c>
      <c r="D592">
        <f>(AVERAGE(per_seed!$I$92:$I$101)-AVERAGE(per_seed!$I$2:$I$11))/AVERAGE(per_seed!$I$2:$I$11)*100</f>
        <v>-12.715933760523127</v>
      </c>
      <c r="E592">
        <v>-12.715933760523161</v>
      </c>
    </row>
    <row r="593" spans="1:5">
      <c r="A593" t="s">
        <v>44</v>
      </c>
      <c r="B593" t="s">
        <v>51</v>
      </c>
      <c r="C593" t="s">
        <v>8</v>
      </c>
      <c r="D593">
        <f>_xlfn.T.TEST(per_seed!$I$2:$I$11,per_seed!$I$92:$I$101,2,1)</f>
        <v>4.216043314883392E-6</v>
      </c>
      <c r="E593">
        <v>4.2160433148832734E-6</v>
      </c>
    </row>
    <row r="594" spans="1:5">
      <c r="A594" t="s">
        <v>42</v>
      </c>
      <c r="B594" t="s">
        <v>51</v>
      </c>
      <c r="C594" t="s">
        <v>9</v>
      </c>
      <c r="D594">
        <f>(AVERAGE(per_seed!$J$92:$J$101)-AVERAGE(per_seed!$J$2:$J$11))/AVERAGE(per_seed!$J$2:$J$11)*100</f>
        <v>-4.0737416205686179</v>
      </c>
      <c r="E594">
        <v>-4.0737416205686179</v>
      </c>
    </row>
    <row r="595" spans="1:5">
      <c r="A595" t="s">
        <v>44</v>
      </c>
      <c r="B595" t="s">
        <v>51</v>
      </c>
      <c r="C595" t="s">
        <v>9</v>
      </c>
      <c r="D595">
        <f>_xlfn.T.TEST(per_seed!$J$2:$J$11,per_seed!$J$92:$J$101,2,1)</f>
        <v>2.0507965997078874E-2</v>
      </c>
      <c r="E595">
        <v>2.0507965997078541E-2</v>
      </c>
    </row>
    <row r="596" spans="1:5">
      <c r="A596" t="s">
        <v>42</v>
      </c>
      <c r="B596" t="s">
        <v>51</v>
      </c>
      <c r="C596" t="s">
        <v>10</v>
      </c>
      <c r="D596">
        <f>(AVERAGE(per_seed!$K$92:$K$101)-AVERAGE(per_seed!$K$2:$K$11))/AVERAGE(per_seed!$K$2:$K$11)*100</f>
        <v>-5.136240108718658</v>
      </c>
      <c r="E596">
        <v>-5.136240108718658</v>
      </c>
    </row>
    <row r="597" spans="1:5">
      <c r="A597" t="s">
        <v>44</v>
      </c>
      <c r="B597" t="s">
        <v>51</v>
      </c>
      <c r="C597" t="s">
        <v>10</v>
      </c>
      <c r="D597">
        <f>_xlfn.T.TEST(per_seed!$K$2:$K$11,per_seed!$K$92:$K$101,2,1)</f>
        <v>2.5838371130163162E-3</v>
      </c>
      <c r="E597">
        <v>2.5838371130162711E-3</v>
      </c>
    </row>
    <row r="598" spans="1:5">
      <c r="A598" t="s">
        <v>42</v>
      </c>
      <c r="B598" t="s">
        <v>51</v>
      </c>
      <c r="C598" t="s">
        <v>11</v>
      </c>
      <c r="D598">
        <f>(AVERAGE(per_seed!$L$92:$L$101)-AVERAGE(per_seed!$L$2:$L$11))/AVERAGE(per_seed!$L$2:$L$11)*100</f>
        <v>4.4979485190962585</v>
      </c>
      <c r="E598">
        <v>4.4979485190962576</v>
      </c>
    </row>
    <row r="599" spans="1:5">
      <c r="A599" t="s">
        <v>44</v>
      </c>
      <c r="B599" t="s">
        <v>51</v>
      </c>
      <c r="C599" t="s">
        <v>11</v>
      </c>
      <c r="D599">
        <f>_xlfn.T.TEST(per_seed!$L$2:$L$11,per_seed!$L$92:$L$101,2,1)</f>
        <v>0.23302076042730116</v>
      </c>
      <c r="E599">
        <v>0.23302076042730061</v>
      </c>
    </row>
    <row r="600" spans="1:5">
      <c r="A600" t="s">
        <v>42</v>
      </c>
      <c r="B600" t="s">
        <v>51</v>
      </c>
      <c r="C600" t="s">
        <v>12</v>
      </c>
      <c r="D600">
        <f>(AVERAGE(per_seed!$M$92:$M$101)-AVERAGE(per_seed!$M$2:$M$11))/AVERAGE(per_seed!$M$2:$M$11)*100</f>
        <v>28.839653272755811</v>
      </c>
      <c r="E600">
        <v>28.839653272755779</v>
      </c>
    </row>
    <row r="601" spans="1:5">
      <c r="A601" t="s">
        <v>44</v>
      </c>
      <c r="B601" t="s">
        <v>51</v>
      </c>
      <c r="C601" t="s">
        <v>12</v>
      </c>
      <c r="D601">
        <f>_xlfn.T.TEST(per_seed!$M$2:$M$11,per_seed!$M$92:$M$101,2,1)</f>
        <v>3.4361285132670866E-2</v>
      </c>
      <c r="E601">
        <v>3.43612851326709E-2</v>
      </c>
    </row>
    <row r="602" spans="1:5">
      <c r="A602" t="s">
        <v>42</v>
      </c>
      <c r="B602" t="s">
        <v>52</v>
      </c>
      <c r="C602" t="s">
        <v>3</v>
      </c>
      <c r="D602">
        <f>(AVERAGE(per_seed!$D$102:$D$111)-AVERAGE(per_seed!$D$2:$D$11))/AVERAGE(per_seed!$D$2:$D$11)*100</f>
        <v>4.3929225137278909</v>
      </c>
      <c r="E602">
        <v>4.3929225137278909</v>
      </c>
    </row>
    <row r="603" spans="1:5">
      <c r="A603" t="s">
        <v>44</v>
      </c>
      <c r="B603" t="s">
        <v>52</v>
      </c>
      <c r="C603" t="s">
        <v>3</v>
      </c>
      <c r="D603">
        <f>_xlfn.T.TEST(per_seed!$D$2:$D$11,per_seed!$D$102:$D$111,2,1)</f>
        <v>1.2230645989984225E-2</v>
      </c>
      <c r="E603">
        <v>1.2230645989984331E-2</v>
      </c>
    </row>
    <row r="604" spans="1:5">
      <c r="A604" t="s">
        <v>42</v>
      </c>
      <c r="B604" t="s">
        <v>52</v>
      </c>
      <c r="C604" t="s">
        <v>4</v>
      </c>
      <c r="D604">
        <f>(AVERAGE(per_seed!$E$102:$E$111)-AVERAGE(per_seed!$E$2:$E$11))/AVERAGE(per_seed!$E$2:$E$11)*100</f>
        <v>4.3710733859109654</v>
      </c>
      <c r="E604">
        <v>4.3710733859109654</v>
      </c>
    </row>
    <row r="605" spans="1:5">
      <c r="A605" t="s">
        <v>44</v>
      </c>
      <c r="B605" t="s">
        <v>52</v>
      </c>
      <c r="C605" t="s">
        <v>4</v>
      </c>
      <c r="D605">
        <f>_xlfn.T.TEST(per_seed!$E$2:$E$11,per_seed!$E$102:$E$111,2,1)</f>
        <v>2.0462666844357012E-2</v>
      </c>
      <c r="E605">
        <v>2.046266684435679E-2</v>
      </c>
    </row>
    <row r="606" spans="1:5">
      <c r="A606" t="s">
        <v>42</v>
      </c>
      <c r="B606" t="s">
        <v>52</v>
      </c>
      <c r="C606" t="s">
        <v>5</v>
      </c>
      <c r="D606">
        <f>(AVERAGE(per_seed!$F$102:$F$111)-AVERAGE(per_seed!$F$2:$F$11))/AVERAGE(per_seed!$F$2:$F$11)*100</f>
        <v>3.8990825688073349</v>
      </c>
      <c r="E606">
        <v>3.8990825688073349</v>
      </c>
    </row>
    <row r="607" spans="1:5">
      <c r="A607" t="s">
        <v>44</v>
      </c>
      <c r="B607" t="s">
        <v>52</v>
      </c>
      <c r="C607" t="s">
        <v>5</v>
      </c>
      <c r="D607">
        <f>_xlfn.T.TEST(per_seed!$F$2:$F$11,per_seed!$F$102:$F$111,2,1)</f>
        <v>4.6652040260473489E-2</v>
      </c>
      <c r="E607">
        <v>4.6652040260473308E-2</v>
      </c>
    </row>
    <row r="608" spans="1:5">
      <c r="A608" t="s">
        <v>42</v>
      </c>
      <c r="B608" t="s">
        <v>52</v>
      </c>
      <c r="C608" t="s">
        <v>6</v>
      </c>
      <c r="D608">
        <f>(AVERAGE(per_seed!$G$102:$G$111)-AVERAGE(per_seed!$G$2:$G$11))/AVERAGE(per_seed!$G$2:$G$11)*100</f>
        <v>17.320149893724192</v>
      </c>
      <c r="E608">
        <v>17.32014989372416</v>
      </c>
    </row>
    <row r="609" spans="1:5">
      <c r="A609" t="s">
        <v>44</v>
      </c>
      <c r="B609" t="s">
        <v>52</v>
      </c>
      <c r="C609" t="s">
        <v>6</v>
      </c>
      <c r="D609">
        <f>_xlfn.T.TEST(per_seed!$G$2:$G$11,per_seed!$G$102:$G$111,2,1)</f>
        <v>1.094371358909455E-6</v>
      </c>
      <c r="E609">
        <v>1.094371358909456E-6</v>
      </c>
    </row>
    <row r="610" spans="1:5">
      <c r="A610" t="s">
        <v>42</v>
      </c>
      <c r="B610" t="s">
        <v>52</v>
      </c>
      <c r="C610" t="s">
        <v>7</v>
      </c>
      <c r="D610">
        <f>(AVERAGE(per_seed!$H$102:$H$111)-AVERAGE(per_seed!$H$2:$H$11))/AVERAGE(per_seed!$H$2:$H$11)*100</f>
        <v>-11.425206124852769</v>
      </c>
      <c r="E610">
        <v>-11.425206124852769</v>
      </c>
    </row>
    <row r="611" spans="1:5">
      <c r="A611" t="s">
        <v>44</v>
      </c>
      <c r="B611" t="s">
        <v>52</v>
      </c>
      <c r="C611" t="s">
        <v>7</v>
      </c>
      <c r="D611">
        <f>_xlfn.T.TEST(per_seed!$H$2:$H$11,per_seed!$H$102:$H$111,2,1)</f>
        <v>1.29559598975524E-4</v>
      </c>
      <c r="E611">
        <v>1.29559598975524E-4</v>
      </c>
    </row>
    <row r="612" spans="1:5">
      <c r="A612" t="s">
        <v>42</v>
      </c>
      <c r="B612" t="s">
        <v>52</v>
      </c>
      <c r="C612" t="s">
        <v>8</v>
      </c>
      <c r="D612">
        <f>(AVERAGE(per_seed!$I$102:$I$111)-AVERAGE(per_seed!$I$2:$I$11))/AVERAGE(per_seed!$I$2:$I$11)*100</f>
        <v>-14.893193784127412</v>
      </c>
      <c r="E612">
        <v>-14.89319378412743</v>
      </c>
    </row>
    <row r="613" spans="1:5">
      <c r="A613" t="s">
        <v>44</v>
      </c>
      <c r="B613" t="s">
        <v>52</v>
      </c>
      <c r="C613" t="s">
        <v>8</v>
      </c>
      <c r="D613">
        <f>_xlfn.T.TEST(per_seed!$I$2:$I$11,per_seed!$I$102:$I$111,2,1)</f>
        <v>2.4343656406064263E-6</v>
      </c>
      <c r="E613">
        <v>2.4343656406063759E-6</v>
      </c>
    </row>
    <row r="614" spans="1:5">
      <c r="A614" t="s">
        <v>42</v>
      </c>
      <c r="B614" t="s">
        <v>52</v>
      </c>
      <c r="C614" t="s">
        <v>9</v>
      </c>
      <c r="D614">
        <f>(AVERAGE(per_seed!$J$102:$J$111)-AVERAGE(per_seed!$J$2:$J$11))/AVERAGE(per_seed!$J$2:$J$11)*100</f>
        <v>-8.4087707436229255</v>
      </c>
      <c r="E614">
        <v>-8.4087707436229486</v>
      </c>
    </row>
    <row r="615" spans="1:5">
      <c r="A615" t="s">
        <v>44</v>
      </c>
      <c r="B615" t="s">
        <v>52</v>
      </c>
      <c r="C615" t="s">
        <v>9</v>
      </c>
      <c r="D615">
        <f>_xlfn.T.TEST(per_seed!$J$2:$J$11,per_seed!$J$102:$J$111,2,1)</f>
        <v>9.6888285252041902E-5</v>
      </c>
      <c r="E615">
        <v>9.6888285252038893E-5</v>
      </c>
    </row>
    <row r="616" spans="1:5">
      <c r="A616" t="s">
        <v>42</v>
      </c>
      <c r="B616" t="s">
        <v>52</v>
      </c>
      <c r="C616" t="s">
        <v>10</v>
      </c>
      <c r="D616">
        <f>(AVERAGE(per_seed!$K$102:$K$111)-AVERAGE(per_seed!$K$2:$K$11))/AVERAGE(per_seed!$K$2:$K$11)*100</f>
        <v>-9.0717565881491744</v>
      </c>
      <c r="E616">
        <v>-9.0717565881491868</v>
      </c>
    </row>
    <row r="617" spans="1:5">
      <c r="A617" t="s">
        <v>44</v>
      </c>
      <c r="B617" t="s">
        <v>52</v>
      </c>
      <c r="C617" t="s">
        <v>10</v>
      </c>
      <c r="D617">
        <f>_xlfn.T.TEST(per_seed!$K$2:$K$11,per_seed!$K$102:$K$111,2,1)</f>
        <v>1.746252426873357E-4</v>
      </c>
      <c r="E617">
        <v>1.7462524268733201E-4</v>
      </c>
    </row>
    <row r="618" spans="1:5">
      <c r="A618" t="s">
        <v>42</v>
      </c>
      <c r="B618" t="s">
        <v>52</v>
      </c>
      <c r="C618" t="s">
        <v>11</v>
      </c>
      <c r="D618">
        <f>(AVERAGE(per_seed!$L$102:$L$111)-AVERAGE(per_seed!$L$2:$L$11))/AVERAGE(per_seed!$L$2:$L$11)*100</f>
        <v>3.8120802629863939</v>
      </c>
      <c r="E618">
        <v>3.812080262986421</v>
      </c>
    </row>
    <row r="619" spans="1:5">
      <c r="A619" t="s">
        <v>44</v>
      </c>
      <c r="B619" t="s">
        <v>52</v>
      </c>
      <c r="C619" t="s">
        <v>11</v>
      </c>
      <c r="D619">
        <f>_xlfn.T.TEST(per_seed!$L$2:$L$11,per_seed!$L$102:$L$111,2,1)</f>
        <v>0.17548379417430468</v>
      </c>
      <c r="E619">
        <v>0.17548379417430249</v>
      </c>
    </row>
    <row r="620" spans="1:5">
      <c r="A620" t="s">
        <v>42</v>
      </c>
      <c r="B620" t="s">
        <v>52</v>
      </c>
      <c r="C620" t="s">
        <v>12</v>
      </c>
      <c r="D620">
        <f>(AVERAGE(per_seed!$M$102:$M$111)-AVERAGE(per_seed!$M$2:$M$11))/AVERAGE(per_seed!$M$2:$M$11)*100</f>
        <v>-17.152095223945249</v>
      </c>
      <c r="E620">
        <v>-17.15209522394526</v>
      </c>
    </row>
    <row r="621" spans="1:5">
      <c r="A621" t="s">
        <v>44</v>
      </c>
      <c r="B621" t="s">
        <v>52</v>
      </c>
      <c r="C621" t="s">
        <v>12</v>
      </c>
      <c r="D621">
        <f>_xlfn.T.TEST(per_seed!$M$2:$M$11,per_seed!$M$102:$M$111,2,1)</f>
        <v>1.2281788122112704E-2</v>
      </c>
      <c r="E621">
        <v>1.228178812211262E-2</v>
      </c>
    </row>
    <row r="622" spans="1:5">
      <c r="A622" t="s">
        <v>42</v>
      </c>
      <c r="B622" t="s">
        <v>53</v>
      </c>
      <c r="C622" t="s">
        <v>3</v>
      </c>
      <c r="D622">
        <f>(AVERAGE(per_seed!$D$112:$D$121)-AVERAGE(per_seed!$D$2:$D$11))/AVERAGE(per_seed!$D$2:$D$11)*100</f>
        <v>8.2018652488451256</v>
      </c>
      <c r="E622">
        <v>8.2018652488451256</v>
      </c>
    </row>
    <row r="623" spans="1:5">
      <c r="A623" t="s">
        <v>44</v>
      </c>
      <c r="B623" t="s">
        <v>53</v>
      </c>
      <c r="C623" t="s">
        <v>3</v>
      </c>
      <c r="D623">
        <f>_xlfn.T.TEST(per_seed!$D$2:$D$11,per_seed!$D$112:$D$121,2,1)</f>
        <v>1.3790652405778304E-4</v>
      </c>
      <c r="E623">
        <v>1.3790652405778461E-4</v>
      </c>
    </row>
    <row r="624" spans="1:5">
      <c r="A624" t="s">
        <v>42</v>
      </c>
      <c r="B624" t="s">
        <v>53</v>
      </c>
      <c r="C624" t="s">
        <v>4</v>
      </c>
      <c r="D624">
        <f>(AVERAGE(per_seed!$E$112:$E$121)-AVERAGE(per_seed!$E$2:$E$11))/AVERAGE(per_seed!$E$2:$E$11)*100</f>
        <v>8.2876620772623983</v>
      </c>
      <c r="E624">
        <v>8.2876620772623983</v>
      </c>
    </row>
    <row r="625" spans="1:5">
      <c r="A625" t="s">
        <v>44</v>
      </c>
      <c r="B625" t="s">
        <v>53</v>
      </c>
      <c r="C625" t="s">
        <v>4</v>
      </c>
      <c r="D625">
        <f>_xlfn.T.TEST(per_seed!$E$2:$E$11,per_seed!$E$112:$E$121,2,1)</f>
        <v>1.3207411845717518E-4</v>
      </c>
      <c r="E625">
        <v>1.320741184571751E-4</v>
      </c>
    </row>
    <row r="626" spans="1:5">
      <c r="A626" t="s">
        <v>42</v>
      </c>
      <c r="B626" t="s">
        <v>53</v>
      </c>
      <c r="C626" t="s">
        <v>5</v>
      </c>
      <c r="D626">
        <f>(AVERAGE(per_seed!$F$112:$F$121)-AVERAGE(per_seed!$F$2:$F$11))/AVERAGE(per_seed!$F$2:$F$11)*100</f>
        <v>7.8172782874617681</v>
      </c>
      <c r="E626">
        <v>7.8172782874617681</v>
      </c>
    </row>
    <row r="627" spans="1:5">
      <c r="A627" t="s">
        <v>44</v>
      </c>
      <c r="B627" t="s">
        <v>53</v>
      </c>
      <c r="C627" t="s">
        <v>5</v>
      </c>
      <c r="D627">
        <f>_xlfn.T.TEST(per_seed!$F$2:$F$11,per_seed!$F$112:$F$121,2,1)</f>
        <v>3.3579893352563012E-4</v>
      </c>
      <c r="E627">
        <v>3.3579893352562838E-4</v>
      </c>
    </row>
    <row r="628" spans="1:5">
      <c r="A628" t="s">
        <v>42</v>
      </c>
      <c r="B628" t="s">
        <v>53</v>
      </c>
      <c r="C628" t="s">
        <v>6</v>
      </c>
      <c r="D628">
        <f>(AVERAGE(per_seed!$G$112:$G$121)-AVERAGE(per_seed!$G$2:$G$11))/AVERAGE(per_seed!$G$2:$G$11)*100</f>
        <v>18.639587346057183</v>
      </c>
      <c r="E628">
        <v>18.639587346057169</v>
      </c>
    </row>
    <row r="629" spans="1:5">
      <c r="A629" t="s">
        <v>44</v>
      </c>
      <c r="B629" t="s">
        <v>53</v>
      </c>
      <c r="C629" t="s">
        <v>6</v>
      </c>
      <c r="D629">
        <f>_xlfn.T.TEST(per_seed!$G$2:$G$11,per_seed!$G$112:$G$121,2,1)</f>
        <v>1.557385585049777E-5</v>
      </c>
      <c r="E629">
        <v>1.5573855850497841E-5</v>
      </c>
    </row>
    <row r="630" spans="1:5">
      <c r="A630" t="s">
        <v>42</v>
      </c>
      <c r="B630" t="s">
        <v>53</v>
      </c>
      <c r="C630" t="s">
        <v>7</v>
      </c>
      <c r="D630">
        <f>(AVERAGE(per_seed!$H$112:$H$121)-AVERAGE(per_seed!$H$2:$H$11))/AVERAGE(per_seed!$H$2:$H$11)*100</f>
        <v>-9.0694935217903456</v>
      </c>
      <c r="E630">
        <v>-9.0694935217903456</v>
      </c>
    </row>
    <row r="631" spans="1:5">
      <c r="A631" t="s">
        <v>44</v>
      </c>
      <c r="B631" t="s">
        <v>53</v>
      </c>
      <c r="C631" t="s">
        <v>7</v>
      </c>
      <c r="D631">
        <f>_xlfn.T.TEST(per_seed!$H$2:$H$11,per_seed!$H$112:$H$121,2,1)</f>
        <v>2.4476470453463838E-4</v>
      </c>
      <c r="E631">
        <v>2.4476470453463827E-4</v>
      </c>
    </row>
    <row r="632" spans="1:5">
      <c r="A632" t="s">
        <v>42</v>
      </c>
      <c r="B632" t="s">
        <v>53</v>
      </c>
      <c r="C632" t="s">
        <v>8</v>
      </c>
      <c r="D632">
        <f>(AVERAGE(per_seed!$I$112:$I$121)-AVERAGE(per_seed!$I$2:$I$11))/AVERAGE(per_seed!$I$2:$I$11)*100</f>
        <v>-15.750301786928755</v>
      </c>
      <c r="E632">
        <v>-15.750301786928789</v>
      </c>
    </row>
    <row r="633" spans="1:5">
      <c r="A633" t="s">
        <v>44</v>
      </c>
      <c r="B633" t="s">
        <v>53</v>
      </c>
      <c r="C633" t="s">
        <v>8</v>
      </c>
      <c r="D633">
        <f>_xlfn.T.TEST(per_seed!$I$2:$I$11,per_seed!$I$112:$I$121,2,1)</f>
        <v>2.0924010373539187E-5</v>
      </c>
      <c r="E633">
        <v>2.0924010373538899E-5</v>
      </c>
    </row>
    <row r="634" spans="1:5">
      <c r="A634" t="s">
        <v>42</v>
      </c>
      <c r="B634" t="s">
        <v>53</v>
      </c>
      <c r="C634" t="s">
        <v>9</v>
      </c>
      <c r="D634">
        <f>(AVERAGE(per_seed!$J$112:$J$121)-AVERAGE(per_seed!$J$2:$J$11))/AVERAGE(per_seed!$J$2:$J$11)*100</f>
        <v>-8.7205020320594873</v>
      </c>
      <c r="E634">
        <v>-8.7205020320594606</v>
      </c>
    </row>
    <row r="635" spans="1:5">
      <c r="A635" t="s">
        <v>44</v>
      </c>
      <c r="B635" t="s">
        <v>53</v>
      </c>
      <c r="C635" t="s">
        <v>9</v>
      </c>
      <c r="D635">
        <f>_xlfn.T.TEST(per_seed!$J$2:$J$11,per_seed!$J$112:$J$121,2,1)</f>
        <v>8.9498732495552318E-4</v>
      </c>
      <c r="E635">
        <v>8.9498732495552069E-4</v>
      </c>
    </row>
    <row r="636" spans="1:5">
      <c r="A636" t="s">
        <v>42</v>
      </c>
      <c r="B636" t="s">
        <v>53</v>
      </c>
      <c r="C636" t="s">
        <v>10</v>
      </c>
      <c r="D636">
        <f>(AVERAGE(per_seed!$K$112:$K$121)-AVERAGE(per_seed!$K$2:$K$11))/AVERAGE(per_seed!$K$2:$K$11)*100</f>
        <v>-9.6712688812506187</v>
      </c>
      <c r="E636">
        <v>-9.6712688812506187</v>
      </c>
    </row>
    <row r="637" spans="1:5">
      <c r="A637" t="s">
        <v>44</v>
      </c>
      <c r="B637" t="s">
        <v>53</v>
      </c>
      <c r="C637" t="s">
        <v>10</v>
      </c>
      <c r="D637">
        <f>_xlfn.T.TEST(per_seed!$K$2:$K$11,per_seed!$K$112:$K$121,2,1)</f>
        <v>9.2359810960218321E-4</v>
      </c>
      <c r="E637">
        <v>9.2359810960217237E-4</v>
      </c>
    </row>
    <row r="638" spans="1:5">
      <c r="A638" t="s">
        <v>42</v>
      </c>
      <c r="B638" t="s">
        <v>53</v>
      </c>
      <c r="C638" t="s">
        <v>11</v>
      </c>
      <c r="D638">
        <f>(AVERAGE(per_seed!$L$112:$L$121)-AVERAGE(per_seed!$L$2:$L$11))/AVERAGE(per_seed!$L$2:$L$11)*100</f>
        <v>0.78078752401394935</v>
      </c>
      <c r="E638">
        <v>0.78078752401394935</v>
      </c>
    </row>
    <row r="639" spans="1:5">
      <c r="A639" t="s">
        <v>44</v>
      </c>
      <c r="B639" t="s">
        <v>53</v>
      </c>
      <c r="C639" t="s">
        <v>11</v>
      </c>
      <c r="D639">
        <f>_xlfn.T.TEST(per_seed!$L$2:$L$11,per_seed!$L$112:$L$121,2,1)</f>
        <v>0.72017711478212532</v>
      </c>
      <c r="E639">
        <v>0.72017711478212632</v>
      </c>
    </row>
    <row r="640" spans="1:5">
      <c r="A640" t="s">
        <v>42</v>
      </c>
      <c r="B640" t="s">
        <v>53</v>
      </c>
      <c r="C640" t="s">
        <v>12</v>
      </c>
      <c r="D640">
        <f>(AVERAGE(per_seed!$M$112:$M$121)-AVERAGE(per_seed!$M$2:$M$11))/AVERAGE(per_seed!$M$2:$M$11)*100</f>
        <v>-32.07025443882165</v>
      </c>
      <c r="E640">
        <v>-32.070254438821657</v>
      </c>
    </row>
    <row r="641" spans="1:5">
      <c r="A641" t="s">
        <v>44</v>
      </c>
      <c r="B641" t="s">
        <v>53</v>
      </c>
      <c r="C641" t="s">
        <v>12</v>
      </c>
      <c r="D641">
        <f>_xlfn.T.TEST(per_seed!$M$2:$M$11,per_seed!$M$112:$M$121,2,1)</f>
        <v>1.3338860939190658E-4</v>
      </c>
      <c r="E641">
        <v>1.3338860939190539E-4</v>
      </c>
    </row>
    <row r="642" spans="1:5">
      <c r="A642" t="s">
        <v>42</v>
      </c>
      <c r="B642" t="s">
        <v>54</v>
      </c>
      <c r="C642" t="s">
        <v>3</v>
      </c>
      <c r="D642">
        <f>(AVERAGE(per_seed!$D$122:$D$131)-AVERAGE(per_seed!$D$12:$D$21))/AVERAGE(per_seed!$D$12:$D$21)*100</f>
        <v>-5.8815192743764166</v>
      </c>
      <c r="E642">
        <v>-5.8815192743764166</v>
      </c>
    </row>
    <row r="643" spans="1:5">
      <c r="A643" t="s">
        <v>44</v>
      </c>
      <c r="B643" t="s">
        <v>54</v>
      </c>
      <c r="C643" t="s">
        <v>3</v>
      </c>
      <c r="D643">
        <f>_xlfn.T.TEST(per_seed!$D$12:$D$21,per_seed!$D$122:$D$131,2,1)</f>
        <v>3.7259591631328963E-2</v>
      </c>
      <c r="E643">
        <v>3.7259591631328942E-2</v>
      </c>
    </row>
    <row r="644" spans="1:5">
      <c r="A644" t="s">
        <v>42</v>
      </c>
      <c r="B644" t="s">
        <v>54</v>
      </c>
      <c r="C644" t="s">
        <v>4</v>
      </c>
      <c r="D644">
        <f>(AVERAGE(per_seed!$E$122:$E$131)-AVERAGE(per_seed!$E$12:$E$21))/AVERAGE(per_seed!$E$12:$E$21)*100</f>
        <v>-5.6039173014145804</v>
      </c>
      <c r="E644">
        <v>-5.6039173014145804</v>
      </c>
    </row>
    <row r="645" spans="1:5">
      <c r="A645" t="s">
        <v>44</v>
      </c>
      <c r="B645" t="s">
        <v>54</v>
      </c>
      <c r="C645" t="s">
        <v>4</v>
      </c>
      <c r="D645">
        <f>_xlfn.T.TEST(per_seed!$E$12:$E$21,per_seed!$E$122:$E$131,2,1)</f>
        <v>4.1995744458017632E-2</v>
      </c>
      <c r="E645">
        <v>4.1995744458017598E-2</v>
      </c>
    </row>
    <row r="646" spans="1:5">
      <c r="A646" t="s">
        <v>42</v>
      </c>
      <c r="B646" t="s">
        <v>54</v>
      </c>
      <c r="C646" t="s">
        <v>5</v>
      </c>
      <c r="D646">
        <f>(AVERAGE(per_seed!$F$122:$F$131)-AVERAGE(per_seed!$F$12:$F$21))/AVERAGE(per_seed!$F$12:$F$21)*100</f>
        <v>-7.0449172576832222</v>
      </c>
      <c r="E646">
        <v>-7.0449172576832222</v>
      </c>
    </row>
    <row r="647" spans="1:5">
      <c r="A647" t="s">
        <v>44</v>
      </c>
      <c r="B647" t="s">
        <v>54</v>
      </c>
      <c r="C647" t="s">
        <v>5</v>
      </c>
      <c r="D647">
        <f>_xlfn.T.TEST(per_seed!$F$12:$F$21,per_seed!$F$122:$F$131,2,1)</f>
        <v>1.2069280614164993E-2</v>
      </c>
      <c r="E647">
        <v>1.206928061416505E-2</v>
      </c>
    </row>
    <row r="648" spans="1:5">
      <c r="A648" t="s">
        <v>42</v>
      </c>
      <c r="B648" t="s">
        <v>54</v>
      </c>
      <c r="C648" t="s">
        <v>6</v>
      </c>
      <c r="D648">
        <f>(AVERAGE(per_seed!$G$122:$G$131)-AVERAGE(per_seed!$G$12:$G$21))/AVERAGE(per_seed!$G$12:$G$21)*100</f>
        <v>1.9495646340006574</v>
      </c>
      <c r="E648">
        <v>1.949564634000629</v>
      </c>
    </row>
    <row r="649" spans="1:5">
      <c r="A649" t="s">
        <v>44</v>
      </c>
      <c r="B649" t="s">
        <v>54</v>
      </c>
      <c r="C649" t="s">
        <v>6</v>
      </c>
      <c r="D649">
        <f>_xlfn.T.TEST(per_seed!$G$12:$G$21,per_seed!$G$122:$G$131,2,1)</f>
        <v>0.180519230001942</v>
      </c>
      <c r="E649">
        <v>0.18051923000194661</v>
      </c>
    </row>
    <row r="650" spans="1:5">
      <c r="A650" t="s">
        <v>42</v>
      </c>
      <c r="B650" t="s">
        <v>54</v>
      </c>
      <c r="C650" t="s">
        <v>7</v>
      </c>
      <c r="D650">
        <f>(AVERAGE(per_seed!$H$122:$H$131)-AVERAGE(per_seed!$H$12:$H$21))/AVERAGE(per_seed!$H$12:$H$21)*100</f>
        <v>-8.7790110998990816</v>
      </c>
      <c r="E650">
        <v>-8.7790110998990816</v>
      </c>
    </row>
    <row r="651" spans="1:5">
      <c r="A651" t="s">
        <v>44</v>
      </c>
      <c r="B651" t="s">
        <v>54</v>
      </c>
      <c r="C651" t="s">
        <v>7</v>
      </c>
      <c r="D651">
        <f>_xlfn.T.TEST(per_seed!$H$12:$H$21,per_seed!$H$122:$H$131,2,1)</f>
        <v>2.0022426492702174E-3</v>
      </c>
      <c r="E651">
        <v>2.002242649270201E-3</v>
      </c>
    </row>
    <row r="652" spans="1:5">
      <c r="A652" t="s">
        <v>42</v>
      </c>
      <c r="B652" t="s">
        <v>54</v>
      </c>
      <c r="C652" t="s">
        <v>8</v>
      </c>
      <c r="D652">
        <f>(AVERAGE(per_seed!$I$122:$I$131)-AVERAGE(per_seed!$I$12:$I$21))/AVERAGE(per_seed!$I$12:$I$21)*100</f>
        <v>-1.9974728987548092</v>
      </c>
      <c r="E652">
        <v>-1.997472898754844</v>
      </c>
    </row>
    <row r="653" spans="1:5">
      <c r="A653" t="s">
        <v>44</v>
      </c>
      <c r="B653" t="s">
        <v>54</v>
      </c>
      <c r="C653" t="s">
        <v>8</v>
      </c>
      <c r="D653">
        <f>_xlfn.T.TEST(per_seed!$I$12:$I$21,per_seed!$I$122:$I$131,2,1)</f>
        <v>0.16678683187917437</v>
      </c>
      <c r="E653">
        <v>0.16678683187917109</v>
      </c>
    </row>
    <row r="654" spans="1:5">
      <c r="A654" t="s">
        <v>42</v>
      </c>
      <c r="B654" t="s">
        <v>54</v>
      </c>
      <c r="C654" t="s">
        <v>9</v>
      </c>
      <c r="D654">
        <f>(AVERAGE(per_seed!$J$122:$J$131)-AVERAGE(per_seed!$J$12:$J$21))/AVERAGE(per_seed!$J$12:$J$21)*100</f>
        <v>-2.655875627841457</v>
      </c>
      <c r="E654">
        <v>-2.655875627841457</v>
      </c>
    </row>
    <row r="655" spans="1:5">
      <c r="A655" t="s">
        <v>44</v>
      </c>
      <c r="B655" t="s">
        <v>54</v>
      </c>
      <c r="C655" t="s">
        <v>9</v>
      </c>
      <c r="D655">
        <f>_xlfn.T.TEST(per_seed!$J$12:$J$21,per_seed!$J$122:$J$131,2,1)</f>
        <v>4.7664876291984978E-3</v>
      </c>
      <c r="E655">
        <v>4.7664876291984076E-3</v>
      </c>
    </row>
    <row r="656" spans="1:5">
      <c r="A656" t="s">
        <v>42</v>
      </c>
      <c r="B656" t="s">
        <v>54</v>
      </c>
      <c r="C656" t="s">
        <v>10</v>
      </c>
      <c r="D656">
        <f>(AVERAGE(per_seed!$K$122:$K$131)-AVERAGE(per_seed!$K$12:$K$21))/AVERAGE(per_seed!$K$12:$K$21)*100</f>
        <v>-1.1112508620104675</v>
      </c>
      <c r="E656">
        <v>-1.111250862010456</v>
      </c>
    </row>
    <row r="657" spans="1:5">
      <c r="A657" t="s">
        <v>44</v>
      </c>
      <c r="B657" t="s">
        <v>54</v>
      </c>
      <c r="C657" t="s">
        <v>10</v>
      </c>
      <c r="D657">
        <f>_xlfn.T.TEST(per_seed!$K$12:$K$21,per_seed!$K$122:$K$131,2,1)</f>
        <v>0.19903757000477673</v>
      </c>
      <c r="E657">
        <v>0.19903757000478561</v>
      </c>
    </row>
    <row r="658" spans="1:5">
      <c r="A658" t="s">
        <v>42</v>
      </c>
      <c r="B658" t="s">
        <v>54</v>
      </c>
      <c r="C658" t="s">
        <v>11</v>
      </c>
      <c r="D658">
        <f>(AVERAGE(per_seed!$L$122:$L$131)-AVERAGE(per_seed!$L$12:$L$21))/AVERAGE(per_seed!$L$12:$L$21)*100</f>
        <v>10.145017673311809</v>
      </c>
      <c r="E658">
        <v>10.145017673311809</v>
      </c>
    </row>
    <row r="659" spans="1:5">
      <c r="A659" t="s">
        <v>44</v>
      </c>
      <c r="B659" t="s">
        <v>54</v>
      </c>
      <c r="C659" t="s">
        <v>11</v>
      </c>
      <c r="D659">
        <f>_xlfn.T.TEST(per_seed!$L$12:$L$21,per_seed!$L$122:$L$131,2,1)</f>
        <v>2.2893316012140522E-2</v>
      </c>
      <c r="E659">
        <v>2.289331601214048E-2</v>
      </c>
    </row>
    <row r="660" spans="1:5">
      <c r="A660" t="s">
        <v>42</v>
      </c>
      <c r="B660" t="s">
        <v>54</v>
      </c>
      <c r="C660" t="s">
        <v>12</v>
      </c>
      <c r="D660">
        <f>(AVERAGE(per_seed!$M$122:$M$131)-AVERAGE(per_seed!$M$12:$M$21))/AVERAGE(per_seed!$M$12:$M$21)*100</f>
        <v>280.61408516144098</v>
      </c>
      <c r="E660">
        <v>280.61408516144098</v>
      </c>
    </row>
    <row r="661" spans="1:5">
      <c r="A661" t="s">
        <v>44</v>
      </c>
      <c r="B661" t="s">
        <v>54</v>
      </c>
      <c r="C661" t="s">
        <v>12</v>
      </c>
      <c r="D661">
        <f>_xlfn.T.TEST(per_seed!$M$12:$M$21,per_seed!$M$122:$M$131,2,1)</f>
        <v>3.6619808445684569E-2</v>
      </c>
      <c r="E661">
        <v>3.66198084456845E-2</v>
      </c>
    </row>
    <row r="662" spans="1:5">
      <c r="A662" t="s">
        <v>42</v>
      </c>
      <c r="B662" t="s">
        <v>55</v>
      </c>
      <c r="C662" t="s">
        <v>3</v>
      </c>
      <c r="D662">
        <f>(AVERAGE(per_seed!$D$132:$D$141)-AVERAGE(per_seed!$D$12:$D$21))/AVERAGE(per_seed!$D$12:$D$21)*100</f>
        <v>-1.5376984126984159</v>
      </c>
      <c r="E662">
        <v>-1.5376984126984159</v>
      </c>
    </row>
    <row r="663" spans="1:5">
      <c r="A663" t="s">
        <v>44</v>
      </c>
      <c r="B663" t="s">
        <v>55</v>
      </c>
      <c r="C663" t="s">
        <v>3</v>
      </c>
      <c r="D663">
        <f>_xlfn.T.TEST(per_seed!$D$12:$D$21,per_seed!$D$132:$D$141,2,1)</f>
        <v>2.7388148813298655E-2</v>
      </c>
      <c r="E663">
        <v>2.7388148813298901E-2</v>
      </c>
    </row>
    <row r="664" spans="1:5">
      <c r="A664" t="s">
        <v>42</v>
      </c>
      <c r="B664" t="s">
        <v>55</v>
      </c>
      <c r="C664" t="s">
        <v>4</v>
      </c>
      <c r="D664">
        <f>(AVERAGE(per_seed!$E$132:$E$141)-AVERAGE(per_seed!$E$12:$E$21))/AVERAGE(per_seed!$E$12:$E$21)*100</f>
        <v>-1.4907508161044665</v>
      </c>
      <c r="E664">
        <v>-1.490750816104466</v>
      </c>
    </row>
    <row r="665" spans="1:5">
      <c r="A665" t="s">
        <v>44</v>
      </c>
      <c r="B665" t="s">
        <v>55</v>
      </c>
      <c r="C665" t="s">
        <v>4</v>
      </c>
      <c r="D665">
        <f>_xlfn.T.TEST(per_seed!$E$12:$E$21,per_seed!$E$132:$E$141,2,1)</f>
        <v>6.7023463922262244E-2</v>
      </c>
      <c r="E665">
        <v>6.7023463922262952E-2</v>
      </c>
    </row>
    <row r="666" spans="1:5">
      <c r="A666" t="s">
        <v>42</v>
      </c>
      <c r="B666" t="s">
        <v>55</v>
      </c>
      <c r="C666" t="s">
        <v>5</v>
      </c>
      <c r="D666">
        <f>(AVERAGE(per_seed!$F$132:$F$141)-AVERAGE(per_seed!$F$12:$F$21))/AVERAGE(per_seed!$F$12:$F$21)*100</f>
        <v>-3.9873916469661075</v>
      </c>
      <c r="E666">
        <v>-3.987391646966107</v>
      </c>
    </row>
    <row r="667" spans="1:5">
      <c r="A667" t="s">
        <v>44</v>
      </c>
      <c r="B667" t="s">
        <v>55</v>
      </c>
      <c r="C667" t="s">
        <v>5</v>
      </c>
      <c r="D667">
        <f>_xlfn.T.TEST(per_seed!$F$12:$F$21,per_seed!$F$132:$F$141,2,1)</f>
        <v>6.504386393375802E-4</v>
      </c>
      <c r="E667">
        <v>6.5043863933757348E-4</v>
      </c>
    </row>
    <row r="668" spans="1:5">
      <c r="A668" t="s">
        <v>42</v>
      </c>
      <c r="B668" t="s">
        <v>55</v>
      </c>
      <c r="C668" t="s">
        <v>6</v>
      </c>
      <c r="D668">
        <f>(AVERAGE(per_seed!$G$132:$G$141)-AVERAGE(per_seed!$G$12:$G$21))/AVERAGE(per_seed!$G$12:$G$21)*100</f>
        <v>-0.88684916662009994</v>
      </c>
      <c r="E668">
        <v>-0.88684916662012758</v>
      </c>
    </row>
    <row r="669" spans="1:5">
      <c r="A669" t="s">
        <v>44</v>
      </c>
      <c r="B669" t="s">
        <v>55</v>
      </c>
      <c r="C669" t="s">
        <v>6</v>
      </c>
      <c r="D669">
        <f>_xlfn.T.TEST(per_seed!$G$12:$G$21,per_seed!$G$132:$G$141,2,1)</f>
        <v>0.63957770142487913</v>
      </c>
      <c r="E669">
        <v>0.63957770142487391</v>
      </c>
    </row>
    <row r="670" spans="1:5">
      <c r="A670" t="s">
        <v>42</v>
      </c>
      <c r="B670" t="s">
        <v>55</v>
      </c>
      <c r="C670" t="s">
        <v>7</v>
      </c>
      <c r="D670">
        <f>(AVERAGE(per_seed!$H$132:$H$141)-AVERAGE(per_seed!$H$12:$H$21))/AVERAGE(per_seed!$H$12:$H$21)*100</f>
        <v>-3.2795156407669022</v>
      </c>
      <c r="E670">
        <v>-3.2795156407669022</v>
      </c>
    </row>
    <row r="671" spans="1:5">
      <c r="A671" t="s">
        <v>44</v>
      </c>
      <c r="B671" t="s">
        <v>55</v>
      </c>
      <c r="C671" t="s">
        <v>7</v>
      </c>
      <c r="D671">
        <f>_xlfn.T.TEST(per_seed!$H$12:$H$21,per_seed!$H$132:$H$141,2,1)</f>
        <v>0.11944231477587001</v>
      </c>
      <c r="E671">
        <v>0.1194423147758701</v>
      </c>
    </row>
    <row r="672" spans="1:5">
      <c r="A672" t="s">
        <v>42</v>
      </c>
      <c r="B672" t="s">
        <v>55</v>
      </c>
      <c r="C672" t="s">
        <v>8</v>
      </c>
      <c r="D672">
        <f>(AVERAGE(per_seed!$I$132:$I$141)-AVERAGE(per_seed!$I$12:$I$21))/AVERAGE(per_seed!$I$12:$I$21)*100</f>
        <v>0.77551208724824405</v>
      </c>
      <c r="E672">
        <v>0.77551208724822596</v>
      </c>
    </row>
    <row r="673" spans="1:5">
      <c r="A673" t="s">
        <v>44</v>
      </c>
      <c r="B673" t="s">
        <v>55</v>
      </c>
      <c r="C673" t="s">
        <v>8</v>
      </c>
      <c r="D673">
        <f>_xlfn.T.TEST(per_seed!$I$12:$I$21,per_seed!$I$132:$I$141,2,1)</f>
        <v>0.68002452919968603</v>
      </c>
      <c r="E673">
        <v>0.68002452919968581</v>
      </c>
    </row>
    <row r="674" spans="1:5">
      <c r="A674" t="s">
        <v>42</v>
      </c>
      <c r="B674" t="s">
        <v>55</v>
      </c>
      <c r="C674" t="s">
        <v>9</v>
      </c>
      <c r="D674">
        <f>(AVERAGE(per_seed!$J$132:$J$141)-AVERAGE(per_seed!$J$12:$J$21))/AVERAGE(per_seed!$J$12:$J$21)*100</f>
        <v>-0.89667319344464202</v>
      </c>
      <c r="E674">
        <v>-0.89667319344464202</v>
      </c>
    </row>
    <row r="675" spans="1:5">
      <c r="A675" t="s">
        <v>44</v>
      </c>
      <c r="B675" t="s">
        <v>55</v>
      </c>
      <c r="C675" t="s">
        <v>9</v>
      </c>
      <c r="D675">
        <f>_xlfn.T.TEST(per_seed!$J$12:$J$21,per_seed!$J$132:$J$141,2,1)</f>
        <v>0.52344009638141697</v>
      </c>
      <c r="E675">
        <v>0.52344009638140576</v>
      </c>
    </row>
    <row r="676" spans="1:5">
      <c r="A676" t="s">
        <v>42</v>
      </c>
      <c r="B676" t="s">
        <v>55</v>
      </c>
      <c r="C676" t="s">
        <v>10</v>
      </c>
      <c r="D676">
        <f>(AVERAGE(per_seed!$K$132:$K$141)-AVERAGE(per_seed!$K$12:$K$21))/AVERAGE(per_seed!$K$12:$K$21)*100</f>
        <v>1.4673984749909714</v>
      </c>
      <c r="E676">
        <v>1.4673984749909841</v>
      </c>
    </row>
    <row r="677" spans="1:5">
      <c r="A677" t="s">
        <v>44</v>
      </c>
      <c r="B677" t="s">
        <v>55</v>
      </c>
      <c r="C677" t="s">
        <v>10</v>
      </c>
      <c r="D677">
        <f>_xlfn.T.TEST(per_seed!$K$12:$K$21,per_seed!$K$132:$K$141,2,1)</f>
        <v>0.34897077096532902</v>
      </c>
      <c r="E677">
        <v>0.34897077096533102</v>
      </c>
    </row>
    <row r="678" spans="1:5">
      <c r="A678" t="s">
        <v>42</v>
      </c>
      <c r="B678" t="s">
        <v>55</v>
      </c>
      <c r="C678" t="s">
        <v>11</v>
      </c>
      <c r="D678">
        <f>(AVERAGE(per_seed!$L$132:$L$141)-AVERAGE(per_seed!$L$12:$L$21))/AVERAGE(per_seed!$L$12:$L$21)*100</f>
        <v>16.558343958357462</v>
      </c>
      <c r="E678">
        <v>16.558343958357462</v>
      </c>
    </row>
    <row r="679" spans="1:5">
      <c r="A679" t="s">
        <v>44</v>
      </c>
      <c r="B679" t="s">
        <v>55</v>
      </c>
      <c r="C679" t="s">
        <v>11</v>
      </c>
      <c r="D679">
        <f>_xlfn.T.TEST(per_seed!$L$12:$L$21,per_seed!$L$132:$L$141,2,1)</f>
        <v>3.1892755484961786E-5</v>
      </c>
      <c r="E679">
        <v>3.1892755484961813E-5</v>
      </c>
    </row>
    <row r="680" spans="1:5">
      <c r="A680" t="s">
        <v>42</v>
      </c>
      <c r="B680" t="s">
        <v>55</v>
      </c>
      <c r="C680" t="s">
        <v>12</v>
      </c>
      <c r="D680">
        <f>(AVERAGE(per_seed!$M$132:$M$141)-AVERAGE(per_seed!$M$12:$M$21))/AVERAGE(per_seed!$M$12:$M$21)*100</f>
        <v>74.480747837650469</v>
      </c>
      <c r="E680">
        <v>74.480747837650512</v>
      </c>
    </row>
    <row r="681" spans="1:5">
      <c r="A681" t="s">
        <v>44</v>
      </c>
      <c r="B681" t="s">
        <v>55</v>
      </c>
      <c r="C681" t="s">
        <v>12</v>
      </c>
      <c r="D681">
        <f>_xlfn.T.TEST(per_seed!$M$12:$M$21,per_seed!$M$132:$M$141,2,1)</f>
        <v>2.4933097046881802E-2</v>
      </c>
      <c r="E681">
        <v>2.4933097046881781E-2</v>
      </c>
    </row>
    <row r="682" spans="1:5">
      <c r="A682" t="s">
        <v>42</v>
      </c>
      <c r="B682" t="s">
        <v>56</v>
      </c>
      <c r="C682" t="s">
        <v>3</v>
      </c>
      <c r="D682">
        <f>(AVERAGE(per_seed!$D$142:$D$151)-AVERAGE(per_seed!$D$12:$D$21))/AVERAGE(per_seed!$D$12:$D$21)*100</f>
        <v>9.2120181405892468E-2</v>
      </c>
      <c r="E682">
        <v>9.2120181405892468E-2</v>
      </c>
    </row>
    <row r="683" spans="1:5">
      <c r="A683" t="s">
        <v>44</v>
      </c>
      <c r="B683" t="s">
        <v>56</v>
      </c>
      <c r="C683" t="s">
        <v>3</v>
      </c>
      <c r="D683">
        <f>_xlfn.T.TEST(per_seed!$D$12:$D$21,per_seed!$D$142:$D$151,2,1)</f>
        <v>0.69870437067777935</v>
      </c>
      <c r="E683">
        <v>0.6987043706777698</v>
      </c>
    </row>
    <row r="684" spans="1:5">
      <c r="A684" t="s">
        <v>42</v>
      </c>
      <c r="B684" t="s">
        <v>56</v>
      </c>
      <c r="C684" t="s">
        <v>4</v>
      </c>
      <c r="D684">
        <f>(AVERAGE(per_seed!$E$142:$E$151)-AVERAGE(per_seed!$E$12:$E$21))/AVERAGE(per_seed!$E$12:$E$21)*100</f>
        <v>0.51142546245919973</v>
      </c>
      <c r="E684">
        <v>0.51142546245919973</v>
      </c>
    </row>
    <row r="685" spans="1:5">
      <c r="A685" t="s">
        <v>44</v>
      </c>
      <c r="B685" t="s">
        <v>56</v>
      </c>
      <c r="C685" t="s">
        <v>4</v>
      </c>
      <c r="D685">
        <f>_xlfn.T.TEST(per_seed!$E$12:$E$21,per_seed!$E$142:$E$151,2,1)</f>
        <v>0.16492552897159665</v>
      </c>
      <c r="E685">
        <v>0.16492552897160051</v>
      </c>
    </row>
    <row r="686" spans="1:5">
      <c r="A686" t="s">
        <v>42</v>
      </c>
      <c r="B686" t="s">
        <v>56</v>
      </c>
      <c r="C686" t="s">
        <v>5</v>
      </c>
      <c r="D686">
        <f>(AVERAGE(per_seed!$F$142:$F$151)-AVERAGE(per_seed!$F$12:$F$21))/AVERAGE(per_seed!$F$12:$F$21)*100</f>
        <v>-2.4586288416075686</v>
      </c>
      <c r="E686">
        <v>-2.458628841607569</v>
      </c>
    </row>
    <row r="687" spans="1:5">
      <c r="A687" t="s">
        <v>44</v>
      </c>
      <c r="B687" t="s">
        <v>56</v>
      </c>
      <c r="C687" t="s">
        <v>5</v>
      </c>
      <c r="D687">
        <f>_xlfn.T.TEST(per_seed!$F$12:$F$21,per_seed!$F$142:$F$151,2,1)</f>
        <v>9.6179734393273375E-6</v>
      </c>
      <c r="E687">
        <v>9.6179734393274849E-6</v>
      </c>
    </row>
    <row r="688" spans="1:5">
      <c r="A688" t="s">
        <v>42</v>
      </c>
      <c r="B688" t="s">
        <v>56</v>
      </c>
      <c r="C688" t="s">
        <v>6</v>
      </c>
      <c r="D688">
        <f>(AVERAGE(per_seed!$G$142:$G$151)-AVERAGE(per_seed!$G$12:$G$21))/AVERAGE(per_seed!$G$12:$G$21)*100</f>
        <v>0.67682687829937971</v>
      </c>
      <c r="E688">
        <v>0.67682687829933807</v>
      </c>
    </row>
    <row r="689" spans="1:5">
      <c r="A689" t="s">
        <v>44</v>
      </c>
      <c r="B689" t="s">
        <v>56</v>
      </c>
      <c r="C689" t="s">
        <v>6</v>
      </c>
      <c r="D689">
        <f>_xlfn.T.TEST(per_seed!$G$12:$G$21,per_seed!$G$142:$G$151,2,1)</f>
        <v>0.69760421241458848</v>
      </c>
      <c r="E689">
        <v>0.69760421241459869</v>
      </c>
    </row>
    <row r="690" spans="1:5">
      <c r="A690" t="s">
        <v>42</v>
      </c>
      <c r="B690" t="s">
        <v>56</v>
      </c>
      <c r="C690" t="s">
        <v>7</v>
      </c>
      <c r="D690">
        <f>(AVERAGE(per_seed!$H$142:$H$151)-AVERAGE(per_seed!$H$12:$H$21))/AVERAGE(per_seed!$H$12:$H$21)*100</f>
        <v>-3.2795156407669022</v>
      </c>
      <c r="E690">
        <v>-3.2795156407669022</v>
      </c>
    </row>
    <row r="691" spans="1:5">
      <c r="A691" t="s">
        <v>44</v>
      </c>
      <c r="B691" t="s">
        <v>56</v>
      </c>
      <c r="C691" t="s">
        <v>7</v>
      </c>
      <c r="D691">
        <f>_xlfn.T.TEST(per_seed!$H$12:$H$21,per_seed!$H$142:$H$151,2,1)</f>
        <v>0.10729302682613551</v>
      </c>
      <c r="E691">
        <v>0.1072930268261356</v>
      </c>
    </row>
    <row r="692" spans="1:5">
      <c r="A692" t="s">
        <v>42</v>
      </c>
      <c r="B692" t="s">
        <v>56</v>
      </c>
      <c r="C692" t="s">
        <v>8</v>
      </c>
      <c r="D692">
        <f>(AVERAGE(per_seed!$I$142:$I$151)-AVERAGE(per_seed!$I$12:$I$21))/AVERAGE(per_seed!$I$12:$I$21)*100</f>
        <v>-0.85738731991199646</v>
      </c>
      <c r="E692">
        <v>-0.85738731991204953</v>
      </c>
    </row>
    <row r="693" spans="1:5">
      <c r="A693" t="s">
        <v>44</v>
      </c>
      <c r="B693" t="s">
        <v>56</v>
      </c>
      <c r="C693" t="s">
        <v>8</v>
      </c>
      <c r="D693">
        <f>_xlfn.T.TEST(per_seed!$I$12:$I$21,per_seed!$I$142:$I$151,2,1)</f>
        <v>0.62210555484171115</v>
      </c>
      <c r="E693">
        <v>0.62210555484170382</v>
      </c>
    </row>
    <row r="694" spans="1:5">
      <c r="A694" t="s">
        <v>42</v>
      </c>
      <c r="B694" t="s">
        <v>56</v>
      </c>
      <c r="C694" t="s">
        <v>9</v>
      </c>
      <c r="D694">
        <f>(AVERAGE(per_seed!$J$142:$J$151)-AVERAGE(per_seed!$J$12:$J$21))/AVERAGE(per_seed!$J$12:$J$21)*100</f>
        <v>-1.0065086818197269</v>
      </c>
      <c r="E694">
        <v>-1.0065086818197511</v>
      </c>
    </row>
    <row r="695" spans="1:5">
      <c r="A695" t="s">
        <v>44</v>
      </c>
      <c r="B695" t="s">
        <v>56</v>
      </c>
      <c r="C695" t="s">
        <v>9</v>
      </c>
      <c r="D695">
        <f>_xlfn.T.TEST(per_seed!$J$12:$J$21,per_seed!$J$142:$J$151,2,1)</f>
        <v>0.47716511848597343</v>
      </c>
      <c r="E695">
        <v>0.47716511848596599</v>
      </c>
    </row>
    <row r="696" spans="1:5">
      <c r="A696" t="s">
        <v>42</v>
      </c>
      <c r="B696" t="s">
        <v>56</v>
      </c>
      <c r="C696" t="s">
        <v>10</v>
      </c>
      <c r="D696">
        <f>(AVERAGE(per_seed!$K$142:$K$151)-AVERAGE(per_seed!$K$12:$K$21))/AVERAGE(per_seed!$K$12:$K$21)*100</f>
        <v>1.3112501126994274</v>
      </c>
      <c r="E696">
        <v>1.31125011269944</v>
      </c>
    </row>
    <row r="697" spans="1:5">
      <c r="A697" t="s">
        <v>44</v>
      </c>
      <c r="B697" t="s">
        <v>56</v>
      </c>
      <c r="C697" t="s">
        <v>10</v>
      </c>
      <c r="D697">
        <f>_xlfn.T.TEST(per_seed!$K$12:$K$21,per_seed!$K$142:$K$151,2,1)</f>
        <v>0.31673017586953106</v>
      </c>
      <c r="E697">
        <v>0.31673017586953012</v>
      </c>
    </row>
    <row r="698" spans="1:5">
      <c r="A698" t="s">
        <v>42</v>
      </c>
      <c r="B698" t="s">
        <v>56</v>
      </c>
      <c r="C698" t="s">
        <v>11</v>
      </c>
      <c r="D698">
        <f>(AVERAGE(per_seed!$L$142:$L$151)-AVERAGE(per_seed!$L$12:$L$21))/AVERAGE(per_seed!$L$12:$L$21)*100</f>
        <v>22.322770573368835</v>
      </c>
      <c r="E698">
        <v>22.322770573368839</v>
      </c>
    </row>
    <row r="699" spans="1:5">
      <c r="A699" t="s">
        <v>44</v>
      </c>
      <c r="B699" t="s">
        <v>56</v>
      </c>
      <c r="C699" t="s">
        <v>11</v>
      </c>
      <c r="D699">
        <f>_xlfn.T.TEST(per_seed!$L$12:$L$21,per_seed!$L$142:$L$151,2,1)</f>
        <v>1.6122028781125134E-4</v>
      </c>
      <c r="E699">
        <v>1.6122028781125181E-4</v>
      </c>
    </row>
    <row r="700" spans="1:5">
      <c r="A700" t="s">
        <v>42</v>
      </c>
      <c r="B700" t="s">
        <v>56</v>
      </c>
      <c r="C700" t="s">
        <v>12</v>
      </c>
      <c r="D700">
        <f>(AVERAGE(per_seed!$M$142:$M$151)-AVERAGE(per_seed!$M$12:$M$21))/AVERAGE(per_seed!$M$12:$M$21)*100</f>
        <v>-3.4792148844726629</v>
      </c>
      <c r="E700">
        <v>-3.479214884472642</v>
      </c>
    </row>
    <row r="701" spans="1:5">
      <c r="A701" t="s">
        <v>44</v>
      </c>
      <c r="B701" t="s">
        <v>56</v>
      </c>
      <c r="C701" t="s">
        <v>12</v>
      </c>
      <c r="D701">
        <f>_xlfn.T.TEST(per_seed!$M$12:$M$21,per_seed!$M$142:$M$151,2,1)</f>
        <v>0.75566811514331866</v>
      </c>
      <c r="E701">
        <v>0.75566811514331755</v>
      </c>
    </row>
    <row r="702" spans="1:5">
      <c r="A702" t="s">
        <v>42</v>
      </c>
      <c r="B702" t="s">
        <v>57</v>
      </c>
      <c r="C702" t="s">
        <v>3</v>
      </c>
      <c r="D702">
        <f>(AVERAGE(per_seed!$D$152:$D$161)-AVERAGE(per_seed!$D$12:$D$21))/AVERAGE(per_seed!$D$12:$D$21)*100</f>
        <v>0.48894557823128282</v>
      </c>
      <c r="E702">
        <v>0.48894557823128282</v>
      </c>
    </row>
    <row r="703" spans="1:5">
      <c r="A703" t="s">
        <v>44</v>
      </c>
      <c r="B703" t="s">
        <v>57</v>
      </c>
      <c r="C703" t="s">
        <v>3</v>
      </c>
      <c r="D703">
        <f>_xlfn.T.TEST(per_seed!$D$12:$D$21,per_seed!$D$152:$D$161,2,1)</f>
        <v>7.0532515770443213E-2</v>
      </c>
      <c r="E703">
        <v>7.0532515770438564E-2</v>
      </c>
    </row>
    <row r="704" spans="1:5">
      <c r="A704" t="s">
        <v>42</v>
      </c>
      <c r="B704" t="s">
        <v>57</v>
      </c>
      <c r="C704" t="s">
        <v>4</v>
      </c>
      <c r="D704">
        <f>(AVERAGE(per_seed!$E$152:$E$161)-AVERAGE(per_seed!$E$12:$E$21))/AVERAGE(per_seed!$E$12:$E$21)*100</f>
        <v>0.67464635473341084</v>
      </c>
      <c r="E704">
        <v>0.67464635473341084</v>
      </c>
    </row>
    <row r="705" spans="1:5">
      <c r="A705" t="s">
        <v>44</v>
      </c>
      <c r="B705" t="s">
        <v>57</v>
      </c>
      <c r="C705" t="s">
        <v>4</v>
      </c>
      <c r="D705">
        <f>_xlfn.T.TEST(per_seed!$E$12:$E$21,per_seed!$E$152:$E$161,2,1)</f>
        <v>9.5756619569142054E-2</v>
      </c>
      <c r="E705">
        <v>9.5756619569144233E-2</v>
      </c>
    </row>
    <row r="706" spans="1:5">
      <c r="A706" t="s">
        <v>42</v>
      </c>
      <c r="B706" t="s">
        <v>57</v>
      </c>
      <c r="C706" t="s">
        <v>5</v>
      </c>
      <c r="D706">
        <f>(AVERAGE(per_seed!$F$152:$F$161)-AVERAGE(per_seed!$F$12:$F$21))/AVERAGE(per_seed!$F$12:$F$21)*100</f>
        <v>-1.985815602836883</v>
      </c>
      <c r="E706">
        <v>-1.985815602836883</v>
      </c>
    </row>
    <row r="707" spans="1:5">
      <c r="A707" t="s">
        <v>44</v>
      </c>
      <c r="B707" t="s">
        <v>57</v>
      </c>
      <c r="C707" t="s">
        <v>5</v>
      </c>
      <c r="D707">
        <f>_xlfn.T.TEST(per_seed!$F$12:$F$21,per_seed!$F$152:$F$161,2,1)</f>
        <v>5.7895190867399008E-4</v>
      </c>
      <c r="E707">
        <v>5.789519086739968E-4</v>
      </c>
    </row>
    <row r="708" spans="1:5">
      <c r="A708" t="s">
        <v>42</v>
      </c>
      <c r="B708" t="s">
        <v>57</v>
      </c>
      <c r="C708" t="s">
        <v>6</v>
      </c>
      <c r="D708">
        <f>(AVERAGE(per_seed!$G$152:$G$161)-AVERAGE(per_seed!$G$12:$G$21))/AVERAGE(per_seed!$G$12:$G$21)*100</f>
        <v>0.5339009496299002</v>
      </c>
      <c r="E708">
        <v>0.53390094962987245</v>
      </c>
    </row>
    <row r="709" spans="1:5">
      <c r="A709" t="s">
        <v>44</v>
      </c>
      <c r="B709" t="s">
        <v>57</v>
      </c>
      <c r="C709" t="s">
        <v>6</v>
      </c>
      <c r="D709">
        <f>_xlfn.T.TEST(per_seed!$G$12:$G$21,per_seed!$G$152:$G$161,2,1)</f>
        <v>0.80008653464824353</v>
      </c>
      <c r="E709">
        <v>0.80008653464824697</v>
      </c>
    </row>
    <row r="710" spans="1:5">
      <c r="A710" t="s">
        <v>42</v>
      </c>
      <c r="B710" t="s">
        <v>57</v>
      </c>
      <c r="C710" t="s">
        <v>7</v>
      </c>
      <c r="D710">
        <f>(AVERAGE(per_seed!$H$152:$H$161)-AVERAGE(per_seed!$H$12:$H$21))/AVERAGE(per_seed!$H$12:$H$21)*100</f>
        <v>-2.6740665993945427</v>
      </c>
      <c r="E710">
        <v>-2.6740665993945432</v>
      </c>
    </row>
    <row r="711" spans="1:5">
      <c r="A711" t="s">
        <v>44</v>
      </c>
      <c r="B711" t="s">
        <v>57</v>
      </c>
      <c r="C711" t="s">
        <v>7</v>
      </c>
      <c r="D711">
        <f>_xlfn.T.TEST(per_seed!$H$12:$H$21,per_seed!$H$152:$H$161,2,1)</f>
        <v>0.21725199501186632</v>
      </c>
      <c r="E711">
        <v>0.21725199501186501</v>
      </c>
    </row>
    <row r="712" spans="1:5">
      <c r="A712" t="s">
        <v>42</v>
      </c>
      <c r="B712" t="s">
        <v>57</v>
      </c>
      <c r="C712" t="s">
        <v>8</v>
      </c>
      <c r="D712">
        <f>(AVERAGE(per_seed!$I$152:$I$161)-AVERAGE(per_seed!$I$12:$I$21))/AVERAGE(per_seed!$I$12:$I$21)*100</f>
        <v>-0.74594559315934983</v>
      </c>
      <c r="E712">
        <v>-0.74594559315938513</v>
      </c>
    </row>
    <row r="713" spans="1:5">
      <c r="A713" t="s">
        <v>44</v>
      </c>
      <c r="B713" t="s">
        <v>57</v>
      </c>
      <c r="C713" t="s">
        <v>8</v>
      </c>
      <c r="D713">
        <f>_xlfn.T.TEST(per_seed!$I$12:$I$21,per_seed!$I$152:$I$161,2,1)</f>
        <v>0.71947887107269848</v>
      </c>
      <c r="E713">
        <v>0.71947887107269326</v>
      </c>
    </row>
    <row r="714" spans="1:5">
      <c r="A714" t="s">
        <v>42</v>
      </c>
      <c r="B714" t="s">
        <v>57</v>
      </c>
      <c r="C714" t="s">
        <v>9</v>
      </c>
      <c r="D714">
        <f>(AVERAGE(per_seed!$J$152:$J$161)-AVERAGE(per_seed!$J$12:$J$21))/AVERAGE(per_seed!$J$12:$J$21)*100</f>
        <v>3.0458255517028833E-2</v>
      </c>
      <c r="E714">
        <v>3.045825551702883E-2</v>
      </c>
    </row>
    <row r="715" spans="1:5">
      <c r="A715" t="s">
        <v>44</v>
      </c>
      <c r="B715" t="s">
        <v>57</v>
      </c>
      <c r="C715" t="s">
        <v>9</v>
      </c>
      <c r="D715">
        <f>_xlfn.T.TEST(per_seed!$J$12:$J$21,per_seed!$J$152:$J$161,2,1)</f>
        <v>0.98504963826153968</v>
      </c>
      <c r="E715">
        <v>0.98504963826155256</v>
      </c>
    </row>
    <row r="716" spans="1:5">
      <c r="A716" t="s">
        <v>42</v>
      </c>
      <c r="B716" t="s">
        <v>57</v>
      </c>
      <c r="C716" t="s">
        <v>10</v>
      </c>
      <c r="D716">
        <f>(AVERAGE(per_seed!$K$152:$K$161)-AVERAGE(per_seed!$K$12:$K$21))/AVERAGE(per_seed!$K$12:$K$21)*100</f>
        <v>2.3149788835755221</v>
      </c>
      <c r="E716">
        <v>2.3149788835755341</v>
      </c>
    </row>
    <row r="717" spans="1:5">
      <c r="A717" t="s">
        <v>44</v>
      </c>
      <c r="B717" t="s">
        <v>57</v>
      </c>
      <c r="C717" t="s">
        <v>10</v>
      </c>
      <c r="D717">
        <f>_xlfn.T.TEST(per_seed!$K$12:$K$21,per_seed!$K$152:$K$161,2,1)</f>
        <v>0.15434673078697991</v>
      </c>
      <c r="E717">
        <v>0.1543467307869808</v>
      </c>
    </row>
    <row r="718" spans="1:5">
      <c r="A718" t="s">
        <v>42</v>
      </c>
      <c r="B718" t="s">
        <v>57</v>
      </c>
      <c r="C718" t="s">
        <v>11</v>
      </c>
      <c r="D718">
        <f>(AVERAGE(per_seed!$L$152:$L$161)-AVERAGE(per_seed!$L$12:$L$21))/AVERAGE(per_seed!$L$12:$L$21)*100</f>
        <v>23.997885374967005</v>
      </c>
      <c r="E718">
        <v>23.99788537496703</v>
      </c>
    </row>
    <row r="719" spans="1:5">
      <c r="A719" t="s">
        <v>44</v>
      </c>
      <c r="B719" t="s">
        <v>57</v>
      </c>
      <c r="C719" t="s">
        <v>11</v>
      </c>
      <c r="D719">
        <f>_xlfn.T.TEST(per_seed!$L$12:$L$21,per_seed!$L$152:$L$161,2,1)</f>
        <v>2.0789152087326397E-6</v>
      </c>
      <c r="E719">
        <v>2.0789152087326371E-6</v>
      </c>
    </row>
    <row r="720" spans="1:5">
      <c r="A720" t="s">
        <v>42</v>
      </c>
      <c r="B720" t="s">
        <v>57</v>
      </c>
      <c r="C720" t="s">
        <v>12</v>
      </c>
      <c r="D720">
        <f>(AVERAGE(per_seed!$M$152:$M$161)-AVERAGE(per_seed!$M$12:$M$21))/AVERAGE(per_seed!$M$12:$M$21)*100</f>
        <v>-22.426282724048313</v>
      </c>
      <c r="E720">
        <v>-22.426282724048299</v>
      </c>
    </row>
    <row r="721" spans="1:5">
      <c r="A721" t="s">
        <v>44</v>
      </c>
      <c r="B721" t="s">
        <v>57</v>
      </c>
      <c r="C721" t="s">
        <v>12</v>
      </c>
      <c r="D721">
        <f>_xlfn.T.TEST(per_seed!$M$12:$M$21,per_seed!$M$152:$M$161,2,1)</f>
        <v>7.9258739743808176E-2</v>
      </c>
      <c r="E721">
        <v>7.9258739743808149E-2</v>
      </c>
    </row>
    <row r="722" spans="1:5">
      <c r="A722" t="s">
        <v>42</v>
      </c>
      <c r="B722" t="s">
        <v>58</v>
      </c>
      <c r="C722" t="s">
        <v>3</v>
      </c>
      <c r="D722">
        <f>(AVERAGE(per_seed!$D$162:$D$171)-AVERAGE(per_seed!$D$12:$D$21))/AVERAGE(per_seed!$D$12:$D$21)*100</f>
        <v>0.80073696145124396</v>
      </c>
      <c r="E722">
        <v>0.80073696145124396</v>
      </c>
    </row>
    <row r="723" spans="1:5">
      <c r="A723" t="s">
        <v>44</v>
      </c>
      <c r="B723" t="s">
        <v>58</v>
      </c>
      <c r="C723" t="s">
        <v>3</v>
      </c>
      <c r="D723">
        <f>_xlfn.T.TEST(per_seed!$D$12:$D$21,per_seed!$D$162:$D$171,2,1)</f>
        <v>9.4803142240683907E-3</v>
      </c>
      <c r="E723">
        <v>9.480314224068179E-3</v>
      </c>
    </row>
    <row r="724" spans="1:5">
      <c r="A724" t="s">
        <v>42</v>
      </c>
      <c r="B724" t="s">
        <v>58</v>
      </c>
      <c r="C724" t="s">
        <v>4</v>
      </c>
      <c r="D724">
        <f>(AVERAGE(per_seed!$E$162:$E$171)-AVERAGE(per_seed!$E$12:$E$21))/AVERAGE(per_seed!$E$12:$E$21)*100</f>
        <v>0.88139281828074245</v>
      </c>
      <c r="E724">
        <v>0.88139281828074245</v>
      </c>
    </row>
    <row r="725" spans="1:5">
      <c r="A725" t="s">
        <v>44</v>
      </c>
      <c r="B725" t="s">
        <v>58</v>
      </c>
      <c r="C725" t="s">
        <v>4</v>
      </c>
      <c r="D725">
        <f>_xlfn.T.TEST(per_seed!$E$12:$E$21,per_seed!$E$162:$E$171,2,1)</f>
        <v>8.5810399868000195E-2</v>
      </c>
      <c r="E725">
        <v>8.5810399868000986E-2</v>
      </c>
    </row>
    <row r="726" spans="1:5">
      <c r="A726" t="s">
        <v>42</v>
      </c>
      <c r="B726" t="s">
        <v>58</v>
      </c>
      <c r="C726" t="s">
        <v>5</v>
      </c>
      <c r="D726">
        <f>(AVERAGE(per_seed!$F$162:$F$171)-AVERAGE(per_seed!$F$12:$F$21))/AVERAGE(per_seed!$F$12:$F$21)*100</f>
        <v>-2.0015760441292425</v>
      </c>
      <c r="E726">
        <v>-2.0015760441292429</v>
      </c>
    </row>
    <row r="727" spans="1:5">
      <c r="A727" t="s">
        <v>44</v>
      </c>
      <c r="B727" t="s">
        <v>58</v>
      </c>
      <c r="C727" t="s">
        <v>5</v>
      </c>
      <c r="D727">
        <f>_xlfn.T.TEST(per_seed!$F$12:$F$21,per_seed!$F$162:$F$171,2,1)</f>
        <v>3.6965270369718428E-4</v>
      </c>
      <c r="E727">
        <v>3.6965270369719442E-4</v>
      </c>
    </row>
    <row r="728" spans="1:5">
      <c r="A728" t="s">
        <v>42</v>
      </c>
      <c r="B728" t="s">
        <v>58</v>
      </c>
      <c r="C728" t="s">
        <v>6</v>
      </c>
      <c r="D728">
        <f>(AVERAGE(per_seed!$G$162:$G$171)-AVERAGE(per_seed!$G$12:$G$21))/AVERAGE(per_seed!$G$12:$G$21)*100</f>
        <v>2.0830426437578491</v>
      </c>
      <c r="E728">
        <v>2.0830426437578211</v>
      </c>
    </row>
    <row r="729" spans="1:5">
      <c r="A729" t="s">
        <v>44</v>
      </c>
      <c r="B729" t="s">
        <v>58</v>
      </c>
      <c r="C729" t="s">
        <v>6</v>
      </c>
      <c r="D729">
        <f>_xlfn.T.TEST(per_seed!$G$12:$G$21,per_seed!$G$162:$G$171,2,1)</f>
        <v>0.20500682017945368</v>
      </c>
      <c r="E729">
        <v>0.20500682017945579</v>
      </c>
    </row>
    <row r="730" spans="1:5">
      <c r="A730" t="s">
        <v>42</v>
      </c>
      <c r="B730" t="s">
        <v>58</v>
      </c>
      <c r="C730" t="s">
        <v>7</v>
      </c>
      <c r="D730">
        <f>(AVERAGE(per_seed!$H$162:$H$171)-AVERAGE(per_seed!$H$12:$H$21))/AVERAGE(per_seed!$H$12:$H$21)*100</f>
        <v>-4.1876892028254202</v>
      </c>
      <c r="E730">
        <v>-4.1876892028254202</v>
      </c>
    </row>
    <row r="731" spans="1:5">
      <c r="A731" t="s">
        <v>44</v>
      </c>
      <c r="B731" t="s">
        <v>58</v>
      </c>
      <c r="C731" t="s">
        <v>7</v>
      </c>
      <c r="D731">
        <f>_xlfn.T.TEST(per_seed!$H$12:$H$21,per_seed!$H$162:$H$171,2,1)</f>
        <v>3.2198808859778938E-2</v>
      </c>
      <c r="E731">
        <v>3.2198808859778688E-2</v>
      </c>
    </row>
    <row r="732" spans="1:5">
      <c r="A732" t="s">
        <v>42</v>
      </c>
      <c r="B732" t="s">
        <v>58</v>
      </c>
      <c r="C732" t="s">
        <v>8</v>
      </c>
      <c r="D732">
        <f>(AVERAGE(per_seed!$I$162:$I$171)-AVERAGE(per_seed!$I$12:$I$21))/AVERAGE(per_seed!$I$12:$I$21)*100</f>
        <v>-2.2603218851651201</v>
      </c>
      <c r="E732">
        <v>-2.2603218851651552</v>
      </c>
    </row>
    <row r="733" spans="1:5">
      <c r="A733" t="s">
        <v>44</v>
      </c>
      <c r="B733" t="s">
        <v>58</v>
      </c>
      <c r="C733" t="s">
        <v>8</v>
      </c>
      <c r="D733">
        <f>_xlfn.T.TEST(per_seed!$I$12:$I$21,per_seed!$I$162:$I$171,2,1)</f>
        <v>0.16671605313164842</v>
      </c>
      <c r="E733">
        <v>0.166716053131646</v>
      </c>
    </row>
    <row r="734" spans="1:5">
      <c r="A734" t="s">
        <v>42</v>
      </c>
      <c r="B734" t="s">
        <v>58</v>
      </c>
      <c r="C734" t="s">
        <v>9</v>
      </c>
      <c r="D734">
        <f>(AVERAGE(per_seed!$J$162:$J$171)-AVERAGE(per_seed!$J$12:$J$21))/AVERAGE(per_seed!$J$12:$J$21)*100</f>
        <v>7.7289229005252341E-2</v>
      </c>
      <c r="E734">
        <v>7.7289229005275933E-2</v>
      </c>
    </row>
    <row r="735" spans="1:5">
      <c r="A735" t="s">
        <v>44</v>
      </c>
      <c r="B735" t="s">
        <v>58</v>
      </c>
      <c r="C735" t="s">
        <v>9</v>
      </c>
      <c r="D735">
        <f>_xlfn.T.TEST(per_seed!$J$12:$J$21,per_seed!$J$162:$J$171,2,1)</f>
        <v>0.94922580961257053</v>
      </c>
      <c r="E735">
        <v>0.94922580961256586</v>
      </c>
    </row>
    <row r="736" spans="1:5">
      <c r="A736" t="s">
        <v>42</v>
      </c>
      <c r="B736" t="s">
        <v>58</v>
      </c>
      <c r="C736" t="s">
        <v>10</v>
      </c>
      <c r="D736">
        <f>(AVERAGE(per_seed!$K$162:$K$171)-AVERAGE(per_seed!$K$12:$K$21))/AVERAGE(per_seed!$K$12:$K$21)*100</f>
        <v>2.2533331426226466</v>
      </c>
      <c r="E736">
        <v>2.253333142622659</v>
      </c>
    </row>
    <row r="737" spans="1:5">
      <c r="A737" t="s">
        <v>44</v>
      </c>
      <c r="B737" t="s">
        <v>58</v>
      </c>
      <c r="C737" t="s">
        <v>10</v>
      </c>
      <c r="D737">
        <f>_xlfn.T.TEST(per_seed!$K$12:$K$21,per_seed!$K$162:$K$171,2,1)</f>
        <v>6.5100254705064253E-2</v>
      </c>
      <c r="E737">
        <v>6.5100254705064226E-2</v>
      </c>
    </row>
    <row r="738" spans="1:5">
      <c r="A738" t="s">
        <v>42</v>
      </c>
      <c r="B738" t="s">
        <v>58</v>
      </c>
      <c r="C738" t="s">
        <v>11</v>
      </c>
      <c r="D738">
        <f>(AVERAGE(per_seed!$L$162:$L$171)-AVERAGE(per_seed!$L$12:$L$21))/AVERAGE(per_seed!$L$12:$L$21)*100</f>
        <v>24.329591275685754</v>
      </c>
      <c r="E738">
        <v>24.32959127568575</v>
      </c>
    </row>
    <row r="739" spans="1:5">
      <c r="A739" t="s">
        <v>44</v>
      </c>
      <c r="B739" t="s">
        <v>58</v>
      </c>
      <c r="C739" t="s">
        <v>11</v>
      </c>
      <c r="D739">
        <f>_xlfn.T.TEST(per_seed!$L$12:$L$21,per_seed!$L$162:$L$171,2,1)</f>
        <v>5.1826746863600731E-7</v>
      </c>
      <c r="E739">
        <v>5.1826746863601144E-7</v>
      </c>
    </row>
    <row r="740" spans="1:5">
      <c r="A740" t="s">
        <v>42</v>
      </c>
      <c r="B740" t="s">
        <v>58</v>
      </c>
      <c r="C740" t="s">
        <v>12</v>
      </c>
      <c r="D740">
        <f>(AVERAGE(per_seed!$M$162:$M$171)-AVERAGE(per_seed!$M$12:$M$21))/AVERAGE(per_seed!$M$12:$M$21)*100</f>
        <v>-37.703267303553424</v>
      </c>
      <c r="E740">
        <v>-37.703267303553403</v>
      </c>
    </row>
    <row r="741" spans="1:5">
      <c r="A741" t="s">
        <v>44</v>
      </c>
      <c r="B741" t="s">
        <v>58</v>
      </c>
      <c r="C741" t="s">
        <v>12</v>
      </c>
      <c r="D741">
        <f>_xlfn.T.TEST(per_seed!$M$12:$M$21,per_seed!$M$162:$M$171,2,1)</f>
        <v>1.0445288004453915E-2</v>
      </c>
      <c r="E741">
        <v>1.044528800445392E-2</v>
      </c>
    </row>
    <row r="742" spans="1:5">
      <c r="A742" t="s">
        <v>42</v>
      </c>
      <c r="B742" t="s">
        <v>59</v>
      </c>
      <c r="C742" t="s">
        <v>3</v>
      </c>
      <c r="D742">
        <f>(AVERAGE(per_seed!$D$172:$D$181)-AVERAGE(per_seed!$D$12:$D$21))/AVERAGE(per_seed!$D$12:$D$21)*100</f>
        <v>0.80073696145124396</v>
      </c>
      <c r="E742">
        <v>0.80073696145124396</v>
      </c>
    </row>
    <row r="743" spans="1:5">
      <c r="A743" t="s">
        <v>44</v>
      </c>
      <c r="B743" t="s">
        <v>59</v>
      </c>
      <c r="C743" t="s">
        <v>3</v>
      </c>
      <c r="D743">
        <f>_xlfn.T.TEST(per_seed!$D$12:$D$21,per_seed!$D$172:$D$181,2,1)</f>
        <v>2.5001044999347712E-2</v>
      </c>
      <c r="E743">
        <v>2.5001044999347279E-2</v>
      </c>
    </row>
    <row r="744" spans="1:5">
      <c r="A744" t="s">
        <v>42</v>
      </c>
      <c r="B744" t="s">
        <v>59</v>
      </c>
      <c r="C744" t="s">
        <v>4</v>
      </c>
      <c r="D744">
        <f>(AVERAGE(per_seed!$E$172:$E$181)-AVERAGE(per_seed!$E$12:$E$21))/AVERAGE(per_seed!$E$12:$E$21)*100</f>
        <v>1.0119695321001039</v>
      </c>
      <c r="E744">
        <v>1.0119695321001041</v>
      </c>
    </row>
    <row r="745" spans="1:5">
      <c r="A745" t="s">
        <v>44</v>
      </c>
      <c r="B745" t="s">
        <v>59</v>
      </c>
      <c r="C745" t="s">
        <v>4</v>
      </c>
      <c r="D745">
        <f>_xlfn.T.TEST(per_seed!$E$12:$E$21,per_seed!$E$172:$E$181,2,1)</f>
        <v>6.4050261471508094E-2</v>
      </c>
      <c r="E745">
        <v>6.4050261471506983E-2</v>
      </c>
    </row>
    <row r="746" spans="1:5">
      <c r="A746" t="s">
        <v>42</v>
      </c>
      <c r="B746" t="s">
        <v>59</v>
      </c>
      <c r="C746" t="s">
        <v>5</v>
      </c>
      <c r="D746">
        <f>(AVERAGE(per_seed!$F$172:$F$181)-AVERAGE(per_seed!$F$12:$F$21))/AVERAGE(per_seed!$F$12:$F$21)*100</f>
        <v>-1.7494089834515403</v>
      </c>
      <c r="E746">
        <v>-1.7494089834515401</v>
      </c>
    </row>
    <row r="747" spans="1:5">
      <c r="A747" t="s">
        <v>44</v>
      </c>
      <c r="B747" t="s">
        <v>59</v>
      </c>
      <c r="C747" t="s">
        <v>5</v>
      </c>
      <c r="D747">
        <f>_xlfn.T.TEST(per_seed!$F$12:$F$21,per_seed!$F$172:$F$181,2,1)</f>
        <v>7.258887644806214E-3</v>
      </c>
      <c r="E747">
        <v>7.2588876448062842E-3</v>
      </c>
    </row>
    <row r="748" spans="1:5">
      <c r="A748" t="s">
        <v>42</v>
      </c>
      <c r="B748" t="s">
        <v>59</v>
      </c>
      <c r="C748" t="s">
        <v>6</v>
      </c>
      <c r="D748">
        <f>(AVERAGE(per_seed!$G$172:$G$181)-AVERAGE(per_seed!$G$12:$G$21))/AVERAGE(per_seed!$G$12:$G$21)*100</f>
        <v>2.998719174490986</v>
      </c>
      <c r="E748">
        <v>2.9987191744909572</v>
      </c>
    </row>
    <row r="749" spans="1:5">
      <c r="A749" t="s">
        <v>44</v>
      </c>
      <c r="B749" t="s">
        <v>59</v>
      </c>
      <c r="C749" t="s">
        <v>6</v>
      </c>
      <c r="D749">
        <f>_xlfn.T.TEST(per_seed!$G$12:$G$21,per_seed!$G$172:$G$181,2,1)</f>
        <v>8.8784869729660237E-2</v>
      </c>
      <c r="E749">
        <v>8.878486972966082E-2</v>
      </c>
    </row>
    <row r="750" spans="1:5">
      <c r="A750" t="s">
        <v>42</v>
      </c>
      <c r="B750" t="s">
        <v>59</v>
      </c>
      <c r="C750" t="s">
        <v>7</v>
      </c>
      <c r="D750">
        <f>(AVERAGE(per_seed!$H$172:$H$181)-AVERAGE(per_seed!$H$12:$H$21))/AVERAGE(per_seed!$H$12:$H$21)*100</f>
        <v>-4.7931382441977801</v>
      </c>
      <c r="E750">
        <v>-4.7931382441977801</v>
      </c>
    </row>
    <row r="751" spans="1:5">
      <c r="A751" t="s">
        <v>44</v>
      </c>
      <c r="B751" t="s">
        <v>59</v>
      </c>
      <c r="C751" t="s">
        <v>7</v>
      </c>
      <c r="D751">
        <f>_xlfn.T.TEST(per_seed!$H$12:$H$21,per_seed!$H$172:$H$181,2,1)</f>
        <v>1.5689089227993301E-2</v>
      </c>
      <c r="E751">
        <v>1.5689089227993312E-2</v>
      </c>
    </row>
    <row r="752" spans="1:5">
      <c r="A752" t="s">
        <v>42</v>
      </c>
      <c r="B752" t="s">
        <v>59</v>
      </c>
      <c r="C752" t="s">
        <v>8</v>
      </c>
      <c r="D752">
        <f>(AVERAGE(per_seed!$I$172:$I$181)-AVERAGE(per_seed!$I$12:$I$21))/AVERAGE(per_seed!$I$12:$I$21)*100</f>
        <v>-3.1326733432524798</v>
      </c>
      <c r="E752">
        <v>-3.132673343252514</v>
      </c>
    </row>
    <row r="753" spans="1:5">
      <c r="A753" t="s">
        <v>44</v>
      </c>
      <c r="B753" t="s">
        <v>59</v>
      </c>
      <c r="C753" t="s">
        <v>8</v>
      </c>
      <c r="D753">
        <f>_xlfn.T.TEST(per_seed!$I$12:$I$21,per_seed!$I$172:$I$181,2,1)</f>
        <v>7.3010436572466697E-2</v>
      </c>
      <c r="E753">
        <v>7.3010436572466891E-2</v>
      </c>
    </row>
    <row r="754" spans="1:5">
      <c r="A754" t="s">
        <v>42</v>
      </c>
      <c r="B754" t="s">
        <v>59</v>
      </c>
      <c r="C754" t="s">
        <v>9</v>
      </c>
      <c r="D754">
        <f>(AVERAGE(per_seed!$J$172:$J$181)-AVERAGE(per_seed!$J$12:$J$21))/AVERAGE(per_seed!$J$12:$J$21)*100</f>
        <v>1.445359777516807</v>
      </c>
      <c r="E754">
        <v>1.445359777516831</v>
      </c>
    </row>
    <row r="755" spans="1:5">
      <c r="A755" t="s">
        <v>44</v>
      </c>
      <c r="B755" t="s">
        <v>59</v>
      </c>
      <c r="C755" t="s">
        <v>9</v>
      </c>
      <c r="D755">
        <f>_xlfn.T.TEST(per_seed!$J$12:$J$21,per_seed!$J$172:$J$181,2,1)</f>
        <v>0.19033288052648023</v>
      </c>
      <c r="E755">
        <v>0.19033288052648001</v>
      </c>
    </row>
    <row r="756" spans="1:5">
      <c r="A756" t="s">
        <v>42</v>
      </c>
      <c r="B756" t="s">
        <v>59</v>
      </c>
      <c r="C756" t="s">
        <v>10</v>
      </c>
      <c r="D756">
        <f>(AVERAGE(per_seed!$K$172:$K$181)-AVERAGE(per_seed!$K$12:$K$21))/AVERAGE(per_seed!$K$12:$K$21)*100</f>
        <v>3.5686654201788155</v>
      </c>
      <c r="E756">
        <v>3.5686654201788279</v>
      </c>
    </row>
    <row r="757" spans="1:5">
      <c r="A757" t="s">
        <v>44</v>
      </c>
      <c r="B757" t="s">
        <v>59</v>
      </c>
      <c r="C757" t="s">
        <v>10</v>
      </c>
      <c r="D757">
        <f>_xlfn.T.TEST(per_seed!$K$12:$K$21,per_seed!$K$172:$K$181,2,1)</f>
        <v>9.1367828953712888E-3</v>
      </c>
      <c r="E757">
        <v>9.1367828953714224E-3</v>
      </c>
    </row>
    <row r="758" spans="1:5">
      <c r="A758" t="s">
        <v>42</v>
      </c>
      <c r="B758" t="s">
        <v>59</v>
      </c>
      <c r="C758" t="s">
        <v>11</v>
      </c>
      <c r="D758">
        <f>(AVERAGE(per_seed!$L$172:$L$181)-AVERAGE(per_seed!$L$12:$L$21))/AVERAGE(per_seed!$L$12:$L$21)*100</f>
        <v>23.436058504447544</v>
      </c>
      <c r="E758">
        <v>23.436058504447541</v>
      </c>
    </row>
    <row r="759" spans="1:5">
      <c r="A759" t="s">
        <v>44</v>
      </c>
      <c r="B759" t="s">
        <v>59</v>
      </c>
      <c r="C759" t="s">
        <v>11</v>
      </c>
      <c r="D759">
        <f>_xlfn.T.TEST(per_seed!$L$12:$L$21,per_seed!$L$172:$L$181,2,1)</f>
        <v>1.1972731979061607E-4</v>
      </c>
      <c r="E759">
        <v>1.197273197906158E-4</v>
      </c>
    </row>
    <row r="760" spans="1:5">
      <c r="A760" t="s">
        <v>42</v>
      </c>
      <c r="B760" t="s">
        <v>59</v>
      </c>
      <c r="C760" t="s">
        <v>12</v>
      </c>
      <c r="D760">
        <f>(AVERAGE(per_seed!$M$172:$M$181)-AVERAGE(per_seed!$M$12:$M$21))/AVERAGE(per_seed!$M$12:$M$21)*100</f>
        <v>-36.69932970369485</v>
      </c>
      <c r="E760">
        <v>-36.699329703694843</v>
      </c>
    </row>
    <row r="761" spans="1:5">
      <c r="A761" t="s">
        <v>44</v>
      </c>
      <c r="B761" t="s">
        <v>59</v>
      </c>
      <c r="C761" t="s">
        <v>12</v>
      </c>
      <c r="D761">
        <f>_xlfn.T.TEST(per_seed!$M$12:$M$21,per_seed!$M$172:$M$181,2,1)</f>
        <v>2.9396727851272224E-2</v>
      </c>
      <c r="E761">
        <v>2.9396727851272231E-2</v>
      </c>
    </row>
    <row r="762" spans="1:5">
      <c r="A762" t="s">
        <v>42</v>
      </c>
      <c r="B762" t="s">
        <v>60</v>
      </c>
      <c r="C762" t="s">
        <v>3</v>
      </c>
      <c r="D762">
        <f>(AVERAGE(per_seed!$D$182:$D$191)-AVERAGE(per_seed!$D$12:$D$21))/AVERAGE(per_seed!$D$12:$D$21)*100</f>
        <v>0.79365079365079694</v>
      </c>
      <c r="E762">
        <v>0.79365079365079694</v>
      </c>
    </row>
    <row r="763" spans="1:5">
      <c r="A763" t="s">
        <v>44</v>
      </c>
      <c r="B763" t="s">
        <v>60</v>
      </c>
      <c r="C763" t="s">
        <v>3</v>
      </c>
      <c r="D763">
        <f>_xlfn.T.TEST(per_seed!$D$12:$D$21,per_seed!$D$182:$D$191,2,1)</f>
        <v>1.3457926618792535E-2</v>
      </c>
      <c r="E763">
        <v>1.3457926618792811E-2</v>
      </c>
    </row>
    <row r="764" spans="1:5">
      <c r="A764" t="s">
        <v>42</v>
      </c>
      <c r="B764" t="s">
        <v>60</v>
      </c>
      <c r="C764" t="s">
        <v>4</v>
      </c>
      <c r="D764">
        <f>(AVERAGE(per_seed!$E$182:$E$191)-AVERAGE(per_seed!$E$12:$E$21))/AVERAGE(per_seed!$E$12:$E$21)*100</f>
        <v>1.3601741022850924</v>
      </c>
      <c r="E764">
        <v>1.3601741022850919</v>
      </c>
    </row>
    <row r="765" spans="1:5">
      <c r="A765" t="s">
        <v>44</v>
      </c>
      <c r="B765" t="s">
        <v>60</v>
      </c>
      <c r="C765" t="s">
        <v>4</v>
      </c>
      <c r="D765">
        <f>_xlfn.T.TEST(per_seed!$E$12:$E$21,per_seed!$E$182:$E$191,2,1)</f>
        <v>2.503029685855176E-3</v>
      </c>
      <c r="E765">
        <v>2.503029685855176E-3</v>
      </c>
    </row>
    <row r="766" spans="1:5">
      <c r="A766" t="s">
        <v>42</v>
      </c>
      <c r="B766" t="s">
        <v>60</v>
      </c>
      <c r="C766" t="s">
        <v>5</v>
      </c>
      <c r="D766">
        <f>(AVERAGE(per_seed!$F$182:$F$191)-AVERAGE(per_seed!$F$12:$F$21))/AVERAGE(per_seed!$F$12:$F$21)*100</f>
        <v>-1.6390858944050397</v>
      </c>
      <c r="E766">
        <v>-1.6390858944050399</v>
      </c>
    </row>
    <row r="767" spans="1:5">
      <c r="A767" t="s">
        <v>44</v>
      </c>
      <c r="B767" t="s">
        <v>60</v>
      </c>
      <c r="C767" t="s">
        <v>5</v>
      </c>
      <c r="D767">
        <f>_xlfn.T.TEST(per_seed!$F$12:$F$21,per_seed!$F$182:$F$191,2,1)</f>
        <v>2.4733506673318027E-3</v>
      </c>
      <c r="E767">
        <v>2.4733506673317702E-3</v>
      </c>
    </row>
    <row r="768" spans="1:5">
      <c r="A768" t="s">
        <v>42</v>
      </c>
      <c r="B768" t="s">
        <v>60</v>
      </c>
      <c r="C768" t="s">
        <v>6</v>
      </c>
      <c r="D768">
        <f>(AVERAGE(per_seed!$G$182:$G$191)-AVERAGE(per_seed!$G$12:$G$21))/AVERAGE(per_seed!$G$12:$G$21)*100</f>
        <v>3.4501698080012022</v>
      </c>
      <c r="E768">
        <v>3.4501698080011738</v>
      </c>
    </row>
    <row r="769" spans="1:5">
      <c r="A769" t="s">
        <v>44</v>
      </c>
      <c r="B769" t="s">
        <v>60</v>
      </c>
      <c r="C769" t="s">
        <v>6</v>
      </c>
      <c r="D769">
        <f>_xlfn.T.TEST(per_seed!$G$12:$G$21,per_seed!$G$182:$G$191,2,1)</f>
        <v>5.4841393669246195E-2</v>
      </c>
      <c r="E769">
        <v>5.4841393669247659E-2</v>
      </c>
    </row>
    <row r="770" spans="1:5">
      <c r="A770" t="s">
        <v>42</v>
      </c>
      <c r="B770" t="s">
        <v>60</v>
      </c>
      <c r="C770" t="s">
        <v>7</v>
      </c>
      <c r="D770">
        <f>(AVERAGE(per_seed!$H$182:$H$191)-AVERAGE(per_seed!$H$12:$H$21))/AVERAGE(per_seed!$H$12:$H$21)*100</f>
        <v>-5.095862764883953</v>
      </c>
      <c r="E770">
        <v>-5.095862764883953</v>
      </c>
    </row>
    <row r="771" spans="1:5">
      <c r="A771" t="s">
        <v>44</v>
      </c>
      <c r="B771" t="s">
        <v>60</v>
      </c>
      <c r="C771" t="s">
        <v>7</v>
      </c>
      <c r="D771">
        <f>_xlfn.T.TEST(per_seed!$H$12:$H$21,per_seed!$H$182:$H$191,2,1)</f>
        <v>1.0289443345690917E-2</v>
      </c>
      <c r="E771">
        <v>1.0289443345690879E-2</v>
      </c>
    </row>
    <row r="772" spans="1:5">
      <c r="A772" t="s">
        <v>42</v>
      </c>
      <c r="B772" t="s">
        <v>60</v>
      </c>
      <c r="C772" t="s">
        <v>8</v>
      </c>
      <c r="D772">
        <f>(AVERAGE(per_seed!$I$182:$I$191)-AVERAGE(per_seed!$I$12:$I$21))/AVERAGE(per_seed!$I$12:$I$21)*100</f>
        <v>-3.5285985173054346</v>
      </c>
      <c r="E772">
        <v>-3.528598517305451</v>
      </c>
    </row>
    <row r="773" spans="1:5">
      <c r="A773" t="s">
        <v>44</v>
      </c>
      <c r="B773" t="s">
        <v>60</v>
      </c>
      <c r="C773" t="s">
        <v>8</v>
      </c>
      <c r="D773">
        <f>_xlfn.T.TEST(per_seed!$I$12:$I$21,per_seed!$I$182:$I$191,2,1)</f>
        <v>4.4953637094559566E-2</v>
      </c>
      <c r="E773">
        <v>4.4953637094560288E-2</v>
      </c>
    </row>
    <row r="774" spans="1:5">
      <c r="A774" t="s">
        <v>42</v>
      </c>
      <c r="B774" t="s">
        <v>60</v>
      </c>
      <c r="C774" t="s">
        <v>9</v>
      </c>
      <c r="D774">
        <f>(AVERAGE(per_seed!$J$182:$J$191)-AVERAGE(per_seed!$J$12:$J$21))/AVERAGE(per_seed!$J$12:$J$21)*100</f>
        <v>1.7930177602888144</v>
      </c>
      <c r="E774">
        <v>1.793017760288814</v>
      </c>
    </row>
    <row r="775" spans="1:5">
      <c r="A775" t="s">
        <v>44</v>
      </c>
      <c r="B775" t="s">
        <v>60</v>
      </c>
      <c r="C775" t="s">
        <v>9</v>
      </c>
      <c r="D775">
        <f>_xlfn.T.TEST(per_seed!$J$12:$J$21,per_seed!$J$182:$J$191,2,1)</f>
        <v>0.13040494683168868</v>
      </c>
      <c r="E775">
        <v>0.1304049468316873</v>
      </c>
    </row>
    <row r="776" spans="1:5">
      <c r="A776" t="s">
        <v>42</v>
      </c>
      <c r="B776" t="s">
        <v>60</v>
      </c>
      <c r="C776" t="s">
        <v>10</v>
      </c>
      <c r="D776">
        <f>(AVERAGE(per_seed!$K$182:$K$191)-AVERAGE(per_seed!$K$12:$K$21))/AVERAGE(per_seed!$K$12:$K$21)*100</f>
        <v>3.9535319190974407</v>
      </c>
      <c r="E776">
        <v>3.9535319190974421</v>
      </c>
    </row>
    <row r="777" spans="1:5">
      <c r="A777" t="s">
        <v>44</v>
      </c>
      <c r="B777" t="s">
        <v>60</v>
      </c>
      <c r="C777" t="s">
        <v>10</v>
      </c>
      <c r="D777">
        <f>_xlfn.T.TEST(per_seed!$K$12:$K$21,per_seed!$K$182:$K$191,2,1)</f>
        <v>7.2445593371197924E-3</v>
      </c>
      <c r="E777">
        <v>7.2445593371199563E-3</v>
      </c>
    </row>
    <row r="778" spans="1:5">
      <c r="A778" t="s">
        <v>42</v>
      </c>
      <c r="B778" t="s">
        <v>60</v>
      </c>
      <c r="C778" t="s">
        <v>11</v>
      </c>
      <c r="D778">
        <f>(AVERAGE(per_seed!$L$182:$L$191)-AVERAGE(per_seed!$L$12:$L$21))/AVERAGE(per_seed!$L$12:$L$21)*100</f>
        <v>25.356842988844125</v>
      </c>
      <c r="E778">
        <v>25.356842988844129</v>
      </c>
    </row>
    <row r="779" spans="1:5">
      <c r="A779" t="s">
        <v>44</v>
      </c>
      <c r="B779" t="s">
        <v>60</v>
      </c>
      <c r="C779" t="s">
        <v>11</v>
      </c>
      <c r="D779">
        <f>_xlfn.T.TEST(per_seed!$L$12:$L$21,per_seed!$L$182:$L$191,2,1)</f>
        <v>4.4858700191784913E-6</v>
      </c>
      <c r="E779">
        <v>4.4858700191785277E-6</v>
      </c>
    </row>
    <row r="780" spans="1:5">
      <c r="A780" t="s">
        <v>42</v>
      </c>
      <c r="B780" t="s">
        <v>60</v>
      </c>
      <c r="C780" t="s">
        <v>12</v>
      </c>
      <c r="D780">
        <f>(AVERAGE(per_seed!$M$182:$M$191)-AVERAGE(per_seed!$M$12:$M$21))/AVERAGE(per_seed!$M$12:$M$21)*100</f>
        <v>-36.905227085630401</v>
      </c>
      <c r="E780">
        <v>-36.905227085630372</v>
      </c>
    </row>
    <row r="781" spans="1:5">
      <c r="A781" t="s">
        <v>44</v>
      </c>
      <c r="B781" t="s">
        <v>60</v>
      </c>
      <c r="C781" t="s">
        <v>12</v>
      </c>
      <c r="D781">
        <f>_xlfn.T.TEST(per_seed!$M$12:$M$21,per_seed!$M$182:$M$191,2,1)</f>
        <v>1.4861922781504453E-2</v>
      </c>
      <c r="E781">
        <v>1.486192278150447E-2</v>
      </c>
    </row>
    <row r="782" spans="1:5">
      <c r="A782" t="s">
        <v>42</v>
      </c>
      <c r="B782" t="s">
        <v>61</v>
      </c>
      <c r="C782" t="s">
        <v>3</v>
      </c>
      <c r="D782">
        <f>(AVERAGE(per_seed!$D$192:$D$201)-AVERAGE(per_seed!$D$12:$D$21))/AVERAGE(per_seed!$D$12:$D$21)*100</f>
        <v>-5.8815192743764166</v>
      </c>
      <c r="E782">
        <v>-5.8815192743764166</v>
      </c>
    </row>
    <row r="783" spans="1:5">
      <c r="A783" t="s">
        <v>44</v>
      </c>
      <c r="B783" t="s">
        <v>61</v>
      </c>
      <c r="C783" t="s">
        <v>3</v>
      </c>
      <c r="D783">
        <f>_xlfn.T.TEST(per_seed!$D$12:$D$21,per_seed!$D$192:$D$201,2,1)</f>
        <v>3.7259591631328963E-2</v>
      </c>
      <c r="E783">
        <v>3.7259591631328942E-2</v>
      </c>
    </row>
    <row r="784" spans="1:5">
      <c r="A784" t="s">
        <v>42</v>
      </c>
      <c r="B784" t="s">
        <v>61</v>
      </c>
      <c r="C784" t="s">
        <v>4</v>
      </c>
      <c r="D784">
        <f>(AVERAGE(per_seed!$E$192:$E$201)-AVERAGE(per_seed!$E$12:$E$21))/AVERAGE(per_seed!$E$12:$E$21)*100</f>
        <v>-5.6039173014145804</v>
      </c>
      <c r="E784">
        <v>-5.6039173014145804</v>
      </c>
    </row>
    <row r="785" spans="1:5">
      <c r="A785" t="s">
        <v>44</v>
      </c>
      <c r="B785" t="s">
        <v>61</v>
      </c>
      <c r="C785" t="s">
        <v>4</v>
      </c>
      <c r="D785">
        <f>_xlfn.T.TEST(per_seed!$E$12:$E$21,per_seed!$E$192:$E$201,2,1)</f>
        <v>4.1995744458017632E-2</v>
      </c>
      <c r="E785">
        <v>4.1995744458017598E-2</v>
      </c>
    </row>
    <row r="786" spans="1:5">
      <c r="A786" t="s">
        <v>42</v>
      </c>
      <c r="B786" t="s">
        <v>61</v>
      </c>
      <c r="C786" t="s">
        <v>5</v>
      </c>
      <c r="D786">
        <f>(AVERAGE(per_seed!$F$192:$F$201)-AVERAGE(per_seed!$F$12:$F$21))/AVERAGE(per_seed!$F$12:$F$21)*100</f>
        <v>-7.0449172576832222</v>
      </c>
      <c r="E786">
        <v>-7.0449172576832222</v>
      </c>
    </row>
    <row r="787" spans="1:5">
      <c r="A787" t="s">
        <v>44</v>
      </c>
      <c r="B787" t="s">
        <v>61</v>
      </c>
      <c r="C787" t="s">
        <v>5</v>
      </c>
      <c r="D787">
        <f>_xlfn.T.TEST(per_seed!$F$12:$F$21,per_seed!$F$192:$F$201,2,1)</f>
        <v>1.2069280614164993E-2</v>
      </c>
      <c r="E787">
        <v>1.206928061416505E-2</v>
      </c>
    </row>
    <row r="788" spans="1:5">
      <c r="A788" t="s">
        <v>42</v>
      </c>
      <c r="B788" t="s">
        <v>61</v>
      </c>
      <c r="C788" t="s">
        <v>6</v>
      </c>
      <c r="D788">
        <f>(AVERAGE(per_seed!$G$192:$G$201)-AVERAGE(per_seed!$G$12:$G$21))/AVERAGE(per_seed!$G$12:$G$21)*100</f>
        <v>1.9495646340006574</v>
      </c>
      <c r="E788">
        <v>1.949564634000629</v>
      </c>
    </row>
    <row r="789" spans="1:5">
      <c r="A789" t="s">
        <v>44</v>
      </c>
      <c r="B789" t="s">
        <v>61</v>
      </c>
      <c r="C789" t="s">
        <v>6</v>
      </c>
      <c r="D789">
        <f>_xlfn.T.TEST(per_seed!$G$12:$G$21,per_seed!$G$192:$G$201,2,1)</f>
        <v>0.180519230001942</v>
      </c>
      <c r="E789">
        <v>0.18051923000194661</v>
      </c>
    </row>
    <row r="790" spans="1:5">
      <c r="A790" t="s">
        <v>42</v>
      </c>
      <c r="B790" t="s">
        <v>61</v>
      </c>
      <c r="C790" t="s">
        <v>7</v>
      </c>
      <c r="D790">
        <f>(AVERAGE(per_seed!$H$192:$H$201)-AVERAGE(per_seed!$H$12:$H$21))/AVERAGE(per_seed!$H$12:$H$21)*100</f>
        <v>-8.7790110998990816</v>
      </c>
      <c r="E790">
        <v>-8.7790110998990816</v>
      </c>
    </row>
    <row r="791" spans="1:5">
      <c r="A791" t="s">
        <v>44</v>
      </c>
      <c r="B791" t="s">
        <v>61</v>
      </c>
      <c r="C791" t="s">
        <v>7</v>
      </c>
      <c r="D791">
        <f>_xlfn.T.TEST(per_seed!$H$12:$H$21,per_seed!$H$192:$H$201,2,1)</f>
        <v>2.0022426492702174E-3</v>
      </c>
      <c r="E791">
        <v>2.002242649270201E-3</v>
      </c>
    </row>
    <row r="792" spans="1:5">
      <c r="A792" t="s">
        <v>42</v>
      </c>
      <c r="B792" t="s">
        <v>61</v>
      </c>
      <c r="C792" t="s">
        <v>8</v>
      </c>
      <c r="D792">
        <f>(AVERAGE(per_seed!$I$192:$I$201)-AVERAGE(per_seed!$I$12:$I$21))/AVERAGE(per_seed!$I$12:$I$21)*100</f>
        <v>-1.9974728987548092</v>
      </c>
      <c r="E792">
        <v>-1.997472898754844</v>
      </c>
    </row>
    <row r="793" spans="1:5">
      <c r="A793" t="s">
        <v>44</v>
      </c>
      <c r="B793" t="s">
        <v>61</v>
      </c>
      <c r="C793" t="s">
        <v>8</v>
      </c>
      <c r="D793">
        <f>_xlfn.T.TEST(per_seed!$I$12:$I$21,per_seed!$I$192:$I$201,2,1)</f>
        <v>0.16678683187917437</v>
      </c>
      <c r="E793">
        <v>0.16678683187917109</v>
      </c>
    </row>
    <row r="794" spans="1:5">
      <c r="A794" t="s">
        <v>42</v>
      </c>
      <c r="B794" t="s">
        <v>61</v>
      </c>
      <c r="C794" t="s">
        <v>9</v>
      </c>
      <c r="D794">
        <f>(AVERAGE(per_seed!$J$192:$J$201)-AVERAGE(per_seed!$J$12:$J$21))/AVERAGE(per_seed!$J$12:$J$21)*100</f>
        <v>-2.655875627841457</v>
      </c>
      <c r="E794">
        <v>-2.655875627841457</v>
      </c>
    </row>
    <row r="795" spans="1:5">
      <c r="A795" t="s">
        <v>44</v>
      </c>
      <c r="B795" t="s">
        <v>61</v>
      </c>
      <c r="C795" t="s">
        <v>9</v>
      </c>
      <c r="D795">
        <f>_xlfn.T.TEST(per_seed!$J$12:$J$21,per_seed!$J$192:$J$201,2,1)</f>
        <v>4.7664876291984978E-3</v>
      </c>
      <c r="E795">
        <v>4.7664876291984076E-3</v>
      </c>
    </row>
    <row r="796" spans="1:5">
      <c r="A796" t="s">
        <v>42</v>
      </c>
      <c r="B796" t="s">
        <v>61</v>
      </c>
      <c r="C796" t="s">
        <v>10</v>
      </c>
      <c r="D796">
        <f>(AVERAGE(per_seed!$K$192:$K$201)-AVERAGE(per_seed!$K$12:$K$21))/AVERAGE(per_seed!$K$12:$K$21)*100</f>
        <v>-1.1112508620104675</v>
      </c>
      <c r="E796">
        <v>-1.111250862010456</v>
      </c>
    </row>
    <row r="797" spans="1:5">
      <c r="A797" t="s">
        <v>44</v>
      </c>
      <c r="B797" t="s">
        <v>61</v>
      </c>
      <c r="C797" t="s">
        <v>10</v>
      </c>
      <c r="D797">
        <f>_xlfn.T.TEST(per_seed!$K$12:$K$21,per_seed!$K$192:$K$201,2,1)</f>
        <v>0.19903757000477673</v>
      </c>
      <c r="E797">
        <v>0.19903757000478561</v>
      </c>
    </row>
    <row r="798" spans="1:5">
      <c r="A798" t="s">
        <v>42</v>
      </c>
      <c r="B798" t="s">
        <v>61</v>
      </c>
      <c r="C798" t="s">
        <v>11</v>
      </c>
      <c r="D798">
        <f>(AVERAGE(per_seed!$L$192:$L$201)-AVERAGE(per_seed!$L$12:$L$21))/AVERAGE(per_seed!$L$12:$L$21)*100</f>
        <v>10.145017673311809</v>
      </c>
      <c r="E798">
        <v>10.145017673311809</v>
      </c>
    </row>
    <row r="799" spans="1:5">
      <c r="A799" t="s">
        <v>44</v>
      </c>
      <c r="B799" t="s">
        <v>61</v>
      </c>
      <c r="C799" t="s">
        <v>11</v>
      </c>
      <c r="D799">
        <f>_xlfn.T.TEST(per_seed!$L$12:$L$21,per_seed!$L$192:$L$201,2,1)</f>
        <v>2.2893316012140522E-2</v>
      </c>
      <c r="E799">
        <v>2.289331601214048E-2</v>
      </c>
    </row>
    <row r="800" spans="1:5">
      <c r="A800" t="s">
        <v>42</v>
      </c>
      <c r="B800" t="s">
        <v>61</v>
      </c>
      <c r="C800" t="s">
        <v>12</v>
      </c>
      <c r="D800">
        <f>(AVERAGE(per_seed!$M$192:$M$201)-AVERAGE(per_seed!$M$12:$M$21))/AVERAGE(per_seed!$M$12:$M$21)*100</f>
        <v>280.61408516144098</v>
      </c>
      <c r="E800">
        <v>280.61408516144098</v>
      </c>
    </row>
    <row r="801" spans="1:5">
      <c r="A801" t="s">
        <v>44</v>
      </c>
      <c r="B801" t="s">
        <v>61</v>
      </c>
      <c r="C801" t="s">
        <v>12</v>
      </c>
      <c r="D801">
        <f>_xlfn.T.TEST(per_seed!$M$12:$M$21,per_seed!$M$192:$M$201,2,1)</f>
        <v>3.6619808445684569E-2</v>
      </c>
      <c r="E801">
        <v>3.66198084456845E-2</v>
      </c>
    </row>
    <row r="802" spans="1:5">
      <c r="A802" t="s">
        <v>42</v>
      </c>
      <c r="B802" t="s">
        <v>62</v>
      </c>
      <c r="C802" t="s">
        <v>3</v>
      </c>
      <c r="D802">
        <f>(AVERAGE(per_seed!$D$202:$D$211)-AVERAGE(per_seed!$D$12:$D$21))/AVERAGE(per_seed!$D$12:$D$21)*100</f>
        <v>9.2120181405892468E-2</v>
      </c>
      <c r="E802">
        <v>9.2120181405892468E-2</v>
      </c>
    </row>
    <row r="803" spans="1:5">
      <c r="A803" t="s">
        <v>44</v>
      </c>
      <c r="B803" t="s">
        <v>62</v>
      </c>
      <c r="C803" t="s">
        <v>3</v>
      </c>
      <c r="D803">
        <f>_xlfn.T.TEST(per_seed!$D$12:$D$21,per_seed!$D$202:$D$211,2,1)</f>
        <v>0.69870437067777935</v>
      </c>
      <c r="E803">
        <v>0.6987043706777698</v>
      </c>
    </row>
    <row r="804" spans="1:5">
      <c r="A804" t="s">
        <v>42</v>
      </c>
      <c r="B804" t="s">
        <v>62</v>
      </c>
      <c r="C804" t="s">
        <v>4</v>
      </c>
      <c r="D804">
        <f>(AVERAGE(per_seed!$E$202:$E$211)-AVERAGE(per_seed!$E$12:$E$21))/AVERAGE(per_seed!$E$12:$E$21)*100</f>
        <v>0.51142546245919973</v>
      </c>
      <c r="E804">
        <v>0.51142546245919973</v>
      </c>
    </row>
    <row r="805" spans="1:5">
      <c r="A805" t="s">
        <v>44</v>
      </c>
      <c r="B805" t="s">
        <v>62</v>
      </c>
      <c r="C805" t="s">
        <v>4</v>
      </c>
      <c r="D805">
        <f>_xlfn.T.TEST(per_seed!$E$12:$E$21,per_seed!$E$202:$E$211,2,1)</f>
        <v>0.16492552897159665</v>
      </c>
      <c r="E805">
        <v>0.16492552897160051</v>
      </c>
    </row>
    <row r="806" spans="1:5">
      <c r="A806" t="s">
        <v>42</v>
      </c>
      <c r="B806" t="s">
        <v>62</v>
      </c>
      <c r="C806" t="s">
        <v>5</v>
      </c>
      <c r="D806">
        <f>(AVERAGE(per_seed!$F$202:$F$211)-AVERAGE(per_seed!$F$12:$F$21))/AVERAGE(per_seed!$F$12:$F$21)*100</f>
        <v>-2.4586288416075686</v>
      </c>
      <c r="E806">
        <v>-2.458628841607569</v>
      </c>
    </row>
    <row r="807" spans="1:5">
      <c r="A807" t="s">
        <v>44</v>
      </c>
      <c r="B807" t="s">
        <v>62</v>
      </c>
      <c r="C807" t="s">
        <v>5</v>
      </c>
      <c r="D807">
        <f>_xlfn.T.TEST(per_seed!$F$12:$F$21,per_seed!$F$202:$F$211,2,1)</f>
        <v>9.6179734393273375E-6</v>
      </c>
      <c r="E807">
        <v>9.6179734393274849E-6</v>
      </c>
    </row>
    <row r="808" spans="1:5">
      <c r="A808" t="s">
        <v>42</v>
      </c>
      <c r="B808" t="s">
        <v>62</v>
      </c>
      <c r="C808" t="s">
        <v>6</v>
      </c>
      <c r="D808">
        <f>(AVERAGE(per_seed!$G$202:$G$211)-AVERAGE(per_seed!$G$12:$G$21))/AVERAGE(per_seed!$G$12:$G$21)*100</f>
        <v>0.67682687829937971</v>
      </c>
      <c r="E808">
        <v>0.67682687829933807</v>
      </c>
    </row>
    <row r="809" spans="1:5">
      <c r="A809" t="s">
        <v>44</v>
      </c>
      <c r="B809" t="s">
        <v>62</v>
      </c>
      <c r="C809" t="s">
        <v>6</v>
      </c>
      <c r="D809">
        <f>_xlfn.T.TEST(per_seed!$G$12:$G$21,per_seed!$G$202:$G$211,2,1)</f>
        <v>0.69760421241458848</v>
      </c>
      <c r="E809">
        <v>0.69760421241459869</v>
      </c>
    </row>
    <row r="810" spans="1:5">
      <c r="A810" t="s">
        <v>42</v>
      </c>
      <c r="B810" t="s">
        <v>62</v>
      </c>
      <c r="C810" t="s">
        <v>7</v>
      </c>
      <c r="D810">
        <f>(AVERAGE(per_seed!$H$202:$H$211)-AVERAGE(per_seed!$H$12:$H$21))/AVERAGE(per_seed!$H$12:$H$21)*100</f>
        <v>-3.2795156407669022</v>
      </c>
      <c r="E810">
        <v>-3.2795156407669022</v>
      </c>
    </row>
    <row r="811" spans="1:5">
      <c r="A811" t="s">
        <v>44</v>
      </c>
      <c r="B811" t="s">
        <v>62</v>
      </c>
      <c r="C811" t="s">
        <v>7</v>
      </c>
      <c r="D811">
        <f>_xlfn.T.TEST(per_seed!$H$12:$H$21,per_seed!$H$202:$H$211,2,1)</f>
        <v>0.10729302682613551</v>
      </c>
      <c r="E811">
        <v>0.1072930268261356</v>
      </c>
    </row>
    <row r="812" spans="1:5">
      <c r="A812" t="s">
        <v>42</v>
      </c>
      <c r="B812" t="s">
        <v>62</v>
      </c>
      <c r="C812" t="s">
        <v>8</v>
      </c>
      <c r="D812">
        <f>(AVERAGE(per_seed!$I$202:$I$211)-AVERAGE(per_seed!$I$12:$I$21))/AVERAGE(per_seed!$I$12:$I$21)*100</f>
        <v>-0.85738731991199646</v>
      </c>
      <c r="E812">
        <v>-0.85738731991204953</v>
      </c>
    </row>
    <row r="813" spans="1:5">
      <c r="A813" t="s">
        <v>44</v>
      </c>
      <c r="B813" t="s">
        <v>62</v>
      </c>
      <c r="C813" t="s">
        <v>8</v>
      </c>
      <c r="D813">
        <f>_xlfn.T.TEST(per_seed!$I$12:$I$21,per_seed!$I$202:$I$211,2,1)</f>
        <v>0.62210555484171115</v>
      </c>
      <c r="E813">
        <v>0.62210555484170382</v>
      </c>
    </row>
    <row r="814" spans="1:5">
      <c r="A814" t="s">
        <v>42</v>
      </c>
      <c r="B814" t="s">
        <v>62</v>
      </c>
      <c r="C814" t="s">
        <v>9</v>
      </c>
      <c r="D814">
        <f>(AVERAGE(per_seed!$J$202:$J$211)-AVERAGE(per_seed!$J$12:$J$21))/AVERAGE(per_seed!$J$12:$J$21)*100</f>
        <v>-1.0065086818197269</v>
      </c>
      <c r="E814">
        <v>-1.0065086818197511</v>
      </c>
    </row>
    <row r="815" spans="1:5">
      <c r="A815" t="s">
        <v>44</v>
      </c>
      <c r="B815" t="s">
        <v>62</v>
      </c>
      <c r="C815" t="s">
        <v>9</v>
      </c>
      <c r="D815">
        <f>_xlfn.T.TEST(per_seed!$J$12:$J$21,per_seed!$J$202:$J$211,2,1)</f>
        <v>0.47716511848597343</v>
      </c>
      <c r="E815">
        <v>0.47716511848596599</v>
      </c>
    </row>
    <row r="816" spans="1:5">
      <c r="A816" t="s">
        <v>42</v>
      </c>
      <c r="B816" t="s">
        <v>62</v>
      </c>
      <c r="C816" t="s">
        <v>10</v>
      </c>
      <c r="D816">
        <f>(AVERAGE(per_seed!$K$202:$K$211)-AVERAGE(per_seed!$K$12:$K$21))/AVERAGE(per_seed!$K$12:$K$21)*100</f>
        <v>1.3112501126994274</v>
      </c>
      <c r="E816">
        <v>1.31125011269944</v>
      </c>
    </row>
    <row r="817" spans="1:5">
      <c r="A817" t="s">
        <v>44</v>
      </c>
      <c r="B817" t="s">
        <v>62</v>
      </c>
      <c r="C817" t="s">
        <v>10</v>
      </c>
      <c r="D817">
        <f>_xlfn.T.TEST(per_seed!$K$12:$K$21,per_seed!$K$202:$K$211,2,1)</f>
        <v>0.31673017586953106</v>
      </c>
      <c r="E817">
        <v>0.31673017586953012</v>
      </c>
    </row>
    <row r="818" spans="1:5">
      <c r="A818" t="s">
        <v>42</v>
      </c>
      <c r="B818" t="s">
        <v>62</v>
      </c>
      <c r="C818" t="s">
        <v>11</v>
      </c>
      <c r="D818">
        <f>(AVERAGE(per_seed!$L$202:$L$211)-AVERAGE(per_seed!$L$12:$L$21))/AVERAGE(per_seed!$L$12:$L$21)*100</f>
        <v>22.322770573368835</v>
      </c>
      <c r="E818">
        <v>22.322770573368839</v>
      </c>
    </row>
    <row r="819" spans="1:5">
      <c r="A819" t="s">
        <v>44</v>
      </c>
      <c r="B819" t="s">
        <v>62</v>
      </c>
      <c r="C819" t="s">
        <v>11</v>
      </c>
      <c r="D819">
        <f>_xlfn.T.TEST(per_seed!$L$12:$L$21,per_seed!$L$202:$L$211,2,1)</f>
        <v>1.6122028781125134E-4</v>
      </c>
      <c r="E819">
        <v>1.6122028781125181E-4</v>
      </c>
    </row>
    <row r="820" spans="1:5">
      <c r="A820" t="s">
        <v>42</v>
      </c>
      <c r="B820" t="s">
        <v>62</v>
      </c>
      <c r="C820" t="s">
        <v>12</v>
      </c>
      <c r="D820">
        <f>(AVERAGE(per_seed!$M$202:$M$211)-AVERAGE(per_seed!$M$12:$M$21))/AVERAGE(per_seed!$M$12:$M$21)*100</f>
        <v>-3.4792148844726629</v>
      </c>
      <c r="E820">
        <v>-3.479214884472642</v>
      </c>
    </row>
    <row r="821" spans="1:5">
      <c r="A821" t="s">
        <v>44</v>
      </c>
      <c r="B821" t="s">
        <v>62</v>
      </c>
      <c r="C821" t="s">
        <v>12</v>
      </c>
      <c r="D821">
        <f>_xlfn.T.TEST(per_seed!$M$12:$M$21,per_seed!$M$202:$M$211,2,1)</f>
        <v>0.75566811514331866</v>
      </c>
      <c r="E821">
        <v>0.75566811514331755</v>
      </c>
    </row>
    <row r="822" spans="1:5">
      <c r="A822" t="s">
        <v>42</v>
      </c>
      <c r="B822" t="s">
        <v>63</v>
      </c>
      <c r="C822" t="s">
        <v>3</v>
      </c>
      <c r="D822">
        <f>(AVERAGE(per_seed!$D$212:$D$221)-AVERAGE(per_seed!$D$12:$D$21))/AVERAGE(per_seed!$D$12:$D$21)*100</f>
        <v>0.80073696145124396</v>
      </c>
      <c r="E822">
        <v>0.80073696145124396</v>
      </c>
    </row>
    <row r="823" spans="1:5">
      <c r="A823" t="s">
        <v>44</v>
      </c>
      <c r="B823" t="s">
        <v>63</v>
      </c>
      <c r="C823" t="s">
        <v>3</v>
      </c>
      <c r="D823">
        <f>_xlfn.T.TEST(per_seed!$D$12:$D$21,per_seed!$D$212:$D$221,2,1)</f>
        <v>9.4803142240683907E-3</v>
      </c>
      <c r="E823">
        <v>9.480314224068179E-3</v>
      </c>
    </row>
    <row r="824" spans="1:5">
      <c r="A824" t="s">
        <v>42</v>
      </c>
      <c r="B824" t="s">
        <v>63</v>
      </c>
      <c r="C824" t="s">
        <v>4</v>
      </c>
      <c r="D824">
        <f>(AVERAGE(per_seed!$E$212:$E$221)-AVERAGE(per_seed!$E$12:$E$21))/AVERAGE(per_seed!$E$12:$E$21)*100</f>
        <v>0.88139281828074245</v>
      </c>
      <c r="E824">
        <v>0.88139281828074245</v>
      </c>
    </row>
    <row r="825" spans="1:5">
      <c r="A825" t="s">
        <v>44</v>
      </c>
      <c r="B825" t="s">
        <v>63</v>
      </c>
      <c r="C825" t="s">
        <v>4</v>
      </c>
      <c r="D825">
        <f>_xlfn.T.TEST(per_seed!$E$12:$E$21,per_seed!$E$212:$E$221,2,1)</f>
        <v>8.5810399868000195E-2</v>
      </c>
      <c r="E825">
        <v>8.5810399868000986E-2</v>
      </c>
    </row>
    <row r="826" spans="1:5">
      <c r="A826" t="s">
        <v>42</v>
      </c>
      <c r="B826" t="s">
        <v>63</v>
      </c>
      <c r="C826" t="s">
        <v>5</v>
      </c>
      <c r="D826">
        <f>(AVERAGE(per_seed!$F$212:$F$221)-AVERAGE(per_seed!$F$12:$F$21))/AVERAGE(per_seed!$F$12:$F$21)*100</f>
        <v>-2.0015760441292425</v>
      </c>
      <c r="E826">
        <v>-2.0015760441292429</v>
      </c>
    </row>
    <row r="827" spans="1:5">
      <c r="A827" t="s">
        <v>44</v>
      </c>
      <c r="B827" t="s">
        <v>63</v>
      </c>
      <c r="C827" t="s">
        <v>5</v>
      </c>
      <c r="D827">
        <f>_xlfn.T.TEST(per_seed!$F$12:$F$21,per_seed!$F$212:$F$221,2,1)</f>
        <v>3.6965270369718428E-4</v>
      </c>
      <c r="E827">
        <v>3.6965270369719442E-4</v>
      </c>
    </row>
    <row r="828" spans="1:5">
      <c r="A828" t="s">
        <v>42</v>
      </c>
      <c r="B828" t="s">
        <v>63</v>
      </c>
      <c r="C828" t="s">
        <v>6</v>
      </c>
      <c r="D828">
        <f>(AVERAGE(per_seed!$G$212:$G$221)-AVERAGE(per_seed!$G$12:$G$21))/AVERAGE(per_seed!$G$12:$G$21)*100</f>
        <v>2.0830426437578491</v>
      </c>
      <c r="E828">
        <v>2.0830426437578211</v>
      </c>
    </row>
    <row r="829" spans="1:5">
      <c r="A829" t="s">
        <v>44</v>
      </c>
      <c r="B829" t="s">
        <v>63</v>
      </c>
      <c r="C829" t="s">
        <v>6</v>
      </c>
      <c r="D829">
        <f>_xlfn.T.TEST(per_seed!$G$12:$G$21,per_seed!$G$212:$G$221,2,1)</f>
        <v>0.20500682017945368</v>
      </c>
      <c r="E829">
        <v>0.20500682017945579</v>
      </c>
    </row>
    <row r="830" spans="1:5">
      <c r="A830" t="s">
        <v>42</v>
      </c>
      <c r="B830" t="s">
        <v>63</v>
      </c>
      <c r="C830" t="s">
        <v>7</v>
      </c>
      <c r="D830">
        <f>(AVERAGE(per_seed!$H$212:$H$221)-AVERAGE(per_seed!$H$12:$H$21))/AVERAGE(per_seed!$H$12:$H$21)*100</f>
        <v>-4.1876892028254202</v>
      </c>
      <c r="E830">
        <v>-4.1876892028254202</v>
      </c>
    </row>
    <row r="831" spans="1:5">
      <c r="A831" t="s">
        <v>44</v>
      </c>
      <c r="B831" t="s">
        <v>63</v>
      </c>
      <c r="C831" t="s">
        <v>7</v>
      </c>
      <c r="D831">
        <f>_xlfn.T.TEST(per_seed!$H$12:$H$21,per_seed!$H$212:$H$221,2,1)</f>
        <v>3.2198808859778938E-2</v>
      </c>
      <c r="E831">
        <v>3.2198808859778688E-2</v>
      </c>
    </row>
    <row r="832" spans="1:5">
      <c r="A832" t="s">
        <v>42</v>
      </c>
      <c r="B832" t="s">
        <v>63</v>
      </c>
      <c r="C832" t="s">
        <v>8</v>
      </c>
      <c r="D832">
        <f>(AVERAGE(per_seed!$I$212:$I$221)-AVERAGE(per_seed!$I$12:$I$21))/AVERAGE(per_seed!$I$12:$I$21)*100</f>
        <v>-2.2603218851651201</v>
      </c>
      <c r="E832">
        <v>-2.2603218851651552</v>
      </c>
    </row>
    <row r="833" spans="1:5">
      <c r="A833" t="s">
        <v>44</v>
      </c>
      <c r="B833" t="s">
        <v>63</v>
      </c>
      <c r="C833" t="s">
        <v>8</v>
      </c>
      <c r="D833">
        <f>_xlfn.T.TEST(per_seed!$I$12:$I$21,per_seed!$I$212:$I$221,2,1)</f>
        <v>0.16671605313164842</v>
      </c>
      <c r="E833">
        <v>0.166716053131646</v>
      </c>
    </row>
    <row r="834" spans="1:5">
      <c r="A834" t="s">
        <v>42</v>
      </c>
      <c r="B834" t="s">
        <v>63</v>
      </c>
      <c r="C834" t="s">
        <v>9</v>
      </c>
      <c r="D834">
        <f>(AVERAGE(per_seed!$J$212:$J$221)-AVERAGE(per_seed!$J$12:$J$21))/AVERAGE(per_seed!$J$12:$J$21)*100</f>
        <v>7.7289229005252341E-2</v>
      </c>
      <c r="E834">
        <v>7.7289229005275933E-2</v>
      </c>
    </row>
    <row r="835" spans="1:5">
      <c r="A835" t="s">
        <v>44</v>
      </c>
      <c r="B835" t="s">
        <v>63</v>
      </c>
      <c r="C835" t="s">
        <v>9</v>
      </c>
      <c r="D835">
        <f>_xlfn.T.TEST(per_seed!$J$12:$J$21,per_seed!$J$212:$J$221,2,1)</f>
        <v>0.94922580961257053</v>
      </c>
      <c r="E835">
        <v>0.94922580961256586</v>
      </c>
    </row>
    <row r="836" spans="1:5">
      <c r="A836" t="s">
        <v>42</v>
      </c>
      <c r="B836" t="s">
        <v>63</v>
      </c>
      <c r="C836" t="s">
        <v>10</v>
      </c>
      <c r="D836">
        <f>(AVERAGE(per_seed!$K$212:$K$221)-AVERAGE(per_seed!$K$12:$K$21))/AVERAGE(per_seed!$K$12:$K$21)*100</f>
        <v>2.2533331426226466</v>
      </c>
      <c r="E836">
        <v>2.253333142622659</v>
      </c>
    </row>
    <row r="837" spans="1:5">
      <c r="A837" t="s">
        <v>44</v>
      </c>
      <c r="B837" t="s">
        <v>63</v>
      </c>
      <c r="C837" t="s">
        <v>10</v>
      </c>
      <c r="D837">
        <f>_xlfn.T.TEST(per_seed!$K$12:$K$21,per_seed!$K$212:$K$221,2,1)</f>
        <v>6.5100254705064253E-2</v>
      </c>
      <c r="E837">
        <v>6.5100254705064226E-2</v>
      </c>
    </row>
    <row r="838" spans="1:5">
      <c r="A838" t="s">
        <v>42</v>
      </c>
      <c r="B838" t="s">
        <v>63</v>
      </c>
      <c r="C838" t="s">
        <v>11</v>
      </c>
      <c r="D838">
        <f>(AVERAGE(per_seed!$L$212:$L$221)-AVERAGE(per_seed!$L$12:$L$21))/AVERAGE(per_seed!$L$12:$L$21)*100</f>
        <v>24.329591275685754</v>
      </c>
      <c r="E838">
        <v>24.32959127568575</v>
      </c>
    </row>
    <row r="839" spans="1:5">
      <c r="A839" t="s">
        <v>44</v>
      </c>
      <c r="B839" t="s">
        <v>63</v>
      </c>
      <c r="C839" t="s">
        <v>11</v>
      </c>
      <c r="D839">
        <f>_xlfn.T.TEST(per_seed!$L$12:$L$21,per_seed!$L$212:$L$221,2,1)</f>
        <v>5.1826746863600731E-7</v>
      </c>
      <c r="E839">
        <v>5.1826746863601144E-7</v>
      </c>
    </row>
    <row r="840" spans="1:5">
      <c r="A840" t="s">
        <v>42</v>
      </c>
      <c r="B840" t="s">
        <v>63</v>
      </c>
      <c r="C840" t="s">
        <v>12</v>
      </c>
      <c r="D840">
        <f>(AVERAGE(per_seed!$M$212:$M$221)-AVERAGE(per_seed!$M$12:$M$21))/AVERAGE(per_seed!$M$12:$M$21)*100</f>
        <v>-37.703267303553424</v>
      </c>
      <c r="E840">
        <v>-37.703267303553403</v>
      </c>
    </row>
    <row r="841" spans="1:5">
      <c r="A841" t="s">
        <v>44</v>
      </c>
      <c r="B841" t="s">
        <v>63</v>
      </c>
      <c r="C841" t="s">
        <v>12</v>
      </c>
      <c r="D841">
        <f>_xlfn.T.TEST(per_seed!$M$12:$M$21,per_seed!$M$212:$M$221,2,1)</f>
        <v>1.0445288004453915E-2</v>
      </c>
      <c r="E841">
        <v>1.044528800445392E-2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2026-09-16T01:11:28Z</dcterms:created>
  <dcterms:modified xsi:type="dcterms:W3CDTF">2026-09-16T01:11:31Z</dcterms:modified>
</cp:coreProperties>
</file>