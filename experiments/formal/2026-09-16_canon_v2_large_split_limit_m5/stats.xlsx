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esop\Desktop\EE-RAWSim-O_PP\experiments\formal\2026-09-16_canon_v2_large_split_limit_m5\"/>
    </mc:Choice>
  </mc:AlternateContent>
  <xr:revisionPtr revIDLastSave="0" documentId="13_ncr:1_{AA241FAA-7554-45A5-8B99-5F241F37B97A}" xr6:coauthVersionLast="47" xr6:coauthVersionMax="47" xr10:uidLastSave="{00000000-0000-0000-0000-000000000000}"/>
  <bookViews>
    <workbookView xWindow="28680" yWindow="-12645" windowWidth="16440" windowHeight="28320" xr2:uid="{00000000-000D-0000-FFFF-FFFF00000000}"/>
  </bookViews>
  <sheets>
    <sheet name="per_seed" sheetId="1" r:id="rId1"/>
    <sheet name="excel_chec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41" i="2" l="1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<sst xmlns="http://schemas.openxmlformats.org/spreadsheetml/2006/main" count="478" uniqueCount="29">
  <si>
    <t>arm</t>
  </si>
  <si>
    <t>bots</t>
  </si>
  <si>
    <t>seed</t>
  </si>
  <si>
    <t>Items</t>
  </si>
  <si>
    <t>Lines</t>
  </si>
  <si>
    <t>Orders</t>
  </si>
  <si>
    <t>Pile-on</t>
  </si>
  <si>
    <t>Trips</t>
  </si>
  <si>
    <t>Trips/Orders</t>
  </si>
  <si>
    <t>m/Line</t>
  </si>
  <si>
    <t>EOR(kJ/order)</t>
  </si>
  <si>
    <t>TurnoverMedian(s)</t>
  </si>
  <si>
    <t>StationIdle(%)</t>
  </si>
  <si>
    <t>m5_45b</t>
  </si>
  <si>
    <t>m5_n2_45b</t>
  </si>
  <si>
    <t>m5_n3_45b</t>
  </si>
  <si>
    <t>m5_n4_45b</t>
  </si>
  <si>
    <t>kind</t>
  </si>
  <si>
    <t>arm_or_comparison</t>
  </si>
  <si>
    <t>metric</t>
  </si>
  <si>
    <t>excel_value</t>
  </si>
  <si>
    <t>python_value</t>
  </si>
  <si>
    <t>mean</t>
  </si>
  <si>
    <t>sd</t>
  </si>
  <si>
    <t>pct</t>
  </si>
  <si>
    <t>m5_n2_45b vs m5_45b</t>
  </si>
  <si>
    <t>p</t>
  </si>
  <si>
    <t>m5_n3_45b vs m5_45b</t>
  </si>
  <si>
    <t>m5_n4_45b vs m5_45b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</si>
</sst>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workbookViewId="0"/>
  </sheetViews>
  <sheetFormatPr defaultRowHeight="15.75"/>
  <cols>
    <col min="1" max="13" width="18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45</v>
      </c>
      <c r="C2">
        <v>0</v>
      </c>
      <c r="D2">
        <v>8328</v>
      </c>
      <c r="E2">
        <v>5381</v>
      </c>
      <c r="F2">
        <v>3409</v>
      </c>
      <c r="G2">
        <v>7.4758771929824563</v>
      </c>
      <c r="H2">
        <v>456</v>
      </c>
      <c r="I2">
        <v>0.1337635670284541</v>
      </c>
      <c r="J2">
        <v>20.777516014337479</v>
      </c>
      <c r="K2">
        <v>3.62290037798555</v>
      </c>
      <c r="L2">
        <v>381.92491340152202</v>
      </c>
      <c r="M2">
        <v>3.6891342240970459</v>
      </c>
    </row>
    <row r="3" spans="1:13">
      <c r="A3" t="s">
        <v>13</v>
      </c>
      <c r="B3">
        <v>45</v>
      </c>
      <c r="C3">
        <v>1</v>
      </c>
      <c r="D3">
        <v>8316</v>
      </c>
      <c r="E3">
        <v>5405</v>
      </c>
      <c r="F3">
        <v>3324</v>
      </c>
      <c r="G3">
        <v>7.6064073226544622</v>
      </c>
      <c r="H3">
        <v>437</v>
      </c>
      <c r="I3">
        <v>0.13146811070998801</v>
      </c>
      <c r="J3">
        <v>20.25337948345717</v>
      </c>
      <c r="K3">
        <v>3.6466145182048701</v>
      </c>
      <c r="L3">
        <v>412.02314575051702</v>
      </c>
      <c r="M3">
        <v>3.8320109822279629</v>
      </c>
    </row>
    <row r="4" spans="1:13">
      <c r="A4" t="s">
        <v>13</v>
      </c>
      <c r="B4">
        <v>45</v>
      </c>
      <c r="C4">
        <v>2</v>
      </c>
      <c r="D4">
        <v>8324</v>
      </c>
      <c r="E4">
        <v>5371</v>
      </c>
      <c r="F4">
        <v>3380</v>
      </c>
      <c r="G4">
        <v>7.7168949771689501</v>
      </c>
      <c r="H4">
        <v>438</v>
      </c>
      <c r="I4">
        <v>0.12958579881656801</v>
      </c>
      <c r="J4">
        <v>20.70861694183634</v>
      </c>
      <c r="K4">
        <v>3.6464953569353198</v>
      </c>
      <c r="L4">
        <v>402.07129869396101</v>
      </c>
      <c r="M4">
        <v>3.7022262137774171</v>
      </c>
    </row>
    <row r="5" spans="1:13">
      <c r="A5" t="s">
        <v>13</v>
      </c>
      <c r="B5">
        <v>45</v>
      </c>
      <c r="C5">
        <v>3</v>
      </c>
      <c r="D5">
        <v>8332</v>
      </c>
      <c r="E5">
        <v>5397</v>
      </c>
      <c r="F5">
        <v>3441</v>
      </c>
      <c r="G5">
        <v>7.6636971046770599</v>
      </c>
      <c r="H5">
        <v>449</v>
      </c>
      <c r="I5">
        <v>0.1304853240337111</v>
      </c>
      <c r="J5">
        <v>20.256725259566242</v>
      </c>
      <c r="K5">
        <v>3.49217952698026</v>
      </c>
      <c r="L5">
        <v>376.89028137424202</v>
      </c>
      <c r="M5">
        <v>3.6058670362805039</v>
      </c>
    </row>
    <row r="6" spans="1:13">
      <c r="A6" t="s">
        <v>13</v>
      </c>
      <c r="B6">
        <v>45</v>
      </c>
      <c r="C6">
        <v>4</v>
      </c>
      <c r="D6">
        <v>8298</v>
      </c>
      <c r="E6">
        <v>5357</v>
      </c>
      <c r="F6">
        <v>3340</v>
      </c>
      <c r="G6">
        <v>7.5225225225225234</v>
      </c>
      <c r="H6">
        <v>444</v>
      </c>
      <c r="I6">
        <v>0.13293413173652691</v>
      </c>
      <c r="J6">
        <v>20.386417143956511</v>
      </c>
      <c r="K6">
        <v>3.5784393916667199</v>
      </c>
      <c r="L6">
        <v>414.97870849900102</v>
      </c>
      <c r="M6">
        <v>4.015729166666735</v>
      </c>
    </row>
    <row r="7" spans="1:13">
      <c r="A7" t="s">
        <v>13</v>
      </c>
      <c r="B7">
        <v>45</v>
      </c>
      <c r="C7">
        <v>5</v>
      </c>
      <c r="D7">
        <v>8329</v>
      </c>
      <c r="E7">
        <v>5479</v>
      </c>
      <c r="F7">
        <v>3451</v>
      </c>
      <c r="G7">
        <v>7.634955752212389</v>
      </c>
      <c r="H7">
        <v>452</v>
      </c>
      <c r="I7">
        <v>0.13097652854245151</v>
      </c>
      <c r="J7">
        <v>20.329890075804158</v>
      </c>
      <c r="K7">
        <v>3.5526807515351599</v>
      </c>
      <c r="L7">
        <v>386.33694804091999</v>
      </c>
      <c r="M7">
        <v>3.6676713224782902</v>
      </c>
    </row>
    <row r="8" spans="1:13">
      <c r="A8" t="s">
        <v>13</v>
      </c>
      <c r="B8">
        <v>45</v>
      </c>
      <c r="C8">
        <v>6</v>
      </c>
      <c r="D8">
        <v>8289</v>
      </c>
      <c r="E8">
        <v>5420</v>
      </c>
      <c r="F8">
        <v>3405</v>
      </c>
      <c r="G8">
        <v>7.6862302483069973</v>
      </c>
      <c r="H8">
        <v>443</v>
      </c>
      <c r="I8">
        <v>0.13010279001468431</v>
      </c>
      <c r="J8">
        <v>20.33808467334207</v>
      </c>
      <c r="K8">
        <v>3.5732713590898899</v>
      </c>
      <c r="L8">
        <v>403.588708499002</v>
      </c>
      <c r="M8">
        <v>4.1389554513199176</v>
      </c>
    </row>
    <row r="9" spans="1:13">
      <c r="A9" t="s">
        <v>13</v>
      </c>
      <c r="B9">
        <v>45</v>
      </c>
      <c r="C9">
        <v>7</v>
      </c>
      <c r="D9">
        <v>8325</v>
      </c>
      <c r="E9">
        <v>5409</v>
      </c>
      <c r="F9">
        <v>3369</v>
      </c>
      <c r="G9">
        <v>7.4370860927152318</v>
      </c>
      <c r="H9">
        <v>453</v>
      </c>
      <c r="I9">
        <v>0.13446126447016921</v>
      </c>
      <c r="J9">
        <v>20.991225874092439</v>
      </c>
      <c r="K9">
        <v>3.7265996726082999</v>
      </c>
      <c r="L9">
        <v>395.85156568238898</v>
      </c>
      <c r="M9">
        <v>3.6889030429773508</v>
      </c>
    </row>
    <row r="10" spans="1:13">
      <c r="A10" t="s">
        <v>13</v>
      </c>
      <c r="B10">
        <v>45</v>
      </c>
      <c r="C10">
        <v>8</v>
      </c>
      <c r="D10">
        <v>8298</v>
      </c>
      <c r="E10">
        <v>5357</v>
      </c>
      <c r="F10">
        <v>3344</v>
      </c>
      <c r="G10">
        <v>7.8867924528301883</v>
      </c>
      <c r="H10">
        <v>424</v>
      </c>
      <c r="I10">
        <v>0.12679425837320571</v>
      </c>
      <c r="J10">
        <v>20.03182673472709</v>
      </c>
      <c r="K10">
        <v>3.5493354020071699</v>
      </c>
      <c r="L10">
        <v>406.16166666668801</v>
      </c>
      <c r="M10">
        <v>4.039065814922945</v>
      </c>
    </row>
    <row r="11" spans="1:13">
      <c r="A11" t="s">
        <v>13</v>
      </c>
      <c r="B11">
        <v>45</v>
      </c>
      <c r="C11">
        <v>9</v>
      </c>
      <c r="D11">
        <v>8343</v>
      </c>
      <c r="E11">
        <v>5393</v>
      </c>
      <c r="F11">
        <v>3390</v>
      </c>
      <c r="G11">
        <v>7.617977528089888</v>
      </c>
      <c r="H11">
        <v>445</v>
      </c>
      <c r="I11">
        <v>0.13126843657817111</v>
      </c>
      <c r="J11">
        <v>20.40824645247821</v>
      </c>
      <c r="K11">
        <v>3.6211016582943398</v>
      </c>
      <c r="L11">
        <v>371.95342712475099</v>
      </c>
      <c r="M11">
        <v>3.502566362629723</v>
      </c>
    </row>
    <row r="12" spans="1:13">
      <c r="A12" t="s">
        <v>14</v>
      </c>
      <c r="B12">
        <v>45</v>
      </c>
      <c r="C12">
        <v>0</v>
      </c>
      <c r="D12">
        <v>8370</v>
      </c>
      <c r="E12">
        <v>5461</v>
      </c>
      <c r="F12">
        <v>3506</v>
      </c>
      <c r="G12">
        <v>5.0738060781476122</v>
      </c>
      <c r="H12">
        <v>691</v>
      </c>
      <c r="I12">
        <v>0.19709070165430689</v>
      </c>
      <c r="J12">
        <v>25.16899570622121</v>
      </c>
      <c r="K12">
        <v>4.3503893970943297</v>
      </c>
      <c r="L12">
        <v>343.97898268029701</v>
      </c>
      <c r="M12">
        <v>3.2196196415987388</v>
      </c>
    </row>
    <row r="13" spans="1:13">
      <c r="A13" t="s">
        <v>14</v>
      </c>
      <c r="B13">
        <v>45</v>
      </c>
      <c r="C13">
        <v>1</v>
      </c>
      <c r="D13">
        <v>8369</v>
      </c>
      <c r="E13">
        <v>5448</v>
      </c>
      <c r="F13">
        <v>3473</v>
      </c>
      <c r="G13">
        <v>5.2304216867469879</v>
      </c>
      <c r="H13">
        <v>664</v>
      </c>
      <c r="I13">
        <v>0.19118917362510801</v>
      </c>
      <c r="J13">
        <v>24.83822148256516</v>
      </c>
      <c r="K13">
        <v>4.2860962994216401</v>
      </c>
      <c r="L13">
        <v>361.92807353780699</v>
      </c>
      <c r="M13">
        <v>3.1976504796135772</v>
      </c>
    </row>
    <row r="14" spans="1:13">
      <c r="A14" t="s">
        <v>14</v>
      </c>
      <c r="B14">
        <v>45</v>
      </c>
      <c r="C14">
        <v>2</v>
      </c>
      <c r="D14">
        <v>8394</v>
      </c>
      <c r="E14">
        <v>5427</v>
      </c>
      <c r="F14">
        <v>3447</v>
      </c>
      <c r="G14">
        <v>5.0174672489082974</v>
      </c>
      <c r="H14">
        <v>687</v>
      </c>
      <c r="I14">
        <v>0.19930374238468229</v>
      </c>
      <c r="J14">
        <v>25.532792404355629</v>
      </c>
      <c r="K14">
        <v>4.4115896726145296</v>
      </c>
      <c r="L14">
        <v>361.54444444445801</v>
      </c>
      <c r="M14">
        <v>2.9160857748874021</v>
      </c>
    </row>
    <row r="15" spans="1:13">
      <c r="A15" t="s">
        <v>14</v>
      </c>
      <c r="B15">
        <v>45</v>
      </c>
      <c r="C15">
        <v>3</v>
      </c>
      <c r="D15">
        <v>8380</v>
      </c>
      <c r="E15">
        <v>5426</v>
      </c>
      <c r="F15">
        <v>3486</v>
      </c>
      <c r="G15">
        <v>4.848400556328234</v>
      </c>
      <c r="H15">
        <v>719</v>
      </c>
      <c r="I15">
        <v>0.20625358577165809</v>
      </c>
      <c r="J15">
        <v>25.950566753985811</v>
      </c>
      <c r="K15">
        <v>4.4133577350675299</v>
      </c>
      <c r="L15">
        <v>348.87011537021999</v>
      </c>
      <c r="M15">
        <v>3.0792112330995032</v>
      </c>
    </row>
    <row r="16" spans="1:13">
      <c r="A16" t="s">
        <v>14</v>
      </c>
      <c r="B16">
        <v>45</v>
      </c>
      <c r="C16">
        <v>4</v>
      </c>
      <c r="D16">
        <v>8376</v>
      </c>
      <c r="E16">
        <v>5433</v>
      </c>
      <c r="F16">
        <v>3433</v>
      </c>
      <c r="G16">
        <v>4.677111716621253</v>
      </c>
      <c r="H16">
        <v>734</v>
      </c>
      <c r="I16">
        <v>0.21380716574424699</v>
      </c>
      <c r="J16">
        <v>26.633503762885329</v>
      </c>
      <c r="K16">
        <v>4.5989834996005801</v>
      </c>
      <c r="L16">
        <v>373.994444444431</v>
      </c>
      <c r="M16">
        <v>3.118057467590365</v>
      </c>
    </row>
    <row r="17" spans="1:13">
      <c r="A17" t="s">
        <v>14</v>
      </c>
      <c r="B17">
        <v>45</v>
      </c>
      <c r="C17">
        <v>5</v>
      </c>
      <c r="D17">
        <v>8379</v>
      </c>
      <c r="E17">
        <v>5505</v>
      </c>
      <c r="F17">
        <v>3557</v>
      </c>
      <c r="G17">
        <v>5.1327561327561328</v>
      </c>
      <c r="H17">
        <v>693</v>
      </c>
      <c r="I17">
        <v>0.19482710149001969</v>
      </c>
      <c r="J17">
        <v>25.14689374153588</v>
      </c>
      <c r="K17">
        <v>4.2769164891576104</v>
      </c>
      <c r="L17">
        <v>353.306031705549</v>
      </c>
      <c r="M17">
        <v>3.0709774242041412</v>
      </c>
    </row>
    <row r="18" spans="1:13">
      <c r="A18" t="s">
        <v>14</v>
      </c>
      <c r="B18">
        <v>45</v>
      </c>
      <c r="C18">
        <v>6</v>
      </c>
      <c r="D18">
        <v>8373</v>
      </c>
      <c r="E18">
        <v>5416</v>
      </c>
      <c r="F18">
        <v>3476</v>
      </c>
      <c r="G18">
        <v>5.1803278688524594</v>
      </c>
      <c r="H18">
        <v>671</v>
      </c>
      <c r="I18">
        <v>0.19303797468354431</v>
      </c>
      <c r="J18">
        <v>25.469504740031201</v>
      </c>
      <c r="K18">
        <v>4.3981599901609698</v>
      </c>
      <c r="L18">
        <v>368.149076471738</v>
      </c>
      <c r="M18">
        <v>3.1597509063414781</v>
      </c>
    </row>
    <row r="19" spans="1:13">
      <c r="A19" t="s">
        <v>14</v>
      </c>
      <c r="B19">
        <v>45</v>
      </c>
      <c r="C19">
        <v>7</v>
      </c>
      <c r="D19">
        <v>8361</v>
      </c>
      <c r="E19">
        <v>5396</v>
      </c>
      <c r="F19">
        <v>3446</v>
      </c>
      <c r="G19">
        <v>4.994202898550725</v>
      </c>
      <c r="H19">
        <v>690</v>
      </c>
      <c r="I19">
        <v>0.20023215322112589</v>
      </c>
      <c r="J19">
        <v>25.509893615561161</v>
      </c>
      <c r="K19">
        <v>4.4022355780452598</v>
      </c>
      <c r="L19">
        <v>349.94972581866801</v>
      </c>
      <c r="M19">
        <v>3.296869612898103</v>
      </c>
    </row>
    <row r="20" spans="1:13">
      <c r="A20" t="s">
        <v>14</v>
      </c>
      <c r="B20">
        <v>45</v>
      </c>
      <c r="C20">
        <v>8</v>
      </c>
      <c r="D20">
        <v>8367</v>
      </c>
      <c r="E20">
        <v>5402</v>
      </c>
      <c r="F20">
        <v>3460</v>
      </c>
      <c r="G20">
        <v>5.4574132492113563</v>
      </c>
      <c r="H20">
        <v>634</v>
      </c>
      <c r="I20">
        <v>0.1832369942196532</v>
      </c>
      <c r="J20">
        <v>24.186334784888931</v>
      </c>
      <c r="K20">
        <v>4.1311109027500601</v>
      </c>
      <c r="L20">
        <v>361.64352091615501</v>
      </c>
      <c r="M20">
        <v>3.2404940352893288</v>
      </c>
    </row>
    <row r="21" spans="1:13">
      <c r="A21" t="s">
        <v>14</v>
      </c>
      <c r="B21">
        <v>45</v>
      </c>
      <c r="C21">
        <v>9</v>
      </c>
      <c r="D21">
        <v>8393</v>
      </c>
      <c r="E21">
        <v>5427</v>
      </c>
      <c r="F21">
        <v>3480</v>
      </c>
      <c r="G21">
        <v>5.0361794500723587</v>
      </c>
      <c r="H21">
        <v>691</v>
      </c>
      <c r="I21">
        <v>0.1985632183908046</v>
      </c>
      <c r="J21">
        <v>25.217885828906951</v>
      </c>
      <c r="K21">
        <v>4.3180850414250704</v>
      </c>
      <c r="L21">
        <v>360.39981961012001</v>
      </c>
      <c r="M21">
        <v>2.9307295173071779</v>
      </c>
    </row>
    <row r="22" spans="1:13">
      <c r="A22" t="s">
        <v>15</v>
      </c>
      <c r="B22">
        <v>45</v>
      </c>
      <c r="C22">
        <v>0</v>
      </c>
      <c r="D22">
        <v>8284</v>
      </c>
      <c r="E22">
        <v>5434</v>
      </c>
      <c r="F22">
        <v>3455</v>
      </c>
      <c r="G22">
        <v>6.9797979797979801</v>
      </c>
      <c r="H22">
        <v>495</v>
      </c>
      <c r="I22">
        <v>0.14327062228654119</v>
      </c>
      <c r="J22">
        <v>21.587735441788919</v>
      </c>
      <c r="K22">
        <v>3.69125380589165</v>
      </c>
      <c r="L22">
        <v>397.22359312852399</v>
      </c>
      <c r="M22">
        <v>4.2128041575951736</v>
      </c>
    </row>
    <row r="23" spans="1:13">
      <c r="A23" t="s">
        <v>15</v>
      </c>
      <c r="B23">
        <v>45</v>
      </c>
      <c r="C23">
        <v>1</v>
      </c>
      <c r="D23">
        <v>8252</v>
      </c>
      <c r="E23">
        <v>5396</v>
      </c>
      <c r="F23">
        <v>3389</v>
      </c>
      <c r="G23">
        <v>6.9446721311475406</v>
      </c>
      <c r="H23">
        <v>488</v>
      </c>
      <c r="I23">
        <v>0.14399527884331659</v>
      </c>
      <c r="J23">
        <v>21.055337771442549</v>
      </c>
      <c r="K23">
        <v>3.6849499360817202</v>
      </c>
      <c r="L23">
        <v>389.93453823584599</v>
      </c>
      <c r="M23">
        <v>4.5424672980397451</v>
      </c>
    </row>
    <row r="24" spans="1:13">
      <c r="A24" t="s">
        <v>15</v>
      </c>
      <c r="B24">
        <v>45</v>
      </c>
      <c r="C24">
        <v>2</v>
      </c>
      <c r="D24">
        <v>8351</v>
      </c>
      <c r="E24">
        <v>5361</v>
      </c>
      <c r="F24">
        <v>3352</v>
      </c>
      <c r="G24">
        <v>7.071729957805907</v>
      </c>
      <c r="H24">
        <v>474</v>
      </c>
      <c r="I24">
        <v>0.14140811455847249</v>
      </c>
      <c r="J24">
        <v>21.29382965333669</v>
      </c>
      <c r="K24">
        <v>3.75147163536271</v>
      </c>
      <c r="L24">
        <v>415.40342712473603</v>
      </c>
      <c r="M24">
        <v>3.4307212491751109</v>
      </c>
    </row>
    <row r="25" spans="1:13">
      <c r="A25" t="s">
        <v>15</v>
      </c>
      <c r="B25">
        <v>45</v>
      </c>
      <c r="C25">
        <v>3</v>
      </c>
      <c r="D25">
        <v>8272</v>
      </c>
      <c r="E25">
        <v>5348</v>
      </c>
      <c r="F25">
        <v>3391</v>
      </c>
      <c r="G25">
        <v>7.1389473684210527</v>
      </c>
      <c r="H25">
        <v>475</v>
      </c>
      <c r="I25">
        <v>0.1400766735476261</v>
      </c>
      <c r="J25">
        <v>21.20940839138856</v>
      </c>
      <c r="K25">
        <v>3.6747146090964899</v>
      </c>
      <c r="L25">
        <v>402.07287156921802</v>
      </c>
      <c r="M25">
        <v>4.3160294825623708</v>
      </c>
    </row>
    <row r="26" spans="1:13">
      <c r="A26" t="s">
        <v>15</v>
      </c>
      <c r="B26">
        <v>45</v>
      </c>
      <c r="C26">
        <v>4</v>
      </c>
      <c r="D26">
        <v>8263</v>
      </c>
      <c r="E26">
        <v>5308</v>
      </c>
      <c r="F26">
        <v>3310</v>
      </c>
      <c r="G26">
        <v>7.0877944325481801</v>
      </c>
      <c r="H26">
        <v>467</v>
      </c>
      <c r="I26">
        <v>0.14108761329305139</v>
      </c>
      <c r="J26">
        <v>21.000009126091939</v>
      </c>
      <c r="K26">
        <v>3.6980688469884799</v>
      </c>
      <c r="L26">
        <v>407.57220783639002</v>
      </c>
      <c r="M26">
        <v>4.4459066691035991</v>
      </c>
    </row>
    <row r="27" spans="1:13">
      <c r="A27" t="s">
        <v>15</v>
      </c>
      <c r="B27">
        <v>45</v>
      </c>
      <c r="C27">
        <v>5</v>
      </c>
      <c r="D27">
        <v>8282</v>
      </c>
      <c r="E27">
        <v>5438</v>
      </c>
      <c r="F27">
        <v>3465</v>
      </c>
      <c r="G27">
        <v>7</v>
      </c>
      <c r="H27">
        <v>495</v>
      </c>
      <c r="I27">
        <v>0.14285714285714279</v>
      </c>
      <c r="J27">
        <v>21.296184009763699</v>
      </c>
      <c r="K27">
        <v>3.6436980350143</v>
      </c>
      <c r="L27">
        <v>378.780281374249</v>
      </c>
      <c r="M27">
        <v>4.207141665610111</v>
      </c>
    </row>
    <row r="28" spans="1:13">
      <c r="A28" t="s">
        <v>15</v>
      </c>
      <c r="B28">
        <v>45</v>
      </c>
      <c r="C28">
        <v>6</v>
      </c>
      <c r="D28">
        <v>8336</v>
      </c>
      <c r="E28">
        <v>5415</v>
      </c>
      <c r="F28">
        <v>3389</v>
      </c>
      <c r="G28">
        <v>6.8882113821138216</v>
      </c>
      <c r="H28">
        <v>492</v>
      </c>
      <c r="I28">
        <v>0.14517556801416351</v>
      </c>
      <c r="J28">
        <v>21.432416645676081</v>
      </c>
      <c r="K28">
        <v>3.7601647089127201</v>
      </c>
      <c r="L28">
        <v>392.74999999998499</v>
      </c>
      <c r="M28">
        <v>3.5688119704813039</v>
      </c>
    </row>
    <row r="29" spans="1:13">
      <c r="A29" t="s">
        <v>15</v>
      </c>
      <c r="B29">
        <v>45</v>
      </c>
      <c r="C29">
        <v>7</v>
      </c>
      <c r="D29">
        <v>8305</v>
      </c>
      <c r="E29">
        <v>5359</v>
      </c>
      <c r="F29">
        <v>3356</v>
      </c>
      <c r="G29">
        <v>6.905349794238683</v>
      </c>
      <c r="H29">
        <v>486</v>
      </c>
      <c r="I29">
        <v>0.14481525625744929</v>
      </c>
      <c r="J29">
        <v>21.5680115630153</v>
      </c>
      <c r="K29">
        <v>3.77769367483672</v>
      </c>
      <c r="L29">
        <v>412.95583692979801</v>
      </c>
      <c r="M29">
        <v>3.9612748014471681</v>
      </c>
    </row>
    <row r="30" spans="1:13">
      <c r="A30" t="s">
        <v>15</v>
      </c>
      <c r="B30">
        <v>45</v>
      </c>
      <c r="C30">
        <v>8</v>
      </c>
      <c r="D30">
        <v>8305</v>
      </c>
      <c r="E30">
        <v>5379</v>
      </c>
      <c r="F30">
        <v>3369</v>
      </c>
      <c r="G30">
        <v>7.004158004158004</v>
      </c>
      <c r="H30">
        <v>481</v>
      </c>
      <c r="I30">
        <v>0.1427723360047492</v>
      </c>
      <c r="J30">
        <v>21.157842383345422</v>
      </c>
      <c r="K30">
        <v>3.7500266592493401</v>
      </c>
      <c r="L30">
        <v>405.77944444446399</v>
      </c>
      <c r="M30">
        <v>3.9261452153050378</v>
      </c>
    </row>
    <row r="31" spans="1:13">
      <c r="A31" t="s">
        <v>15</v>
      </c>
      <c r="B31">
        <v>45</v>
      </c>
      <c r="C31">
        <v>9</v>
      </c>
      <c r="D31">
        <v>8316</v>
      </c>
      <c r="E31">
        <v>5386</v>
      </c>
      <c r="F31">
        <v>3393</v>
      </c>
      <c r="G31">
        <v>6.840725806451613</v>
      </c>
      <c r="H31">
        <v>496</v>
      </c>
      <c r="I31">
        <v>0.1461833185971117</v>
      </c>
      <c r="J31">
        <v>21.783243289164691</v>
      </c>
      <c r="K31">
        <v>3.8220277271694001</v>
      </c>
      <c r="L31">
        <v>381.42620490252398</v>
      </c>
      <c r="M31">
        <v>3.8159454987771722</v>
      </c>
    </row>
    <row r="32" spans="1:13">
      <c r="A32" t="s">
        <v>16</v>
      </c>
      <c r="B32">
        <v>45</v>
      </c>
      <c r="C32">
        <v>0</v>
      </c>
      <c r="D32">
        <v>8337</v>
      </c>
      <c r="E32">
        <v>5398</v>
      </c>
      <c r="F32">
        <v>3417</v>
      </c>
      <c r="G32">
        <v>7.5430463576158937</v>
      </c>
      <c r="H32">
        <v>453</v>
      </c>
      <c r="I32">
        <v>0.13257243195785781</v>
      </c>
      <c r="J32">
        <v>20.68929732496332</v>
      </c>
      <c r="K32">
        <v>3.6155671777670202</v>
      </c>
      <c r="L32">
        <v>381.92491340152202</v>
      </c>
      <c r="M32">
        <v>3.554854396703786</v>
      </c>
    </row>
    <row r="33" spans="1:13">
      <c r="A33" t="s">
        <v>16</v>
      </c>
      <c r="B33">
        <v>45</v>
      </c>
      <c r="C33">
        <v>1</v>
      </c>
      <c r="D33">
        <v>8316</v>
      </c>
      <c r="E33">
        <v>5405</v>
      </c>
      <c r="F33">
        <v>3324</v>
      </c>
      <c r="G33">
        <v>7.6064073226544622</v>
      </c>
      <c r="H33">
        <v>437</v>
      </c>
      <c r="I33">
        <v>0.13146811070998801</v>
      </c>
      <c r="J33">
        <v>20.25337948345717</v>
      </c>
      <c r="K33">
        <v>3.6466145182048701</v>
      </c>
      <c r="L33">
        <v>412.02314575051702</v>
      </c>
      <c r="M33">
        <v>3.8320109822279629</v>
      </c>
    </row>
    <row r="34" spans="1:13">
      <c r="A34" t="s">
        <v>16</v>
      </c>
      <c r="B34">
        <v>45</v>
      </c>
      <c r="C34">
        <v>2</v>
      </c>
      <c r="D34">
        <v>8318</v>
      </c>
      <c r="E34">
        <v>5397</v>
      </c>
      <c r="F34">
        <v>3384</v>
      </c>
      <c r="G34">
        <v>7.7260273972602738</v>
      </c>
      <c r="H34">
        <v>438</v>
      </c>
      <c r="I34">
        <v>0.1294326241134752</v>
      </c>
      <c r="J34">
        <v>20.271661759483969</v>
      </c>
      <c r="K34">
        <v>3.5807742779759302</v>
      </c>
      <c r="L34">
        <v>398.87426405456398</v>
      </c>
      <c r="M34">
        <v>3.8017864072878429</v>
      </c>
    </row>
    <row r="35" spans="1:13">
      <c r="A35" t="s">
        <v>16</v>
      </c>
      <c r="B35">
        <v>45</v>
      </c>
      <c r="C35">
        <v>3</v>
      </c>
      <c r="D35">
        <v>8324</v>
      </c>
      <c r="E35">
        <v>5395</v>
      </c>
      <c r="F35">
        <v>3428</v>
      </c>
      <c r="G35">
        <v>7.6177777777777784</v>
      </c>
      <c r="H35">
        <v>450</v>
      </c>
      <c r="I35">
        <v>0.1312718786464411</v>
      </c>
      <c r="J35">
        <v>20.296499607065801</v>
      </c>
      <c r="K35">
        <v>3.5069171719068999</v>
      </c>
      <c r="L35">
        <v>376.98880229038099</v>
      </c>
      <c r="M35">
        <v>3.7269573461530192</v>
      </c>
    </row>
    <row r="36" spans="1:13">
      <c r="A36" t="s">
        <v>16</v>
      </c>
      <c r="B36">
        <v>45</v>
      </c>
      <c r="C36">
        <v>4</v>
      </c>
      <c r="D36">
        <v>8297</v>
      </c>
      <c r="E36">
        <v>5350</v>
      </c>
      <c r="F36">
        <v>3340</v>
      </c>
      <c r="G36">
        <v>7.6430205949656749</v>
      </c>
      <c r="H36">
        <v>437</v>
      </c>
      <c r="I36">
        <v>0.1308383233532934</v>
      </c>
      <c r="J36">
        <v>19.87840664320953</v>
      </c>
      <c r="K36">
        <v>3.5255768492777402</v>
      </c>
      <c r="L36">
        <v>421.23898268028898</v>
      </c>
      <c r="M36">
        <v>4.0359050657556388</v>
      </c>
    </row>
    <row r="37" spans="1:13">
      <c r="A37" t="s">
        <v>16</v>
      </c>
      <c r="B37">
        <v>45</v>
      </c>
      <c r="C37">
        <v>5</v>
      </c>
      <c r="D37">
        <v>8345</v>
      </c>
      <c r="E37">
        <v>5482</v>
      </c>
      <c r="F37">
        <v>3460</v>
      </c>
      <c r="G37">
        <v>7.6379690949227372</v>
      </c>
      <c r="H37">
        <v>453</v>
      </c>
      <c r="I37">
        <v>0.13092485549132951</v>
      </c>
      <c r="J37">
        <v>20.204632325325981</v>
      </c>
      <c r="K37">
        <v>3.5205453592651001</v>
      </c>
      <c r="L37">
        <v>386.75148627676202</v>
      </c>
      <c r="M37">
        <v>3.4756662188650118</v>
      </c>
    </row>
    <row r="38" spans="1:13">
      <c r="A38" t="s">
        <v>16</v>
      </c>
      <c r="B38">
        <v>45</v>
      </c>
      <c r="C38">
        <v>6</v>
      </c>
      <c r="D38">
        <v>8301</v>
      </c>
      <c r="E38">
        <v>5425</v>
      </c>
      <c r="F38">
        <v>3401</v>
      </c>
      <c r="G38">
        <v>7.7471526195899774</v>
      </c>
      <c r="H38">
        <v>439</v>
      </c>
      <c r="I38">
        <v>0.1290796824463393</v>
      </c>
      <c r="J38">
        <v>20.2971254905565</v>
      </c>
      <c r="K38">
        <v>3.5910459837681499</v>
      </c>
      <c r="L38">
        <v>402.85962483436498</v>
      </c>
      <c r="M38">
        <v>3.9675335447689259</v>
      </c>
    </row>
    <row r="39" spans="1:13">
      <c r="A39" t="s">
        <v>16</v>
      </c>
      <c r="B39">
        <v>45</v>
      </c>
      <c r="C39">
        <v>7</v>
      </c>
      <c r="D39">
        <v>8322</v>
      </c>
      <c r="E39">
        <v>5401</v>
      </c>
      <c r="F39">
        <v>3360</v>
      </c>
      <c r="G39">
        <v>7.3522975929978118</v>
      </c>
      <c r="H39">
        <v>457</v>
      </c>
      <c r="I39">
        <v>0.13601190476190481</v>
      </c>
      <c r="J39">
        <v>20.9516169846945</v>
      </c>
      <c r="K39">
        <v>3.7202364324547701</v>
      </c>
      <c r="L39">
        <v>392.51666666666898</v>
      </c>
      <c r="M39">
        <v>3.7700515568832</v>
      </c>
    </row>
    <row r="40" spans="1:13">
      <c r="A40" t="s">
        <v>16</v>
      </c>
      <c r="B40">
        <v>45</v>
      </c>
      <c r="C40">
        <v>8</v>
      </c>
      <c r="D40">
        <v>8268</v>
      </c>
      <c r="E40">
        <v>5351</v>
      </c>
      <c r="F40">
        <v>3346</v>
      </c>
      <c r="G40">
        <v>7.587301587301587</v>
      </c>
      <c r="H40">
        <v>441</v>
      </c>
      <c r="I40">
        <v>0.1317991631799163</v>
      </c>
      <c r="J40">
        <v>20.035130439623249</v>
      </c>
      <c r="K40">
        <v>3.54346702867198</v>
      </c>
      <c r="L40">
        <v>397.82917745606102</v>
      </c>
      <c r="M40">
        <v>4.3822409003461864</v>
      </c>
    </row>
    <row r="41" spans="1:13">
      <c r="A41" t="s">
        <v>16</v>
      </c>
      <c r="B41">
        <v>45</v>
      </c>
      <c r="C41">
        <v>9</v>
      </c>
      <c r="D41">
        <v>8343</v>
      </c>
      <c r="E41">
        <v>5393</v>
      </c>
      <c r="F41">
        <v>3390</v>
      </c>
      <c r="G41">
        <v>7.617977528089888</v>
      </c>
      <c r="H41">
        <v>445</v>
      </c>
      <c r="I41">
        <v>0.13126843657817111</v>
      </c>
      <c r="J41">
        <v>20.40824645247821</v>
      </c>
      <c r="K41">
        <v>3.6211016582943398</v>
      </c>
      <c r="L41">
        <v>371.95342712475099</v>
      </c>
      <c r="M41">
        <v>3.502566362629723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1"/>
  <sheetViews>
    <sheetView workbookViewId="0"/>
  </sheetViews>
  <sheetFormatPr defaultRowHeight="15.75"/>
  <cols>
    <col min="1" max="5" width="18" customWidth="1"/>
  </cols>
  <sheetData>
    <row r="1" spans="1:5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13</v>
      </c>
      <c r="C2" t="s">
        <v>3</v>
      </c>
      <c r="D2">
        <f>AVERAGE(per_seed!$D$2:$D$11)</f>
        <v>8318.2000000000007</v>
      </c>
      <c r="E2">
        <v>8318.2000000000007</v>
      </c>
    </row>
    <row r="3" spans="1:5">
      <c r="A3" t="s">
        <v>23</v>
      </c>
      <c r="B3" t="s">
        <v>13</v>
      </c>
      <c r="C3" t="s">
        <v>3</v>
      </c>
      <c r="D3">
        <f>_xlfn.STDEV.S(per_seed!$D$2:$D$11)</f>
        <v>17.548662500474375</v>
      </c>
      <c r="E3">
        <v>17.548662500474379</v>
      </c>
    </row>
    <row r="4" spans="1:5">
      <c r="A4" t="s">
        <v>22</v>
      </c>
      <c r="B4" t="s">
        <v>13</v>
      </c>
      <c r="C4" t="s">
        <v>4</v>
      </c>
      <c r="D4">
        <f>AVERAGE(per_seed!$E$2:$E$11)</f>
        <v>5396.9</v>
      </c>
      <c r="E4">
        <v>5396.9</v>
      </c>
    </row>
    <row r="5" spans="1:5">
      <c r="A5" t="s">
        <v>23</v>
      </c>
      <c r="B5" t="s">
        <v>13</v>
      </c>
      <c r="C5" t="s">
        <v>4</v>
      </c>
      <c r="D5">
        <f>_xlfn.STDEV.S(per_seed!$E$2:$E$11)</f>
        <v>35.914868477801477</v>
      </c>
      <c r="E5">
        <v>35.914868477801477</v>
      </c>
    </row>
    <row r="6" spans="1:5">
      <c r="A6" t="s">
        <v>22</v>
      </c>
      <c r="B6" t="s">
        <v>13</v>
      </c>
      <c r="C6" t="s">
        <v>5</v>
      </c>
      <c r="D6">
        <f>AVERAGE(per_seed!$F$2:$F$11)</f>
        <v>3385.3</v>
      </c>
      <c r="E6">
        <v>3385.3</v>
      </c>
    </row>
    <row r="7" spans="1:5">
      <c r="A7" t="s">
        <v>23</v>
      </c>
      <c r="B7" t="s">
        <v>13</v>
      </c>
      <c r="C7" t="s">
        <v>5</v>
      </c>
      <c r="D7">
        <f>_xlfn.STDEV.S(per_seed!$F$2:$F$11)</f>
        <v>42.426537816690995</v>
      </c>
      <c r="E7">
        <v>42.426537816691003</v>
      </c>
    </row>
    <row r="8" spans="1:5">
      <c r="A8" t="s">
        <v>22</v>
      </c>
      <c r="B8" t="s">
        <v>13</v>
      </c>
      <c r="C8" t="s">
        <v>6</v>
      </c>
      <c r="D8">
        <f>AVERAGE(per_seed!$G$2:$G$11)</f>
        <v>7.6248441194160161</v>
      </c>
      <c r="E8">
        <v>7.6248441194160126</v>
      </c>
    </row>
    <row r="9" spans="1:5">
      <c r="A9" t="s">
        <v>23</v>
      </c>
      <c r="B9" t="s">
        <v>13</v>
      </c>
      <c r="C9" t="s">
        <v>6</v>
      </c>
      <c r="D9">
        <f>_xlfn.STDEV.S(per_seed!$G$2:$G$11)</f>
        <v>0.12943095229030302</v>
      </c>
      <c r="E9">
        <v>0.1294309522903031</v>
      </c>
    </row>
    <row r="10" spans="1:5">
      <c r="A10" t="s">
        <v>22</v>
      </c>
      <c r="B10" t="s">
        <v>13</v>
      </c>
      <c r="C10" t="s">
        <v>7</v>
      </c>
      <c r="D10">
        <f>AVERAGE(per_seed!$H$2:$H$11)</f>
        <v>444.1</v>
      </c>
      <c r="E10">
        <v>444.1</v>
      </c>
    </row>
    <row r="11" spans="1:5">
      <c r="A11" t="s">
        <v>23</v>
      </c>
      <c r="B11" t="s">
        <v>13</v>
      </c>
      <c r="C11" t="s">
        <v>7</v>
      </c>
      <c r="D11">
        <f>_xlfn.STDEV.S(per_seed!$H$2:$H$11)</f>
        <v>9.4333922259645746</v>
      </c>
      <c r="E11">
        <v>9.4333922259645746</v>
      </c>
    </row>
    <row r="12" spans="1:5">
      <c r="A12" t="s">
        <v>22</v>
      </c>
      <c r="B12" t="s">
        <v>13</v>
      </c>
      <c r="C12" t="s">
        <v>8</v>
      </c>
      <c r="D12">
        <f>AVERAGE(per_seed!$I$2:$I$11)</f>
        <v>0.13118402103039301</v>
      </c>
      <c r="E12">
        <v>0.13118402103039301</v>
      </c>
    </row>
    <row r="13" spans="1:5">
      <c r="A13" t="s">
        <v>23</v>
      </c>
      <c r="B13" t="s">
        <v>13</v>
      </c>
      <c r="C13" t="s">
        <v>8</v>
      </c>
      <c r="D13">
        <f>_xlfn.STDEV.S(per_seed!$I$2:$I$11)</f>
        <v>2.2128343840324737E-3</v>
      </c>
      <c r="E13">
        <v>2.2128343840324628E-3</v>
      </c>
    </row>
    <row r="14" spans="1:5">
      <c r="A14" t="s">
        <v>22</v>
      </c>
      <c r="B14" t="s">
        <v>13</v>
      </c>
      <c r="C14" t="s">
        <v>9</v>
      </c>
      <c r="D14">
        <f>AVERAGE(per_seed!$J$2:$J$11)</f>
        <v>20.448192865359768</v>
      </c>
      <c r="E14">
        <v>20.448192865359768</v>
      </c>
    </row>
    <row r="15" spans="1:5">
      <c r="A15" t="s">
        <v>23</v>
      </c>
      <c r="B15" t="s">
        <v>13</v>
      </c>
      <c r="C15" t="s">
        <v>9</v>
      </c>
      <c r="D15">
        <f>_xlfn.STDEV.S(per_seed!$J$2:$J$11)</f>
        <v>0.28880278869695281</v>
      </c>
      <c r="E15">
        <v>0.28880278869695442</v>
      </c>
    </row>
    <row r="16" spans="1:5">
      <c r="A16" t="s">
        <v>22</v>
      </c>
      <c r="B16" t="s">
        <v>13</v>
      </c>
      <c r="C16" t="s">
        <v>10</v>
      </c>
      <c r="D16">
        <f>AVERAGE(per_seed!$K$2:$K$11)</f>
        <v>3.600961801530759</v>
      </c>
      <c r="E16">
        <v>3.600961801530759</v>
      </c>
    </row>
    <row r="17" spans="1:5">
      <c r="A17" t="s">
        <v>23</v>
      </c>
      <c r="B17" t="s">
        <v>13</v>
      </c>
      <c r="C17" t="s">
        <v>10</v>
      </c>
      <c r="D17">
        <f>_xlfn.STDEV.S(per_seed!$K$2:$K$11)</f>
        <v>6.5771669471154939E-2</v>
      </c>
      <c r="E17">
        <v>6.5771669471154939E-2</v>
      </c>
    </row>
    <row r="18" spans="1:5">
      <c r="A18" t="s">
        <v>22</v>
      </c>
      <c r="B18" t="s">
        <v>13</v>
      </c>
      <c r="C18" t="s">
        <v>11</v>
      </c>
      <c r="D18">
        <f>AVERAGE(per_seed!$L$2:$L$11)</f>
        <v>395.17806637329932</v>
      </c>
      <c r="E18">
        <v>395.17806637329932</v>
      </c>
    </row>
    <row r="19" spans="1:5">
      <c r="A19" t="s">
        <v>23</v>
      </c>
      <c r="B19" t="s">
        <v>13</v>
      </c>
      <c r="C19" t="s">
        <v>11</v>
      </c>
      <c r="D19">
        <f>_xlfn.STDEV.S(per_seed!$L$2:$L$11)</f>
        <v>15.065815399218005</v>
      </c>
      <c r="E19">
        <v>15.06581539921801</v>
      </c>
    </row>
    <row r="20" spans="1:5">
      <c r="A20" t="s">
        <v>22</v>
      </c>
      <c r="B20" t="s">
        <v>13</v>
      </c>
      <c r="C20" t="s">
        <v>12</v>
      </c>
      <c r="D20">
        <f>AVERAGE(per_seed!$M$2:$M$11)</f>
        <v>3.7882129617377891</v>
      </c>
      <c r="E20">
        <v>3.7882129617377891</v>
      </c>
    </row>
    <row r="21" spans="1:5">
      <c r="A21" t="s">
        <v>23</v>
      </c>
      <c r="B21" t="s">
        <v>13</v>
      </c>
      <c r="C21" t="s">
        <v>12</v>
      </c>
      <c r="D21">
        <f>_xlfn.STDEV.S(per_seed!$M$2:$M$11)</f>
        <v>0.20978200802083008</v>
      </c>
      <c r="E21">
        <v>0.20978200802083</v>
      </c>
    </row>
    <row r="22" spans="1:5">
      <c r="A22" t="s">
        <v>22</v>
      </c>
      <c r="B22" t="s">
        <v>14</v>
      </c>
      <c r="C22" t="s">
        <v>3</v>
      </c>
      <c r="D22">
        <f>AVERAGE(per_seed!$D$12:$D$21)</f>
        <v>8376.2000000000007</v>
      </c>
      <c r="E22">
        <v>8376.2000000000007</v>
      </c>
    </row>
    <row r="23" spans="1:5">
      <c r="A23" t="s">
        <v>23</v>
      </c>
      <c r="B23" t="s">
        <v>14</v>
      </c>
      <c r="C23" t="s">
        <v>3</v>
      </c>
      <c r="D23">
        <f>_xlfn.STDEV.S(per_seed!$D$12:$D$21)</f>
        <v>10.737266360153729</v>
      </c>
      <c r="E23">
        <v>10.737266360153731</v>
      </c>
    </row>
    <row r="24" spans="1:5">
      <c r="A24" t="s">
        <v>22</v>
      </c>
      <c r="B24" t="s">
        <v>14</v>
      </c>
      <c r="C24" t="s">
        <v>4</v>
      </c>
      <c r="D24">
        <f>AVERAGE(per_seed!$E$12:$E$21)</f>
        <v>5434.1</v>
      </c>
      <c r="E24">
        <v>5434.1</v>
      </c>
    </row>
    <row r="25" spans="1:5">
      <c r="A25" t="s">
        <v>23</v>
      </c>
      <c r="B25" t="s">
        <v>14</v>
      </c>
      <c r="C25" t="s">
        <v>4</v>
      </c>
      <c r="D25">
        <f>_xlfn.STDEV.S(per_seed!$E$12:$E$21)</f>
        <v>31.48350538156625</v>
      </c>
      <c r="E25">
        <v>31.48350538156625</v>
      </c>
    </row>
    <row r="26" spans="1:5">
      <c r="A26" t="s">
        <v>22</v>
      </c>
      <c r="B26" t="s">
        <v>14</v>
      </c>
      <c r="C26" t="s">
        <v>5</v>
      </c>
      <c r="D26">
        <f>AVERAGE(per_seed!$F$12:$F$21)</f>
        <v>3476.4</v>
      </c>
      <c r="E26">
        <v>3476.4</v>
      </c>
    </row>
    <row r="27" spans="1:5">
      <c r="A27" t="s">
        <v>23</v>
      </c>
      <c r="B27" t="s">
        <v>14</v>
      </c>
      <c r="C27" t="s">
        <v>5</v>
      </c>
      <c r="D27">
        <f>_xlfn.STDEV.S(per_seed!$F$12:$F$21)</f>
        <v>35.637682927547978</v>
      </c>
      <c r="E27">
        <v>35.637682927547971</v>
      </c>
    </row>
    <row r="28" spans="1:5">
      <c r="A28" t="s">
        <v>22</v>
      </c>
      <c r="B28" t="s">
        <v>14</v>
      </c>
      <c r="C28" t="s">
        <v>6</v>
      </c>
      <c r="D28">
        <f>AVERAGE(per_seed!$G$12:$G$21)</f>
        <v>5.064808688619542</v>
      </c>
      <c r="E28">
        <v>5.064808688619542</v>
      </c>
    </row>
    <row r="29" spans="1:5">
      <c r="A29" t="s">
        <v>23</v>
      </c>
      <c r="B29" t="s">
        <v>14</v>
      </c>
      <c r="C29" t="s">
        <v>6</v>
      </c>
      <c r="D29">
        <f>_xlfn.STDEV.S(per_seed!$G$12:$G$21)</f>
        <v>0.21207858605148505</v>
      </c>
      <c r="E29">
        <v>0.21207858605148511</v>
      </c>
    </row>
    <row r="30" spans="1:5">
      <c r="A30" t="s">
        <v>22</v>
      </c>
      <c r="B30" t="s">
        <v>14</v>
      </c>
      <c r="C30" t="s">
        <v>7</v>
      </c>
      <c r="D30">
        <f>AVERAGE(per_seed!$H$12:$H$21)</f>
        <v>687.4</v>
      </c>
      <c r="E30">
        <v>687.4</v>
      </c>
    </row>
    <row r="31" spans="1:5">
      <c r="A31" t="s">
        <v>23</v>
      </c>
      <c r="B31" t="s">
        <v>14</v>
      </c>
      <c r="C31" t="s">
        <v>7</v>
      </c>
      <c r="D31">
        <f>_xlfn.STDEV.S(per_seed!$H$12:$H$21)</f>
        <v>27.693561225189754</v>
      </c>
      <c r="E31">
        <v>27.69356122518975</v>
      </c>
    </row>
    <row r="32" spans="1:5">
      <c r="A32" t="s">
        <v>22</v>
      </c>
      <c r="B32" t="s">
        <v>14</v>
      </c>
      <c r="C32" t="s">
        <v>8</v>
      </c>
      <c r="D32">
        <f>AVERAGE(per_seed!$I$12:$I$21)</f>
        <v>0.197754181118515</v>
      </c>
      <c r="E32">
        <v>0.197754181118515</v>
      </c>
    </row>
    <row r="33" spans="1:5">
      <c r="A33" t="s">
        <v>23</v>
      </c>
      <c r="B33" t="s">
        <v>14</v>
      </c>
      <c r="C33" t="s">
        <v>8</v>
      </c>
      <c r="D33">
        <f>_xlfn.STDEV.S(per_seed!$I$12:$I$21)</f>
        <v>8.3282175240560422E-3</v>
      </c>
      <c r="E33">
        <v>8.3282175240560561E-3</v>
      </c>
    </row>
    <row r="34" spans="1:5">
      <c r="A34" t="s">
        <v>22</v>
      </c>
      <c r="B34" t="s">
        <v>14</v>
      </c>
      <c r="C34" t="s">
        <v>9</v>
      </c>
      <c r="D34">
        <f>AVERAGE(per_seed!$J$12:$J$21)</f>
        <v>25.365459282093731</v>
      </c>
      <c r="E34">
        <v>25.36545928209372</v>
      </c>
    </row>
    <row r="35" spans="1:5">
      <c r="A35" t="s">
        <v>23</v>
      </c>
      <c r="B35" t="s">
        <v>14</v>
      </c>
      <c r="C35" t="s">
        <v>9</v>
      </c>
      <c r="D35">
        <f>_xlfn.STDEV.S(per_seed!$J$12:$J$21)</f>
        <v>0.6486255297119633</v>
      </c>
      <c r="E35">
        <v>0.64862552971196474</v>
      </c>
    </row>
    <row r="36" spans="1:5">
      <c r="A36" t="s">
        <v>22</v>
      </c>
      <c r="B36" t="s">
        <v>14</v>
      </c>
      <c r="C36" t="s">
        <v>10</v>
      </c>
      <c r="D36">
        <f>AVERAGE(per_seed!$K$12:$K$21)</f>
        <v>4.3586924605337583</v>
      </c>
      <c r="E36">
        <v>4.3586924605337583</v>
      </c>
    </row>
    <row r="37" spans="1:5">
      <c r="A37" t="s">
        <v>23</v>
      </c>
      <c r="B37" t="s">
        <v>14</v>
      </c>
      <c r="C37" t="s">
        <v>10</v>
      </c>
      <c r="D37">
        <f>_xlfn.STDEV.S(per_seed!$K$12:$K$21)</f>
        <v>0.12131165585393433</v>
      </c>
      <c r="E37">
        <v>0.1213116558539343</v>
      </c>
    </row>
    <row r="38" spans="1:5">
      <c r="A38" t="s">
        <v>22</v>
      </c>
      <c r="B38" t="s">
        <v>14</v>
      </c>
      <c r="C38" t="s">
        <v>11</v>
      </c>
      <c r="D38">
        <f>AVERAGE(per_seed!$L$12:$L$21)</f>
        <v>358.37642349994428</v>
      </c>
      <c r="E38">
        <v>358.37642349994428</v>
      </c>
    </row>
    <row r="39" spans="1:5">
      <c r="A39" t="s">
        <v>23</v>
      </c>
      <c r="B39" t="s">
        <v>14</v>
      </c>
      <c r="C39" t="s">
        <v>11</v>
      </c>
      <c r="D39">
        <f>_xlfn.STDEV.S(per_seed!$L$12:$L$21)</f>
        <v>9.2569508991553207</v>
      </c>
      <c r="E39">
        <v>9.2569508991553207</v>
      </c>
    </row>
    <row r="40" spans="1:5">
      <c r="A40" t="s">
        <v>22</v>
      </c>
      <c r="B40" t="s">
        <v>14</v>
      </c>
      <c r="C40" t="s">
        <v>12</v>
      </c>
      <c r="D40">
        <f>AVERAGE(per_seed!$M$12:$M$21)</f>
        <v>3.1229446092829818</v>
      </c>
      <c r="E40">
        <v>3.1229446092829809</v>
      </c>
    </row>
    <row r="41" spans="1:5">
      <c r="A41" t="s">
        <v>23</v>
      </c>
      <c r="B41" t="s">
        <v>14</v>
      </c>
      <c r="C41" t="s">
        <v>12</v>
      </c>
      <c r="D41">
        <f>_xlfn.STDEV.S(per_seed!$M$12:$M$21)</f>
        <v>0.12680860753176931</v>
      </c>
      <c r="E41">
        <v>0.12680860753176951</v>
      </c>
    </row>
    <row r="42" spans="1:5">
      <c r="A42" t="s">
        <v>22</v>
      </c>
      <c r="B42" t="s">
        <v>15</v>
      </c>
      <c r="C42" t="s">
        <v>3</v>
      </c>
      <c r="D42">
        <f>AVERAGE(per_seed!$D$22:$D$31)</f>
        <v>8296.6</v>
      </c>
      <c r="E42">
        <v>8296.6</v>
      </c>
    </row>
    <row r="43" spans="1:5">
      <c r="A43" t="s">
        <v>23</v>
      </c>
      <c r="B43" t="s">
        <v>15</v>
      </c>
      <c r="C43" t="s">
        <v>3</v>
      </c>
      <c r="D43">
        <f>_xlfn.STDEV.S(per_seed!$D$22:$D$31)</f>
        <v>31.840575092517131</v>
      </c>
      <c r="E43">
        <v>31.840575092517131</v>
      </c>
    </row>
    <row r="44" spans="1:5">
      <c r="A44" t="s">
        <v>22</v>
      </c>
      <c r="B44" t="s">
        <v>15</v>
      </c>
      <c r="C44" t="s">
        <v>4</v>
      </c>
      <c r="D44">
        <f>AVERAGE(per_seed!$E$22:$E$31)</f>
        <v>5382.4</v>
      </c>
      <c r="E44">
        <v>5382.4</v>
      </c>
    </row>
    <row r="45" spans="1:5">
      <c r="A45" t="s">
        <v>23</v>
      </c>
      <c r="B45" t="s">
        <v>15</v>
      </c>
      <c r="C45" t="s">
        <v>4</v>
      </c>
      <c r="D45">
        <f>_xlfn.STDEV.S(per_seed!$E$22:$E$31)</f>
        <v>40.483741592561991</v>
      </c>
      <c r="E45">
        <v>40.483741592561991</v>
      </c>
    </row>
    <row r="46" spans="1:5">
      <c r="A46" t="s">
        <v>22</v>
      </c>
      <c r="B46" t="s">
        <v>15</v>
      </c>
      <c r="C46" t="s">
        <v>5</v>
      </c>
      <c r="D46">
        <f>AVERAGE(per_seed!$F$22:$F$31)</f>
        <v>3386.9</v>
      </c>
      <c r="E46">
        <v>3386.9</v>
      </c>
    </row>
    <row r="47" spans="1:5">
      <c r="A47" t="s">
        <v>23</v>
      </c>
      <c r="B47" t="s">
        <v>15</v>
      </c>
      <c r="C47" t="s">
        <v>5</v>
      </c>
      <c r="D47">
        <f>_xlfn.STDEV.S(per_seed!$F$22:$F$31)</f>
        <v>46.196320199773488</v>
      </c>
      <c r="E47">
        <v>46.196320199773488</v>
      </c>
    </row>
    <row r="48" spans="1:5">
      <c r="A48" t="s">
        <v>22</v>
      </c>
      <c r="B48" t="s">
        <v>15</v>
      </c>
      <c r="C48" t="s">
        <v>6</v>
      </c>
      <c r="D48">
        <f>AVERAGE(per_seed!$G$22:$G$31)</f>
        <v>6.9861386856682781</v>
      </c>
      <c r="E48">
        <v>6.9861386856682781</v>
      </c>
    </row>
    <row r="49" spans="1:5">
      <c r="A49" t="s">
        <v>23</v>
      </c>
      <c r="B49" t="s">
        <v>15</v>
      </c>
      <c r="C49" t="s">
        <v>6</v>
      </c>
      <c r="D49">
        <f>_xlfn.STDEV.S(per_seed!$G$22:$G$31)</f>
        <v>9.4603423143978821E-2</v>
      </c>
      <c r="E49">
        <v>9.4603423143978835E-2</v>
      </c>
    </row>
    <row r="50" spans="1:5">
      <c r="A50" t="s">
        <v>22</v>
      </c>
      <c r="B50" t="s">
        <v>15</v>
      </c>
      <c r="C50" t="s">
        <v>7</v>
      </c>
      <c r="D50">
        <f>AVERAGE(per_seed!$H$22:$H$31)</f>
        <v>484.9</v>
      </c>
      <c r="E50">
        <v>484.9</v>
      </c>
    </row>
    <row r="51" spans="1:5">
      <c r="A51" t="s">
        <v>23</v>
      </c>
      <c r="B51" t="s">
        <v>15</v>
      </c>
      <c r="C51" t="s">
        <v>7</v>
      </c>
      <c r="D51">
        <f>_xlfn.STDEV.S(per_seed!$H$22:$H$31)</f>
        <v>10.224697767877759</v>
      </c>
      <c r="E51">
        <v>10.22469776787776</v>
      </c>
    </row>
    <row r="52" spans="1:5">
      <c r="A52" t="s">
        <v>22</v>
      </c>
      <c r="B52" t="s">
        <v>15</v>
      </c>
      <c r="C52" t="s">
        <v>8</v>
      </c>
      <c r="D52">
        <f>AVERAGE(per_seed!$I$22:$I$31)</f>
        <v>0.14316419242596246</v>
      </c>
      <c r="E52">
        <v>0.14316419242596251</v>
      </c>
    </row>
    <row r="53" spans="1:5">
      <c r="A53" t="s">
        <v>23</v>
      </c>
      <c r="B53" t="s">
        <v>15</v>
      </c>
      <c r="C53" t="s">
        <v>8</v>
      </c>
      <c r="D53">
        <f>_xlfn.STDEV.S(per_seed!$I$22:$I$31)</f>
        <v>1.9369332119122493E-3</v>
      </c>
      <c r="E53">
        <v>1.936933211912256E-3</v>
      </c>
    </row>
    <row r="54" spans="1:5">
      <c r="A54" t="s">
        <v>22</v>
      </c>
      <c r="B54" t="s">
        <v>15</v>
      </c>
      <c r="C54" t="s">
        <v>9</v>
      </c>
      <c r="D54">
        <f>AVERAGE(per_seed!$J$22:$J$31)</f>
        <v>21.338401827501382</v>
      </c>
      <c r="E54">
        <v>21.338401827501379</v>
      </c>
    </row>
    <row r="55" spans="1:5">
      <c r="A55" t="s">
        <v>23</v>
      </c>
      <c r="B55" t="s">
        <v>15</v>
      </c>
      <c r="C55" t="s">
        <v>9</v>
      </c>
      <c r="D55">
        <f>_xlfn.STDEV.S(per_seed!$J$22:$J$31)</f>
        <v>0.25149674537008077</v>
      </c>
      <c r="E55">
        <v>0.25149674537008099</v>
      </c>
    </row>
    <row r="56" spans="1:5">
      <c r="A56" t="s">
        <v>22</v>
      </c>
      <c r="B56" t="s">
        <v>15</v>
      </c>
      <c r="C56" t="s">
        <v>10</v>
      </c>
      <c r="D56">
        <f>AVERAGE(per_seed!$K$22:$K$31)</f>
        <v>3.7254069638603533</v>
      </c>
      <c r="E56">
        <v>3.7254069638603529</v>
      </c>
    </row>
    <row r="57" spans="1:5">
      <c r="A57" t="s">
        <v>23</v>
      </c>
      <c r="B57" t="s">
        <v>15</v>
      </c>
      <c r="C57" t="s">
        <v>10</v>
      </c>
      <c r="D57">
        <f>_xlfn.STDEV.S(per_seed!$K$22:$K$31)</f>
        <v>5.5135908046025313E-2</v>
      </c>
      <c r="E57">
        <v>5.5135908046025313E-2</v>
      </c>
    </row>
    <row r="58" spans="1:5">
      <c r="A58" t="s">
        <v>22</v>
      </c>
      <c r="B58" t="s">
        <v>15</v>
      </c>
      <c r="C58" t="s">
        <v>11</v>
      </c>
      <c r="D58">
        <f>AVERAGE(per_seed!$L$22:$L$31)</f>
        <v>398.38984055457342</v>
      </c>
      <c r="E58">
        <v>398.38984055457342</v>
      </c>
    </row>
    <row r="59" spans="1:5">
      <c r="A59" t="s">
        <v>23</v>
      </c>
      <c r="B59" t="s">
        <v>15</v>
      </c>
      <c r="C59" t="s">
        <v>11</v>
      </c>
      <c r="D59">
        <f>_xlfn.STDEV.S(per_seed!$L$22:$L$31)</f>
        <v>12.609859581600434</v>
      </c>
      <c r="E59">
        <v>12.60985958160043</v>
      </c>
    </row>
    <row r="60" spans="1:5">
      <c r="A60" t="s">
        <v>22</v>
      </c>
      <c r="B60" t="s">
        <v>15</v>
      </c>
      <c r="C60" t="s">
        <v>12</v>
      </c>
      <c r="D60">
        <f>AVERAGE(per_seed!$M$22:$M$31)</f>
        <v>4.0427248008096806</v>
      </c>
      <c r="E60">
        <v>4.0427248008096797</v>
      </c>
    </row>
    <row r="61" spans="1:5">
      <c r="A61" t="s">
        <v>23</v>
      </c>
      <c r="B61" t="s">
        <v>15</v>
      </c>
      <c r="C61" t="s">
        <v>12</v>
      </c>
      <c r="D61">
        <f>_xlfn.STDEV.S(per_seed!$M$22:$M$31)</f>
        <v>0.36723425713298602</v>
      </c>
      <c r="E61">
        <v>0.3672342571329858</v>
      </c>
    </row>
    <row r="62" spans="1:5">
      <c r="A62" t="s">
        <v>22</v>
      </c>
      <c r="B62" t="s">
        <v>16</v>
      </c>
      <c r="C62" t="s">
        <v>3</v>
      </c>
      <c r="D62">
        <f>AVERAGE(per_seed!$D$32:$D$41)</f>
        <v>8317.1</v>
      </c>
      <c r="E62">
        <v>8317.1</v>
      </c>
    </row>
    <row r="63" spans="1:5">
      <c r="A63" t="s">
        <v>23</v>
      </c>
      <c r="B63" t="s">
        <v>16</v>
      </c>
      <c r="C63" t="s">
        <v>3</v>
      </c>
      <c r="D63">
        <f>_xlfn.STDEV.S(per_seed!$D$32:$D$41)</f>
        <v>23.55348523396626</v>
      </c>
      <c r="E63">
        <v>23.55348523396626</v>
      </c>
    </row>
    <row r="64" spans="1:5">
      <c r="A64" t="s">
        <v>22</v>
      </c>
      <c r="B64" t="s">
        <v>16</v>
      </c>
      <c r="C64" t="s">
        <v>4</v>
      </c>
      <c r="D64">
        <f>AVERAGE(per_seed!$E$32:$E$41)</f>
        <v>5399.7</v>
      </c>
      <c r="E64">
        <v>5399.7</v>
      </c>
    </row>
    <row r="65" spans="1:5">
      <c r="A65" t="s">
        <v>23</v>
      </c>
      <c r="B65" t="s">
        <v>16</v>
      </c>
      <c r="C65" t="s">
        <v>4</v>
      </c>
      <c r="D65">
        <f>_xlfn.STDEV.S(per_seed!$E$32:$E$41)</f>
        <v>37.061660333377759</v>
      </c>
      <c r="E65">
        <v>37.061660333377759</v>
      </c>
    </row>
    <row r="66" spans="1:5">
      <c r="A66" t="s">
        <v>22</v>
      </c>
      <c r="B66" t="s">
        <v>16</v>
      </c>
      <c r="C66" t="s">
        <v>5</v>
      </c>
      <c r="D66">
        <f>AVERAGE(per_seed!$F$32:$F$41)</f>
        <v>3385</v>
      </c>
      <c r="E66">
        <v>3385</v>
      </c>
    </row>
    <row r="67" spans="1:5">
      <c r="A67" t="s">
        <v>23</v>
      </c>
      <c r="B67" t="s">
        <v>16</v>
      </c>
      <c r="C67" t="s">
        <v>5</v>
      </c>
      <c r="D67">
        <f>_xlfn.STDEV.S(per_seed!$F$32:$F$41)</f>
        <v>43.040033044183929</v>
      </c>
      <c r="E67">
        <v>43.040033044183929</v>
      </c>
    </row>
    <row r="68" spans="1:5">
      <c r="A68" t="s">
        <v>22</v>
      </c>
      <c r="B68" t="s">
        <v>16</v>
      </c>
      <c r="C68" t="s">
        <v>6</v>
      </c>
      <c r="D68">
        <f>AVERAGE(per_seed!$G$32:$G$41)</f>
        <v>7.6078977873176088</v>
      </c>
      <c r="E68">
        <v>7.6078977873176088</v>
      </c>
    </row>
    <row r="69" spans="1:5">
      <c r="A69" t="s">
        <v>23</v>
      </c>
      <c r="B69" t="s">
        <v>16</v>
      </c>
      <c r="C69" t="s">
        <v>6</v>
      </c>
      <c r="D69">
        <f>_xlfn.STDEV.S(per_seed!$G$32:$G$41)</f>
        <v>0.10834472545782994</v>
      </c>
      <c r="E69">
        <v>0.1083447254578299</v>
      </c>
    </row>
    <row r="70" spans="1:5">
      <c r="A70" t="s">
        <v>22</v>
      </c>
      <c r="B70" t="s">
        <v>16</v>
      </c>
      <c r="C70" t="s">
        <v>7</v>
      </c>
      <c r="D70">
        <f>AVERAGE(per_seed!$H$32:$H$41)</f>
        <v>445</v>
      </c>
      <c r="E70">
        <v>445</v>
      </c>
    </row>
    <row r="71" spans="1:5">
      <c r="A71" t="s">
        <v>23</v>
      </c>
      <c r="B71" t="s">
        <v>16</v>
      </c>
      <c r="C71" t="s">
        <v>7</v>
      </c>
      <c r="D71">
        <f>_xlfn.STDEV.S(per_seed!$H$32:$H$41)</f>
        <v>7.6448966274531429</v>
      </c>
      <c r="E71">
        <v>7.6448966274531429</v>
      </c>
    </row>
    <row r="72" spans="1:5">
      <c r="A72" t="s">
        <v>22</v>
      </c>
      <c r="B72" t="s">
        <v>16</v>
      </c>
      <c r="C72" t="s">
        <v>8</v>
      </c>
      <c r="D72">
        <f>AVERAGE(per_seed!$I$32:$I$41)</f>
        <v>0.13146674112387163</v>
      </c>
      <c r="E72">
        <v>0.13146674112387161</v>
      </c>
    </row>
    <row r="73" spans="1:5">
      <c r="A73" t="s">
        <v>23</v>
      </c>
      <c r="B73" t="s">
        <v>16</v>
      </c>
      <c r="C73" t="s">
        <v>8</v>
      </c>
      <c r="D73">
        <f>_xlfn.STDEV.S(per_seed!$I$32:$I$41)</f>
        <v>1.9030121494628101E-3</v>
      </c>
      <c r="E73">
        <v>1.9030121494627991E-3</v>
      </c>
    </row>
    <row r="74" spans="1:5">
      <c r="A74" t="s">
        <v>22</v>
      </c>
      <c r="B74" t="s">
        <v>16</v>
      </c>
      <c r="C74" t="s">
        <v>9</v>
      </c>
      <c r="D74">
        <f>AVERAGE(per_seed!$J$32:$J$41)</f>
        <v>20.328599651085828</v>
      </c>
      <c r="E74">
        <v>20.32859965108582</v>
      </c>
    </row>
    <row r="75" spans="1:5">
      <c r="A75" t="s">
        <v>23</v>
      </c>
      <c r="B75" t="s">
        <v>16</v>
      </c>
      <c r="C75" t="s">
        <v>9</v>
      </c>
      <c r="D75">
        <f>_xlfn.STDEV.S(per_seed!$J$32:$J$41)</f>
        <v>0.30544755430679393</v>
      </c>
      <c r="E75">
        <v>0.3054475543067936</v>
      </c>
    </row>
    <row r="76" spans="1:5">
      <c r="A76" t="s">
        <v>22</v>
      </c>
      <c r="B76" t="s">
        <v>16</v>
      </c>
      <c r="C76" t="s">
        <v>10</v>
      </c>
      <c r="D76">
        <f>AVERAGE(per_seed!$K$32:$K$41)</f>
        <v>3.5871846457586805</v>
      </c>
      <c r="E76">
        <v>3.58718464575868</v>
      </c>
    </row>
    <row r="77" spans="1:5">
      <c r="A77" t="s">
        <v>23</v>
      </c>
      <c r="B77" t="s">
        <v>16</v>
      </c>
      <c r="C77" t="s">
        <v>10</v>
      </c>
      <c r="D77">
        <f>_xlfn.STDEV.S(per_seed!$K$32:$K$41)</f>
        <v>6.6530723717000084E-2</v>
      </c>
      <c r="E77">
        <v>6.6530723717000084E-2</v>
      </c>
    </row>
    <row r="78" spans="1:5">
      <c r="A78" t="s">
        <v>22</v>
      </c>
      <c r="B78" t="s">
        <v>16</v>
      </c>
      <c r="C78" t="s">
        <v>11</v>
      </c>
      <c r="D78">
        <f>AVERAGE(per_seed!$L$32:$L$41)</f>
        <v>394.29604905358809</v>
      </c>
      <c r="E78">
        <v>394.29604905358809</v>
      </c>
    </row>
    <row r="79" spans="1:5">
      <c r="A79" t="s">
        <v>23</v>
      </c>
      <c r="B79" t="s">
        <v>16</v>
      </c>
      <c r="C79" t="s">
        <v>11</v>
      </c>
      <c r="D79">
        <f>_xlfn.STDEV.S(per_seed!$L$32:$L$41)</f>
        <v>15.487682132166881</v>
      </c>
      <c r="E79">
        <v>15.48768213216688</v>
      </c>
    </row>
    <row r="80" spans="1:5">
      <c r="A80" t="s">
        <v>22</v>
      </c>
      <c r="B80" t="s">
        <v>16</v>
      </c>
      <c r="C80" t="s">
        <v>12</v>
      </c>
      <c r="D80">
        <f>AVERAGE(per_seed!$M$32:$M$41)</f>
        <v>3.8049572781621293</v>
      </c>
      <c r="E80">
        <v>3.8049572781621288</v>
      </c>
    </row>
    <row r="81" spans="1:5">
      <c r="A81" t="s">
        <v>23</v>
      </c>
      <c r="B81" t="s">
        <v>16</v>
      </c>
      <c r="C81" t="s">
        <v>12</v>
      </c>
      <c r="D81">
        <f>_xlfn.STDEV.S(per_seed!$M$32:$M$41)</f>
        <v>0.27557878051689444</v>
      </c>
      <c r="E81">
        <v>0.27557878051689411</v>
      </c>
    </row>
    <row r="82" spans="1:5">
      <c r="A82" t="s">
        <v>24</v>
      </c>
      <c r="B82" t="s">
        <v>25</v>
      </c>
      <c r="C82" t="s">
        <v>3</v>
      </c>
      <c r="D82">
        <f>(AVERAGE(per_seed!$D$12:$D$21)-AVERAGE(per_seed!$D$2:$D$11))/AVERAGE(per_seed!$D$2:$D$11)*100</f>
        <v>0.69726623548363831</v>
      </c>
      <c r="E82">
        <v>0.69726623548363831</v>
      </c>
    </row>
    <row r="83" spans="1:5">
      <c r="A83" t="s">
        <v>26</v>
      </c>
      <c r="B83" t="s">
        <v>25</v>
      </c>
      <c r="C83" t="s">
        <v>3</v>
      </c>
      <c r="D83">
        <f>_xlfn.T.TEST(per_seed!$D$2:$D$11,per_seed!$D$12:$D$21,2,1)</f>
        <v>1.1999016309100028E-6</v>
      </c>
      <c r="E83">
        <v>1.1999016309100019E-6</v>
      </c>
    </row>
    <row r="84" spans="1:5">
      <c r="A84" t="s">
        <v>24</v>
      </c>
      <c r="B84" t="s">
        <v>25</v>
      </c>
      <c r="C84" t="s">
        <v>4</v>
      </c>
      <c r="D84">
        <f>(AVERAGE(per_seed!$E$12:$E$21)-AVERAGE(per_seed!$E$2:$E$11))/AVERAGE(per_seed!$E$2:$E$11)*100</f>
        <v>0.689284589301279</v>
      </c>
      <c r="E84">
        <v>0.689284589301279</v>
      </c>
    </row>
    <row r="85" spans="1:5">
      <c r="A85" t="s">
        <v>26</v>
      </c>
      <c r="B85" t="s">
        <v>25</v>
      </c>
      <c r="C85" t="s">
        <v>4</v>
      </c>
      <c r="D85">
        <f>_xlfn.T.TEST(per_seed!$E$2:$E$11,per_seed!$E$12:$E$21,2,1)</f>
        <v>3.6420155788505805E-3</v>
      </c>
      <c r="E85">
        <v>3.642015578850999E-3</v>
      </c>
    </row>
    <row r="86" spans="1:5">
      <c r="A86" t="s">
        <v>24</v>
      </c>
      <c r="B86" t="s">
        <v>25</v>
      </c>
      <c r="C86" t="s">
        <v>5</v>
      </c>
      <c r="D86">
        <f>(AVERAGE(per_seed!$F$12:$F$21)-AVERAGE(per_seed!$F$2:$F$11))/AVERAGE(per_seed!$F$2:$F$11)*100</f>
        <v>2.6910465837591913</v>
      </c>
      <c r="E86">
        <v>2.6910465837591908</v>
      </c>
    </row>
    <row r="87" spans="1:5">
      <c r="A87" t="s">
        <v>26</v>
      </c>
      <c r="B87" t="s">
        <v>25</v>
      </c>
      <c r="C87" t="s">
        <v>5</v>
      </c>
      <c r="D87">
        <f>_xlfn.T.TEST(per_seed!$F$2:$F$11,per_seed!$F$12:$F$21,2,1)</f>
        <v>3.7272466737835884E-6</v>
      </c>
      <c r="E87">
        <v>3.7272466737835718E-6</v>
      </c>
    </row>
    <row r="88" spans="1:5">
      <c r="A88" t="s">
        <v>24</v>
      </c>
      <c r="B88" t="s">
        <v>25</v>
      </c>
      <c r="C88" t="s">
        <v>6</v>
      </c>
      <c r="D88">
        <f>(AVERAGE(per_seed!$G$12:$G$21)-AVERAGE(per_seed!$G$2:$G$11))/AVERAGE(per_seed!$G$2:$G$11)*100</f>
        <v>-33.574921542036016</v>
      </c>
      <c r="E88">
        <v>-33.574921542035987</v>
      </c>
    </row>
    <row r="89" spans="1:5">
      <c r="A89" t="s">
        <v>26</v>
      </c>
      <c r="B89" t="s">
        <v>25</v>
      </c>
      <c r="C89" t="s">
        <v>6</v>
      </c>
      <c r="D89">
        <f>_xlfn.T.TEST(per_seed!$G$2:$G$11,per_seed!$G$12:$G$21,2,1)</f>
        <v>4.1380745511497647E-12</v>
      </c>
      <c r="E89">
        <v>4.1380745511497671E-12</v>
      </c>
    </row>
    <row r="90" spans="1:5">
      <c r="A90" t="s">
        <v>24</v>
      </c>
      <c r="B90" t="s">
        <v>25</v>
      </c>
      <c r="C90" t="s">
        <v>7</v>
      </c>
      <c r="D90">
        <f>(AVERAGE(per_seed!$H$12:$H$21)-AVERAGE(per_seed!$H$2:$H$11))/AVERAGE(per_seed!$H$2:$H$11)*100</f>
        <v>54.784958342715598</v>
      </c>
      <c r="E90">
        <v>54.784958342715598</v>
      </c>
    </row>
    <row r="91" spans="1:5">
      <c r="A91" t="s">
        <v>26</v>
      </c>
      <c r="B91" t="s">
        <v>25</v>
      </c>
      <c r="C91" t="s">
        <v>7</v>
      </c>
      <c r="D91">
        <f>_xlfn.T.TEST(per_seed!$H$2:$H$11,per_seed!$H$12:$H$21,2,1)</f>
        <v>8.5051137033535734E-11</v>
      </c>
      <c r="E91">
        <v>8.5051137033535515E-11</v>
      </c>
    </row>
    <row r="92" spans="1:5">
      <c r="A92" t="s">
        <v>24</v>
      </c>
      <c r="B92" t="s">
        <v>25</v>
      </c>
      <c r="C92" t="s">
        <v>8</v>
      </c>
      <c r="D92">
        <f>(AVERAGE(per_seed!$I$12:$I$21)-AVERAGE(per_seed!$I$2:$I$11))/AVERAGE(per_seed!$I$2:$I$11)*100</f>
        <v>50.745631644191533</v>
      </c>
      <c r="E92">
        <v>50.745631644191533</v>
      </c>
    </row>
    <row r="93" spans="1:5">
      <c r="A93" t="s">
        <v>26</v>
      </c>
      <c r="B93" t="s">
        <v>25</v>
      </c>
      <c r="C93" t="s">
        <v>8</v>
      </c>
      <c r="D93">
        <f>_xlfn.T.TEST(per_seed!$I$2:$I$11,per_seed!$I$12:$I$21,2,1)</f>
        <v>3.5738403440027037E-10</v>
      </c>
      <c r="E93">
        <v>3.5738403440026949E-10</v>
      </c>
    </row>
    <row r="94" spans="1:5">
      <c r="A94" t="s">
        <v>24</v>
      </c>
      <c r="B94" t="s">
        <v>25</v>
      </c>
      <c r="C94" t="s">
        <v>9</v>
      </c>
      <c r="D94">
        <f>(AVERAGE(per_seed!$J$12:$J$21)-AVERAGE(per_seed!$J$2:$J$11))/AVERAGE(per_seed!$J$2:$J$11)*100</f>
        <v>24.047437585861442</v>
      </c>
      <c r="E94">
        <v>24.04743758586141</v>
      </c>
    </row>
    <row r="95" spans="1:5">
      <c r="A95" t="s">
        <v>26</v>
      </c>
      <c r="B95" t="s">
        <v>25</v>
      </c>
      <c r="C95" t="s">
        <v>9</v>
      </c>
      <c r="D95">
        <f>_xlfn.T.TEST(per_seed!$J$2:$J$11,per_seed!$J$12:$J$21,2,1)</f>
        <v>1.4160795386583806E-9</v>
      </c>
      <c r="E95">
        <v>1.416079538658452E-9</v>
      </c>
    </row>
    <row r="96" spans="1:5">
      <c r="A96" t="s">
        <v>24</v>
      </c>
      <c r="B96" t="s">
        <v>25</v>
      </c>
      <c r="C96" t="s">
        <v>10</v>
      </c>
      <c r="D96">
        <f>(AVERAGE(per_seed!$K$12:$K$21)-AVERAGE(per_seed!$K$2:$K$11))/AVERAGE(per_seed!$K$2:$K$11)*100</f>
        <v>21.042452010484812</v>
      </c>
      <c r="E96">
        <v>21.042452010484809</v>
      </c>
    </row>
    <row r="97" spans="1:5">
      <c r="A97" t="s">
        <v>26</v>
      </c>
      <c r="B97" t="s">
        <v>25</v>
      </c>
      <c r="C97" t="s">
        <v>10</v>
      </c>
      <c r="D97">
        <f>_xlfn.T.TEST(per_seed!$K$2:$K$11,per_seed!$K$12:$K$21,2,1)</f>
        <v>2.1875627431941196E-8</v>
      </c>
      <c r="E97">
        <v>2.187562743194106E-8</v>
      </c>
    </row>
    <row r="98" spans="1:5">
      <c r="A98" t="s">
        <v>24</v>
      </c>
      <c r="B98" t="s">
        <v>25</v>
      </c>
      <c r="C98" t="s">
        <v>11</v>
      </c>
      <c r="D98">
        <f>(AVERAGE(per_seed!$L$12:$L$21)-AVERAGE(per_seed!$L$2:$L$11))/AVERAGE(per_seed!$L$2:$L$11)*100</f>
        <v>-9.3126734515146108</v>
      </c>
      <c r="E98">
        <v>-9.3126734515146108</v>
      </c>
    </row>
    <row r="99" spans="1:5">
      <c r="A99" t="s">
        <v>26</v>
      </c>
      <c r="B99" t="s">
        <v>25</v>
      </c>
      <c r="C99" t="s">
        <v>11</v>
      </c>
      <c r="D99">
        <f>_xlfn.T.TEST(per_seed!$L$2:$L$11,per_seed!$L$12:$L$21,2,1)</f>
        <v>2.1779760461930048E-6</v>
      </c>
      <c r="E99">
        <v>2.1779760461930222E-6</v>
      </c>
    </row>
    <row r="100" spans="1:5">
      <c r="A100" t="s">
        <v>24</v>
      </c>
      <c r="B100" t="s">
        <v>25</v>
      </c>
      <c r="C100" t="s">
        <v>12</v>
      </c>
      <c r="D100">
        <f>(AVERAGE(per_seed!$M$12:$M$21)-AVERAGE(per_seed!$M$2:$M$11))/AVERAGE(per_seed!$M$2:$M$11)*100</f>
        <v>-17.561535192826774</v>
      </c>
      <c r="E100">
        <v>-17.561535192826788</v>
      </c>
    </row>
    <row r="101" spans="1:5">
      <c r="A101" t="s">
        <v>26</v>
      </c>
      <c r="B101" t="s">
        <v>25</v>
      </c>
      <c r="C101" t="s">
        <v>12</v>
      </c>
      <c r="D101">
        <f>_xlfn.T.TEST(per_seed!$M$2:$M$11,per_seed!$M$12:$M$21,2,1)</f>
        <v>1.6585476930642606E-6</v>
      </c>
      <c r="E101">
        <v>1.6585476930642559E-6</v>
      </c>
    </row>
    <row r="102" spans="1:5">
      <c r="A102" t="s">
        <v>24</v>
      </c>
      <c r="B102" t="s">
        <v>27</v>
      </c>
      <c r="C102" t="s">
        <v>3</v>
      </c>
      <c r="D102">
        <f>(AVERAGE(per_seed!$D$22:$D$31)-AVERAGE(per_seed!$D$2:$D$11))/AVERAGE(per_seed!$D$2:$D$11)*100</f>
        <v>-0.25967156355942828</v>
      </c>
      <c r="E102">
        <v>-0.25967156355942828</v>
      </c>
    </row>
    <row r="103" spans="1:5">
      <c r="A103" t="s">
        <v>26</v>
      </c>
      <c r="B103" t="s">
        <v>27</v>
      </c>
      <c r="C103" t="s">
        <v>3</v>
      </c>
      <c r="D103">
        <f>_xlfn.T.TEST(per_seed!$D$2:$D$11,per_seed!$D$22:$D$31,2,1)</f>
        <v>0.10023746360012933</v>
      </c>
      <c r="E103">
        <v>0.10023746360013421</v>
      </c>
    </row>
    <row r="104" spans="1:5">
      <c r="A104" t="s">
        <v>24</v>
      </c>
      <c r="B104" t="s">
        <v>27</v>
      </c>
      <c r="C104" t="s">
        <v>4</v>
      </c>
      <c r="D104">
        <f>(AVERAGE(per_seed!$E$22:$E$31)-AVERAGE(per_seed!$E$2:$E$11))/AVERAGE(per_seed!$E$2:$E$11)*100</f>
        <v>-0.26867275658248257</v>
      </c>
      <c r="E104">
        <v>-0.26867275658248257</v>
      </c>
    </row>
    <row r="105" spans="1:5">
      <c r="A105" t="s">
        <v>26</v>
      </c>
      <c r="B105" t="s">
        <v>27</v>
      </c>
      <c r="C105" t="s">
        <v>4</v>
      </c>
      <c r="D105">
        <f>_xlfn.T.TEST(per_seed!$E$2:$E$11,per_seed!$E$22:$E$31,2,1)</f>
        <v>0.21090367157221265</v>
      </c>
      <c r="E105">
        <v>0.21090367157221271</v>
      </c>
    </row>
    <row r="106" spans="1:5">
      <c r="A106" t="s">
        <v>24</v>
      </c>
      <c r="B106" t="s">
        <v>27</v>
      </c>
      <c r="C106" t="s">
        <v>5</v>
      </c>
      <c r="D106">
        <f>(AVERAGE(per_seed!$F$22:$F$31)-AVERAGE(per_seed!$F$2:$F$11))/AVERAGE(per_seed!$F$2:$F$11)*100</f>
        <v>4.7263167222990843E-2</v>
      </c>
      <c r="E106">
        <v>4.7263167222990843E-2</v>
      </c>
    </row>
    <row r="107" spans="1:5">
      <c r="A107" t="s">
        <v>26</v>
      </c>
      <c r="B107" t="s">
        <v>27</v>
      </c>
      <c r="C107" t="s">
        <v>5</v>
      </c>
      <c r="D107">
        <f>_xlfn.T.TEST(per_seed!$F$2:$F$11,per_seed!$F$22:$F$31,2,1)</f>
        <v>0.89173983421621417</v>
      </c>
      <c r="E107">
        <v>0.89173983421620628</v>
      </c>
    </row>
    <row r="108" spans="1:5">
      <c r="A108" t="s">
        <v>24</v>
      </c>
      <c r="B108" t="s">
        <v>27</v>
      </c>
      <c r="C108" t="s">
        <v>6</v>
      </c>
      <c r="D108">
        <f>(AVERAGE(per_seed!$G$22:$G$31)-AVERAGE(per_seed!$G$2:$G$11))/AVERAGE(per_seed!$G$2:$G$11)*100</f>
        <v>-8.3766359514331459</v>
      </c>
      <c r="E108">
        <v>-8.3766359514331139</v>
      </c>
    </row>
    <row r="109" spans="1:5">
      <c r="A109" t="s">
        <v>26</v>
      </c>
      <c r="B109" t="s">
        <v>27</v>
      </c>
      <c r="C109" t="s">
        <v>6</v>
      </c>
      <c r="D109">
        <f>_xlfn.T.TEST(per_seed!$G$2:$G$11,per_seed!$G$22:$G$31,2,1)</f>
        <v>2.2325558560113439E-7</v>
      </c>
      <c r="E109">
        <v>2.23255585601141E-7</v>
      </c>
    </row>
    <row r="110" spans="1:5">
      <c r="A110" t="s">
        <v>24</v>
      </c>
      <c r="B110" t="s">
        <v>27</v>
      </c>
      <c r="C110" t="s">
        <v>7</v>
      </c>
      <c r="D110">
        <f>(AVERAGE(per_seed!$H$22:$H$31)-AVERAGE(per_seed!$H$2:$H$11))/AVERAGE(per_seed!$H$2:$H$11)*100</f>
        <v>9.1871200180139496</v>
      </c>
      <c r="E110">
        <v>9.1871200180139496</v>
      </c>
    </row>
    <row r="111" spans="1:5">
      <c r="A111" t="s">
        <v>26</v>
      </c>
      <c r="B111" t="s">
        <v>27</v>
      </c>
      <c r="C111" t="s">
        <v>7</v>
      </c>
      <c r="D111">
        <f>_xlfn.T.TEST(per_seed!$H$2:$H$11,per_seed!$H$22:$H$31,2,1)</f>
        <v>1.2474183433016808E-6</v>
      </c>
      <c r="E111">
        <v>1.247418343301673E-6</v>
      </c>
    </row>
    <row r="112" spans="1:5">
      <c r="A112" t="s">
        <v>24</v>
      </c>
      <c r="B112" t="s">
        <v>27</v>
      </c>
      <c r="C112" t="s">
        <v>8</v>
      </c>
      <c r="D112">
        <f>(AVERAGE(per_seed!$I$22:$I$31)-AVERAGE(per_seed!$I$2:$I$11))/AVERAGE(per_seed!$I$2:$I$11)*100</f>
        <v>9.132340434048638</v>
      </c>
      <c r="E112">
        <v>9.132340434048638</v>
      </c>
    </row>
    <row r="113" spans="1:5">
      <c r="A113" t="s">
        <v>26</v>
      </c>
      <c r="B113" t="s">
        <v>27</v>
      </c>
      <c r="C113" t="s">
        <v>8</v>
      </c>
      <c r="D113">
        <f>_xlfn.T.TEST(per_seed!$I$2:$I$11,per_seed!$I$22:$I$31,2,1)</f>
        <v>1.7589503922030717E-7</v>
      </c>
      <c r="E113">
        <v>1.758950392203064E-7</v>
      </c>
    </row>
    <row r="114" spans="1:5">
      <c r="A114" t="s">
        <v>24</v>
      </c>
      <c r="B114" t="s">
        <v>27</v>
      </c>
      <c r="C114" t="s">
        <v>9</v>
      </c>
      <c r="D114">
        <f>(AVERAGE(per_seed!$J$22:$J$31)-AVERAGE(per_seed!$J$2:$J$11))/AVERAGE(per_seed!$J$2:$J$11)*100</f>
        <v>4.353484770038877</v>
      </c>
      <c r="E114">
        <v>4.353484770038877</v>
      </c>
    </row>
    <row r="115" spans="1:5">
      <c r="A115" t="s">
        <v>26</v>
      </c>
      <c r="B115" t="s">
        <v>27</v>
      </c>
      <c r="C115" t="s">
        <v>9</v>
      </c>
      <c r="D115">
        <f>_xlfn.T.TEST(per_seed!$J$2:$J$11,per_seed!$J$22:$J$31,2,1)</f>
        <v>2.0454145569855078E-6</v>
      </c>
      <c r="E115">
        <v>2.0454145569854151E-6</v>
      </c>
    </row>
    <row r="116" spans="1:5">
      <c r="A116" t="s">
        <v>24</v>
      </c>
      <c r="B116" t="s">
        <v>27</v>
      </c>
      <c r="C116" t="s">
        <v>10</v>
      </c>
      <c r="D116">
        <f>(AVERAGE(per_seed!$K$22:$K$31)-AVERAGE(per_seed!$K$2:$K$11))/AVERAGE(per_seed!$K$2:$K$11)*100</f>
        <v>3.4558867654939593</v>
      </c>
      <c r="E116">
        <v>3.4558867654939589</v>
      </c>
    </row>
    <row r="117" spans="1:5">
      <c r="A117" t="s">
        <v>26</v>
      </c>
      <c r="B117" t="s">
        <v>27</v>
      </c>
      <c r="C117" t="s">
        <v>10</v>
      </c>
      <c r="D117">
        <f>_xlfn.T.TEST(per_seed!$K$2:$K$11,per_seed!$K$22:$K$31,2,1)</f>
        <v>1.6114803227048114E-4</v>
      </c>
      <c r="E117">
        <v>1.6114803227047379E-4</v>
      </c>
    </row>
    <row r="118" spans="1:5">
      <c r="A118" t="s">
        <v>24</v>
      </c>
      <c r="B118" t="s">
        <v>27</v>
      </c>
      <c r="C118" t="s">
        <v>11</v>
      </c>
      <c r="D118">
        <f>(AVERAGE(per_seed!$L$22:$L$31)-AVERAGE(per_seed!$L$2:$L$11))/AVERAGE(per_seed!$L$2:$L$11)*100</f>
        <v>0.81274100325197507</v>
      </c>
      <c r="E118">
        <v>0.81274100325197507</v>
      </c>
    </row>
    <row r="119" spans="1:5">
      <c r="A119" t="s">
        <v>26</v>
      </c>
      <c r="B119" t="s">
        <v>27</v>
      </c>
      <c r="C119" t="s">
        <v>11</v>
      </c>
      <c r="D119">
        <f>_xlfn.T.TEST(per_seed!$L$2:$L$11,per_seed!$L$22:$L$31,2,1)</f>
        <v>0.51713645134537223</v>
      </c>
      <c r="E119">
        <v>0.51713645134537378</v>
      </c>
    </row>
    <row r="120" spans="1:5">
      <c r="A120" t="s">
        <v>24</v>
      </c>
      <c r="B120" t="s">
        <v>27</v>
      </c>
      <c r="C120" t="s">
        <v>12</v>
      </c>
      <c r="D120">
        <f>(AVERAGE(per_seed!$M$22:$M$31)-AVERAGE(per_seed!$M$2:$M$11))/AVERAGE(per_seed!$M$2:$M$11)*100</f>
        <v>6.7185198309214833</v>
      </c>
      <c r="E120">
        <v>6.7185198309214744</v>
      </c>
    </row>
    <row r="121" spans="1:5">
      <c r="A121" t="s">
        <v>26</v>
      </c>
      <c r="B121" t="s">
        <v>27</v>
      </c>
      <c r="C121" t="s">
        <v>12</v>
      </c>
      <c r="D121">
        <f>_xlfn.T.TEST(per_seed!$M$2:$M$11,per_seed!$M$22:$M$31,2,1)</f>
        <v>9.6690953874491836E-2</v>
      </c>
      <c r="E121">
        <v>9.6690953874493099E-2</v>
      </c>
    </row>
    <row r="122" spans="1:5">
      <c r="A122" t="s">
        <v>24</v>
      </c>
      <c r="B122" t="s">
        <v>28</v>
      </c>
      <c r="C122" t="s">
        <v>3</v>
      </c>
      <c r="D122">
        <f>(AVERAGE(per_seed!$D$32:$D$41)-AVERAGE(per_seed!$D$2:$D$11))/AVERAGE(per_seed!$D$2:$D$11)*100</f>
        <v>-1.3224014810900962E-2</v>
      </c>
      <c r="E122">
        <v>-1.322401481090096E-2</v>
      </c>
    </row>
    <row r="123" spans="1:5">
      <c r="A123" t="s">
        <v>26</v>
      </c>
      <c r="B123" t="s">
        <v>28</v>
      </c>
      <c r="C123" t="s">
        <v>3</v>
      </c>
      <c r="D123">
        <f>_xlfn.T.TEST(per_seed!$D$2:$D$11,per_seed!$D$32:$D$41,2,1)</f>
        <v>0.79223631000154437</v>
      </c>
      <c r="E123">
        <v>0.79223631000161221</v>
      </c>
    </row>
    <row r="124" spans="1:5">
      <c r="A124" t="s">
        <v>24</v>
      </c>
      <c r="B124" t="s">
        <v>28</v>
      </c>
      <c r="C124" t="s">
        <v>4</v>
      </c>
      <c r="D124">
        <f>(AVERAGE(per_seed!$E$32:$E$41)-AVERAGE(per_seed!$E$2:$E$11))/AVERAGE(per_seed!$E$2:$E$11)*100</f>
        <v>5.1881635753862072E-2</v>
      </c>
      <c r="E124">
        <v>5.1881635753862072E-2</v>
      </c>
    </row>
    <row r="125" spans="1:5">
      <c r="A125" t="s">
        <v>26</v>
      </c>
      <c r="B125" t="s">
        <v>28</v>
      </c>
      <c r="C125" t="s">
        <v>4</v>
      </c>
      <c r="D125">
        <f>_xlfn.T.TEST(per_seed!$E$2:$E$11,per_seed!$E$32:$E$41,2,1)</f>
        <v>0.4384513950554958</v>
      </c>
      <c r="E125">
        <v>0.43845139505552422</v>
      </c>
    </row>
    <row r="126" spans="1:5">
      <c r="A126" t="s">
        <v>24</v>
      </c>
      <c r="B126" t="s">
        <v>28</v>
      </c>
      <c r="C126" t="s">
        <v>5</v>
      </c>
      <c r="D126">
        <f>(AVERAGE(per_seed!$F$32:$F$41)-AVERAGE(per_seed!$F$2:$F$11))/AVERAGE(per_seed!$F$2:$F$11)*100</f>
        <v>-8.8618438543166603E-3</v>
      </c>
      <c r="E126">
        <v>-8.8618438543166603E-3</v>
      </c>
    </row>
    <row r="127" spans="1:5">
      <c r="A127" t="s">
        <v>26</v>
      </c>
      <c r="B127" t="s">
        <v>28</v>
      </c>
      <c r="C127" t="s">
        <v>5</v>
      </c>
      <c r="D127">
        <f>_xlfn.T.TEST(per_seed!$F$2:$F$11,per_seed!$F$32:$F$41,2,1)</f>
        <v>0.89386783810274939</v>
      </c>
      <c r="E127">
        <v>0.89386783810281301</v>
      </c>
    </row>
    <row r="128" spans="1:5">
      <c r="A128" t="s">
        <v>24</v>
      </c>
      <c r="B128" t="s">
        <v>28</v>
      </c>
      <c r="C128" t="s">
        <v>6</v>
      </c>
      <c r="D128">
        <f>(AVERAGE(per_seed!$G$32:$G$41)-AVERAGE(per_seed!$G$2:$G$11))/AVERAGE(per_seed!$G$2:$G$11)*100</f>
        <v>-0.22225152190659156</v>
      </c>
      <c r="E128">
        <v>-0.2222515219065567</v>
      </c>
    </row>
    <row r="129" spans="1:5">
      <c r="A129" t="s">
        <v>26</v>
      </c>
      <c r="B129" t="s">
        <v>28</v>
      </c>
      <c r="C129" t="s">
        <v>6</v>
      </c>
      <c r="D129">
        <f>_xlfn.T.TEST(per_seed!$G$2:$G$11,per_seed!$G$32:$G$41,2,1)</f>
        <v>0.65220076373363089</v>
      </c>
      <c r="E129">
        <v>0.65220076373365354</v>
      </c>
    </row>
    <row r="130" spans="1:5">
      <c r="A130" t="s">
        <v>24</v>
      </c>
      <c r="B130" t="s">
        <v>28</v>
      </c>
      <c r="C130" t="s">
        <v>7</v>
      </c>
      <c r="D130">
        <f>(AVERAGE(per_seed!$H$32:$H$41)-AVERAGE(per_seed!$H$2:$H$11))/AVERAGE(per_seed!$H$2:$H$11)*100</f>
        <v>0.20265705922089106</v>
      </c>
      <c r="E130">
        <v>0.20265705922089111</v>
      </c>
    </row>
    <row r="131" spans="1:5">
      <c r="A131" t="s">
        <v>26</v>
      </c>
      <c r="B131" t="s">
        <v>28</v>
      </c>
      <c r="C131" t="s">
        <v>7</v>
      </c>
      <c r="D131">
        <f>_xlfn.T.TEST(per_seed!$H$2:$H$11,per_seed!$H$32:$H$41,2,1)</f>
        <v>0.66881617720755737</v>
      </c>
      <c r="E131">
        <v>0.66881617720754927</v>
      </c>
    </row>
    <row r="132" spans="1:5">
      <c r="A132" t="s">
        <v>24</v>
      </c>
      <c r="B132" t="s">
        <v>28</v>
      </c>
      <c r="C132" t="s">
        <v>8</v>
      </c>
      <c r="D132">
        <f>(AVERAGE(per_seed!$I$32:$I$41)-AVERAGE(per_seed!$I$2:$I$11))/AVERAGE(per_seed!$I$2:$I$11)*100</f>
        <v>0.21551412379189583</v>
      </c>
      <c r="E132">
        <v>0.2155141237918958</v>
      </c>
    </row>
    <row r="133" spans="1:5">
      <c r="A133" t="s">
        <v>26</v>
      </c>
      <c r="B133" t="s">
        <v>28</v>
      </c>
      <c r="C133" t="s">
        <v>8</v>
      </c>
      <c r="D133">
        <f>_xlfn.T.TEST(per_seed!$I$2:$I$11,per_seed!$I$32:$I$41,2,1)</f>
        <v>0.65717275270610742</v>
      </c>
      <c r="E133">
        <v>0.65717275270608844</v>
      </c>
    </row>
    <row r="134" spans="1:5">
      <c r="A134" t="s">
        <v>24</v>
      </c>
      <c r="B134" t="s">
        <v>28</v>
      </c>
      <c r="C134" t="s">
        <v>9</v>
      </c>
      <c r="D134">
        <f>(AVERAGE(per_seed!$J$32:$J$41)-AVERAGE(per_seed!$J$2:$J$11))/AVERAGE(per_seed!$J$2:$J$11)*100</f>
        <v>-0.58485957688973866</v>
      </c>
      <c r="E134">
        <v>-0.58485957688975609</v>
      </c>
    </row>
    <row r="135" spans="1:5">
      <c r="A135" t="s">
        <v>26</v>
      </c>
      <c r="B135" t="s">
        <v>28</v>
      </c>
      <c r="C135" t="s">
        <v>9</v>
      </c>
      <c r="D135">
        <f>_xlfn.T.TEST(per_seed!$J$2:$J$11,per_seed!$J$32:$J$41,2,1)</f>
        <v>8.1342936772718893E-2</v>
      </c>
      <c r="E135">
        <v>8.1342936772702559E-2</v>
      </c>
    </row>
    <row r="136" spans="1:5">
      <c r="A136" t="s">
        <v>24</v>
      </c>
      <c r="B136" t="s">
        <v>28</v>
      </c>
      <c r="C136" t="s">
        <v>10</v>
      </c>
      <c r="D136">
        <f>(AVERAGE(per_seed!$K$32:$K$41)-AVERAGE(per_seed!$K$2:$K$11))/AVERAGE(per_seed!$K$2:$K$11)*100</f>
        <v>-0.38259655423786687</v>
      </c>
      <c r="E136">
        <v>-0.38259655423786693</v>
      </c>
    </row>
    <row r="137" spans="1:5">
      <c r="A137" t="s">
        <v>26</v>
      </c>
      <c r="B137" t="s">
        <v>28</v>
      </c>
      <c r="C137" t="s">
        <v>10</v>
      </c>
      <c r="D137">
        <f>_xlfn.T.TEST(per_seed!$K$2:$K$11,per_seed!$K$32:$K$41,2,1)</f>
        <v>0.15032891792186676</v>
      </c>
      <c r="E137">
        <v>0.15032891792188369</v>
      </c>
    </row>
    <row r="138" spans="1:5">
      <c r="A138" t="s">
        <v>24</v>
      </c>
      <c r="B138" t="s">
        <v>28</v>
      </c>
      <c r="C138" t="s">
        <v>11</v>
      </c>
      <c r="D138">
        <f>(AVERAGE(per_seed!$L$32:$L$41)-AVERAGE(per_seed!$L$2:$L$11))/AVERAGE(per_seed!$L$2:$L$11)*100</f>
        <v>-0.2231949075022901</v>
      </c>
      <c r="E138">
        <v>-0.2231949075022901</v>
      </c>
    </row>
    <row r="139" spans="1:5">
      <c r="A139" t="s">
        <v>26</v>
      </c>
      <c r="B139" t="s">
        <v>28</v>
      </c>
      <c r="C139" t="s">
        <v>11</v>
      </c>
      <c r="D139">
        <f>_xlfn.T.TEST(per_seed!$L$2:$L$11,per_seed!$L$32:$L$41,2,1)</f>
        <v>0.46966369044707923</v>
      </c>
      <c r="E139">
        <v>0.46966369044708728</v>
      </c>
    </row>
    <row r="140" spans="1:5">
      <c r="A140" t="s">
        <v>24</v>
      </c>
      <c r="B140" t="s">
        <v>28</v>
      </c>
      <c r="C140" t="s">
        <v>12</v>
      </c>
      <c r="D140">
        <f>(AVERAGE(per_seed!$M$32:$M$41)-AVERAGE(per_seed!$M$2:$M$11))/AVERAGE(per_seed!$M$2:$M$11)*100</f>
        <v>0.44201095855653627</v>
      </c>
      <c r="E140">
        <v>0.44201095855654809</v>
      </c>
    </row>
    <row r="141" spans="1:5">
      <c r="A141" t="s">
        <v>26</v>
      </c>
      <c r="B141" t="s">
        <v>28</v>
      </c>
      <c r="C141" t="s">
        <v>12</v>
      </c>
      <c r="D141">
        <f>_xlfn.T.TEST(per_seed!$M$2:$M$11,per_seed!$M$32:$M$41,2,1)</f>
        <v>0.74848318028467908</v>
      </c>
      <c r="E141">
        <v>0.74848318028467242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per_seed</vt:lpstr>
      <vt:lpstr>excel_check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M11301111</cp:lastModifiedBy>
  <dcterms:created xsi:type="dcterms:W3CDTF">2026-09-16T11:52:34Z</dcterms:created>
  <dcterms:modified xsi:type="dcterms:W3CDTF">2026-09-16T11:52:37Z</dcterms:modified>
</cp:coreProperties>
</file>