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large_packing_capacity_m5\"/>
    </mc:Choice>
  </mc:AlternateContent>
  <xr:revisionPtr revIDLastSave="0" documentId="13_ncr:1_{D497FC24-499B-4CFD-88AB-0F72210C6B64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1" i="2" l="1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<sst xmlns="http://schemas.openxmlformats.org/spreadsheetml/2006/main" count="478" uniqueCount="29">
  <si>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</si>
  <si>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</si>
  <si>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</si>
  <si>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</si>
  <si>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</si>
  <si>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</si>
  <si>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</si>
  <si>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</si>
  <si>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</si>
  <si>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</si>
  <si>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</si>
  <si>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</si>
  <si>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</si>
  <si>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m5_45b</t>
  </si>
  <si>
    <t>m5_pk1_45b</t>
  </si>
  <si>
    <t>m5_pk2_45b</t>
  </si>
  <si>
    <t>m5_pk3_45b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</si>
  <si>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</si>
  <si>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</si>
  <si>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</si>
  <si>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</si>
  <si>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</si>
  <si>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</si>
  <si>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</si>
  <si>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</si>
  <si>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m5_pk1_45b vs m5_45b</t>
  </si>
  <si>
    <t>p</t>
  </si>
  <si>
    <t>m5_pk2_45b vs m5_45b</t>
  </si>
  <si>
    <t>m5_pk3_45b vs m5_45b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</si>
</sst>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8328</v>
      </c>
      <c r="E2">
        <v>5381</v>
      </c>
      <c r="F2">
        <v>3409</v>
      </c>
      <c r="G2">
        <v>7.4758771929824563</v>
      </c>
      <c r="H2">
        <v>456</v>
      </c>
      <c r="I2">
        <v>0.1337635670284541</v>
      </c>
      <c r="J2">
        <v>20.777516014337479</v>
      </c>
      <c r="K2">
        <v>3.62290037798555</v>
      </c>
      <c r="L2">
        <v>381.92491340152202</v>
      </c>
      <c r="M2">
        <v>3.6891342240970459</v>
      </c>
    </row>
    <row r="3" spans="1:13">
      <c r="A3" t="s">
        <v>13</v>
      </c>
      <c r="B3">
        <v>45</v>
      </c>
      <c r="C3">
        <v>1</v>
      </c>
      <c r="D3">
        <v>8316</v>
      </c>
      <c r="E3">
        <v>5405</v>
      </c>
      <c r="F3">
        <v>3324</v>
      </c>
      <c r="G3">
        <v>7.6064073226544622</v>
      </c>
      <c r="H3">
        <v>437</v>
      </c>
      <c r="I3">
        <v>0.13146811070998801</v>
      </c>
      <c r="J3">
        <v>20.25337948345717</v>
      </c>
      <c r="K3">
        <v>3.6466145182048701</v>
      </c>
      <c r="L3">
        <v>412.02314575051702</v>
      </c>
      <c r="M3">
        <v>3.8320109822279629</v>
      </c>
    </row>
    <row r="4" spans="1:13">
      <c r="A4" t="s">
        <v>13</v>
      </c>
      <c r="B4">
        <v>45</v>
      </c>
      <c r="C4">
        <v>2</v>
      </c>
      <c r="D4">
        <v>8324</v>
      </c>
      <c r="E4">
        <v>5371</v>
      </c>
      <c r="F4">
        <v>3380</v>
      </c>
      <c r="G4">
        <v>7.7168949771689501</v>
      </c>
      <c r="H4">
        <v>438</v>
      </c>
      <c r="I4">
        <v>0.12958579881656801</v>
      </c>
      <c r="J4">
        <v>20.70861694183634</v>
      </c>
      <c r="K4">
        <v>3.6464953569353198</v>
      </c>
      <c r="L4">
        <v>402.07129869396101</v>
      </c>
      <c r="M4">
        <v>3.7022262137774171</v>
      </c>
    </row>
    <row r="5" spans="1:13">
      <c r="A5" t="s">
        <v>13</v>
      </c>
      <c r="B5">
        <v>45</v>
      </c>
      <c r="C5">
        <v>3</v>
      </c>
      <c r="D5">
        <v>8332</v>
      </c>
      <c r="E5">
        <v>5397</v>
      </c>
      <c r="F5">
        <v>3441</v>
      </c>
      <c r="G5">
        <v>7.6636971046770599</v>
      </c>
      <c r="H5">
        <v>449</v>
      </c>
      <c r="I5">
        <v>0.1304853240337111</v>
      </c>
      <c r="J5">
        <v>20.256725259566242</v>
      </c>
      <c r="K5">
        <v>3.49217952698026</v>
      </c>
      <c r="L5">
        <v>376.89028137424202</v>
      </c>
      <c r="M5">
        <v>3.6058670362805039</v>
      </c>
    </row>
    <row r="6" spans="1:13">
      <c r="A6" t="s">
        <v>13</v>
      </c>
      <c r="B6">
        <v>45</v>
      </c>
      <c r="C6">
        <v>4</v>
      </c>
      <c r="D6">
        <v>8298</v>
      </c>
      <c r="E6">
        <v>5357</v>
      </c>
      <c r="F6">
        <v>3340</v>
      </c>
      <c r="G6">
        <v>7.5225225225225234</v>
      </c>
      <c r="H6">
        <v>444</v>
      </c>
      <c r="I6">
        <v>0.13293413173652691</v>
      </c>
      <c r="J6">
        <v>20.386417143956511</v>
      </c>
      <c r="K6">
        <v>3.5784393916667199</v>
      </c>
      <c r="L6">
        <v>414.97870849900102</v>
      </c>
      <c r="M6">
        <v>4.015729166666735</v>
      </c>
    </row>
    <row r="7" spans="1:13">
      <c r="A7" t="s">
        <v>13</v>
      </c>
      <c r="B7">
        <v>45</v>
      </c>
      <c r="C7">
        <v>5</v>
      </c>
      <c r="D7">
        <v>8329</v>
      </c>
      <c r="E7">
        <v>5479</v>
      </c>
      <c r="F7">
        <v>3451</v>
      </c>
      <c r="G7">
        <v>7.634955752212389</v>
      </c>
      <c r="H7">
        <v>452</v>
      </c>
      <c r="I7">
        <v>0.13097652854245151</v>
      </c>
      <c r="J7">
        <v>20.329890075804158</v>
      </c>
      <c r="K7">
        <v>3.5526807515351599</v>
      </c>
      <c r="L7">
        <v>386.33694804091999</v>
      </c>
      <c r="M7">
        <v>3.6676713224782902</v>
      </c>
    </row>
    <row r="8" spans="1:13">
      <c r="A8" t="s">
        <v>13</v>
      </c>
      <c r="B8">
        <v>45</v>
      </c>
      <c r="C8">
        <v>6</v>
      </c>
      <c r="D8">
        <v>8289</v>
      </c>
      <c r="E8">
        <v>5420</v>
      </c>
      <c r="F8">
        <v>3405</v>
      </c>
      <c r="G8">
        <v>7.6862302483069973</v>
      </c>
      <c r="H8">
        <v>443</v>
      </c>
      <c r="I8">
        <v>0.13010279001468431</v>
      </c>
      <c r="J8">
        <v>20.33808467334207</v>
      </c>
      <c r="K8">
        <v>3.5732713590898899</v>
      </c>
      <c r="L8">
        <v>403.588708499002</v>
      </c>
      <c r="M8">
        <v>4.1389554513199176</v>
      </c>
    </row>
    <row r="9" spans="1:13">
      <c r="A9" t="s">
        <v>13</v>
      </c>
      <c r="B9">
        <v>45</v>
      </c>
      <c r="C9">
        <v>7</v>
      </c>
      <c r="D9">
        <v>8325</v>
      </c>
      <c r="E9">
        <v>5409</v>
      </c>
      <c r="F9">
        <v>3369</v>
      </c>
      <c r="G9">
        <v>7.4370860927152318</v>
      </c>
      <c r="H9">
        <v>453</v>
      </c>
      <c r="I9">
        <v>0.13446126447016921</v>
      </c>
      <c r="J9">
        <v>20.991225874092439</v>
      </c>
      <c r="K9">
        <v>3.7265996726082999</v>
      </c>
      <c r="L9">
        <v>395.85156568238898</v>
      </c>
      <c r="M9">
        <v>3.6889030429773508</v>
      </c>
    </row>
    <row r="10" spans="1:13">
      <c r="A10" t="s">
        <v>13</v>
      </c>
      <c r="B10">
        <v>45</v>
      </c>
      <c r="C10">
        <v>8</v>
      </c>
      <c r="D10">
        <v>8298</v>
      </c>
      <c r="E10">
        <v>5357</v>
      </c>
      <c r="F10">
        <v>3344</v>
      </c>
      <c r="G10">
        <v>7.8867924528301883</v>
      </c>
      <c r="H10">
        <v>424</v>
      </c>
      <c r="I10">
        <v>0.12679425837320571</v>
      </c>
      <c r="J10">
        <v>20.03182673472709</v>
      </c>
      <c r="K10">
        <v>3.5493354020071699</v>
      </c>
      <c r="L10">
        <v>406.16166666668801</v>
      </c>
      <c r="M10">
        <v>4.039065814922945</v>
      </c>
    </row>
    <row r="11" spans="1:13">
      <c r="A11" t="s">
        <v>13</v>
      </c>
      <c r="B11">
        <v>45</v>
      </c>
      <c r="C11">
        <v>9</v>
      </c>
      <c r="D11">
        <v>8343</v>
      </c>
      <c r="E11">
        <v>5393</v>
      </c>
      <c r="F11">
        <v>3390</v>
      </c>
      <c r="G11">
        <v>7.617977528089888</v>
      </c>
      <c r="H11">
        <v>445</v>
      </c>
      <c r="I11">
        <v>0.13126843657817111</v>
      </c>
      <c r="J11">
        <v>20.40824645247821</v>
      </c>
      <c r="K11">
        <v>3.6211016582943398</v>
      </c>
      <c r="L11">
        <v>371.95342712475099</v>
      </c>
      <c r="M11">
        <v>3.502566362629723</v>
      </c>
    </row>
    <row r="12" spans="1:13">
      <c r="A12" t="s">
        <v>14</v>
      </c>
      <c r="B12">
        <v>45</v>
      </c>
      <c r="C12">
        <v>0</v>
      </c>
      <c r="D12">
        <v>1985</v>
      </c>
      <c r="E12">
        <v>1287</v>
      </c>
      <c r="F12">
        <v>848</v>
      </c>
      <c r="G12">
        <v>5.0778443113772456</v>
      </c>
      <c r="H12">
        <v>167</v>
      </c>
      <c r="I12">
        <v>0.19693396226415091</v>
      </c>
      <c r="J12">
        <v>48.428904428905277</v>
      </c>
      <c r="K12">
        <v>8.1607476272053798</v>
      </c>
      <c r="L12">
        <v>635.84469704705998</v>
      </c>
      <c r="M12">
        <v>77.033104532423224</v>
      </c>
    </row>
    <row r="13" spans="1:13">
      <c r="A13" t="s">
        <v>14</v>
      </c>
      <c r="B13">
        <v>45</v>
      </c>
      <c r="C13">
        <v>1</v>
      </c>
      <c r="D13">
        <v>1943</v>
      </c>
      <c r="E13">
        <v>1262</v>
      </c>
      <c r="F13">
        <v>824</v>
      </c>
      <c r="G13">
        <v>4.9341317365269459</v>
      </c>
      <c r="H13">
        <v>167</v>
      </c>
      <c r="I13">
        <v>0.20266990291262141</v>
      </c>
      <c r="J13">
        <v>50.105388272584392</v>
      </c>
      <c r="K13">
        <v>8.4307029424398507</v>
      </c>
      <c r="L13">
        <v>700.03629869393797</v>
      </c>
      <c r="M13">
        <v>77.518418443636619</v>
      </c>
    </row>
    <row r="14" spans="1:13">
      <c r="A14" t="s">
        <v>14</v>
      </c>
      <c r="B14">
        <v>45</v>
      </c>
      <c r="C14">
        <v>2</v>
      </c>
      <c r="D14">
        <v>2184</v>
      </c>
      <c r="E14">
        <v>1443</v>
      </c>
      <c r="F14">
        <v>946</v>
      </c>
      <c r="G14">
        <v>5.197802197802198</v>
      </c>
      <c r="H14">
        <v>182</v>
      </c>
      <c r="I14">
        <v>0.1923890063424947</v>
      </c>
      <c r="J14">
        <v>44.080388080389049</v>
      </c>
      <c r="K14">
        <v>7.5046224057002302</v>
      </c>
      <c r="L14">
        <v>601.06963202727002</v>
      </c>
      <c r="M14">
        <v>74.728825231481494</v>
      </c>
    </row>
    <row r="15" spans="1:13">
      <c r="A15" t="s">
        <v>14</v>
      </c>
      <c r="B15">
        <v>45</v>
      </c>
      <c r="C15">
        <v>3</v>
      </c>
      <c r="D15">
        <v>1882</v>
      </c>
      <c r="E15">
        <v>1214</v>
      </c>
      <c r="F15">
        <v>796</v>
      </c>
      <c r="G15">
        <v>4.9749999999999996</v>
      </c>
      <c r="H15">
        <v>160</v>
      </c>
      <c r="I15">
        <v>0.20100502512562821</v>
      </c>
      <c r="J15">
        <v>51.6746293245481</v>
      </c>
      <c r="K15">
        <v>8.6942468934716093</v>
      </c>
      <c r="L15">
        <v>585.83629869393803</v>
      </c>
      <c r="M15">
        <v>78.217592592592595</v>
      </c>
    </row>
    <row r="16" spans="1:13">
      <c r="A16" t="s">
        <v>14</v>
      </c>
      <c r="B16">
        <v>45</v>
      </c>
      <c r="C16">
        <v>4</v>
      </c>
      <c r="D16">
        <v>2031</v>
      </c>
      <c r="E16">
        <v>1315</v>
      </c>
      <c r="F16">
        <v>841</v>
      </c>
      <c r="G16">
        <v>4.833333333333333</v>
      </c>
      <c r="H16">
        <v>174</v>
      </c>
      <c r="I16">
        <v>0.2068965517241379</v>
      </c>
      <c r="J16">
        <v>47.714828897339622</v>
      </c>
      <c r="K16">
        <v>8.3206736082027195</v>
      </c>
      <c r="L16">
        <v>624.33527418131303</v>
      </c>
      <c r="M16">
        <v>76.500475397151092</v>
      </c>
    </row>
    <row r="17" spans="1:13">
      <c r="A17" t="s">
        <v>14</v>
      </c>
      <c r="B17">
        <v>45</v>
      </c>
      <c r="C17">
        <v>5</v>
      </c>
      <c r="D17">
        <v>2104</v>
      </c>
      <c r="E17">
        <v>1385</v>
      </c>
      <c r="F17">
        <v>893</v>
      </c>
      <c r="G17">
        <v>5.1321839080459766</v>
      </c>
      <c r="H17">
        <v>174</v>
      </c>
      <c r="I17">
        <v>0.1948488241881299</v>
      </c>
      <c r="J17">
        <v>45.22049553049812</v>
      </c>
      <c r="K17">
        <v>7.8398897689221503</v>
      </c>
      <c r="L17">
        <v>785.91815294342996</v>
      </c>
      <c r="M17">
        <v>75.648148148148152</v>
      </c>
    </row>
    <row r="18" spans="1:13">
      <c r="A18" t="s">
        <v>14</v>
      </c>
      <c r="B18">
        <v>45</v>
      </c>
      <c r="C18">
        <v>6</v>
      </c>
      <c r="D18">
        <v>2248</v>
      </c>
      <c r="E18">
        <v>1467</v>
      </c>
      <c r="F18">
        <v>972</v>
      </c>
      <c r="G18">
        <v>4.5209302325581397</v>
      </c>
      <c r="H18">
        <v>215</v>
      </c>
      <c r="I18">
        <v>0.2211934156378601</v>
      </c>
      <c r="J18">
        <v>45.128503041066658</v>
      </c>
      <c r="K18">
        <v>7.6946553925722103</v>
      </c>
      <c r="L18">
        <v>574.29333333333398</v>
      </c>
      <c r="M18">
        <v>74.037190371721934</v>
      </c>
    </row>
    <row r="19" spans="1:13">
      <c r="A19" t="s">
        <v>14</v>
      </c>
      <c r="B19">
        <v>45</v>
      </c>
      <c r="C19">
        <v>7</v>
      </c>
      <c r="D19">
        <v>2224</v>
      </c>
      <c r="E19">
        <v>1457</v>
      </c>
      <c r="F19">
        <v>946</v>
      </c>
      <c r="G19">
        <v>5.1693989071038251</v>
      </c>
      <c r="H19">
        <v>183</v>
      </c>
      <c r="I19">
        <v>0.193446088794926</v>
      </c>
      <c r="J19">
        <v>45.177851267374947</v>
      </c>
      <c r="K19">
        <v>7.73102526312472</v>
      </c>
      <c r="L19">
        <v>721.78101731970105</v>
      </c>
      <c r="M19">
        <v>74.259259259259252</v>
      </c>
    </row>
    <row r="20" spans="1:13">
      <c r="A20" t="s">
        <v>14</v>
      </c>
      <c r="B20">
        <v>45</v>
      </c>
      <c r="C20">
        <v>8</v>
      </c>
      <c r="D20">
        <v>2158</v>
      </c>
      <c r="E20">
        <v>1412</v>
      </c>
      <c r="F20">
        <v>913</v>
      </c>
      <c r="G20">
        <v>4.8306878306878307</v>
      </c>
      <c r="H20">
        <v>189</v>
      </c>
      <c r="I20">
        <v>0.20700985761226731</v>
      </c>
      <c r="J20">
        <v>44.962464589235978</v>
      </c>
      <c r="K20">
        <v>7.8402177129718904</v>
      </c>
      <c r="L20">
        <v>643.19444444444503</v>
      </c>
      <c r="M20">
        <v>75.030036651234568</v>
      </c>
    </row>
    <row r="21" spans="1:13">
      <c r="A21" t="s">
        <v>14</v>
      </c>
      <c r="B21">
        <v>45</v>
      </c>
      <c r="C21">
        <v>9</v>
      </c>
      <c r="D21">
        <v>2033</v>
      </c>
      <c r="E21">
        <v>1338</v>
      </c>
      <c r="F21">
        <v>872</v>
      </c>
      <c r="G21">
        <v>5.3496932515337434</v>
      </c>
      <c r="H21">
        <v>163</v>
      </c>
      <c r="I21">
        <v>0.18692660550458709</v>
      </c>
      <c r="J21">
        <v>45.943877058190509</v>
      </c>
      <c r="K21">
        <v>7.9170295160799604</v>
      </c>
      <c r="L21">
        <v>645.52648627676297</v>
      </c>
      <c r="M21">
        <v>76.469907407407405</v>
      </c>
    </row>
    <row r="22" spans="1:13">
      <c r="A22" t="s">
        <v>15</v>
      </c>
      <c r="B22">
        <v>45</v>
      </c>
      <c r="C22">
        <v>0</v>
      </c>
      <c r="D22">
        <v>6628</v>
      </c>
      <c r="E22">
        <v>4298</v>
      </c>
      <c r="F22">
        <v>2744</v>
      </c>
      <c r="G22">
        <v>7.2592592592592604</v>
      </c>
      <c r="H22">
        <v>378</v>
      </c>
      <c r="I22">
        <v>0.13775510204081631</v>
      </c>
      <c r="J22">
        <v>22.436050796090271</v>
      </c>
      <c r="K22">
        <v>3.8614972464188799</v>
      </c>
      <c r="L22">
        <v>443.68000719292098</v>
      </c>
      <c r="M22">
        <v>23.343514518310879</v>
      </c>
    </row>
    <row r="23" spans="1:13">
      <c r="A23" t="s">
        <v>15</v>
      </c>
      <c r="B23">
        <v>45</v>
      </c>
      <c r="C23">
        <v>1</v>
      </c>
      <c r="D23">
        <v>5756</v>
      </c>
      <c r="E23">
        <v>3750</v>
      </c>
      <c r="F23">
        <v>2342</v>
      </c>
      <c r="G23">
        <v>6.991044776119403</v>
      </c>
      <c r="H23">
        <v>335</v>
      </c>
      <c r="I23">
        <v>0.14304013663535439</v>
      </c>
      <c r="J23">
        <v>23.826832757590481</v>
      </c>
      <c r="K23">
        <v>4.25986680375033</v>
      </c>
      <c r="L23">
        <v>519.80926405453999</v>
      </c>
      <c r="M23">
        <v>33.431425590402142</v>
      </c>
    </row>
    <row r="24" spans="1:13">
      <c r="A24" t="s">
        <v>15</v>
      </c>
      <c r="B24">
        <v>45</v>
      </c>
      <c r="C24">
        <v>2</v>
      </c>
      <c r="D24">
        <v>4016</v>
      </c>
      <c r="E24">
        <v>2617</v>
      </c>
      <c r="F24">
        <v>1621</v>
      </c>
      <c r="G24">
        <v>7.0786026200873362</v>
      </c>
      <c r="H24">
        <v>229</v>
      </c>
      <c r="I24">
        <v>0.14127082048118439</v>
      </c>
      <c r="J24">
        <v>29.05808177302297</v>
      </c>
      <c r="K24">
        <v>5.1447502037784698</v>
      </c>
      <c r="L24">
        <v>506.44398268030199</v>
      </c>
      <c r="M24">
        <v>53.533491361837036</v>
      </c>
    </row>
    <row r="25" spans="1:13">
      <c r="A25" t="s">
        <v>15</v>
      </c>
      <c r="B25">
        <v>45</v>
      </c>
      <c r="C25">
        <v>3</v>
      </c>
      <c r="D25">
        <v>5562</v>
      </c>
      <c r="E25">
        <v>3643</v>
      </c>
      <c r="F25">
        <v>2323</v>
      </c>
      <c r="G25">
        <v>7.0607902735562309</v>
      </c>
      <c r="H25">
        <v>329</v>
      </c>
      <c r="I25">
        <v>0.14162720619888081</v>
      </c>
      <c r="J25">
        <v>24.3199665247521</v>
      </c>
      <c r="K25">
        <v>4.23105116919983</v>
      </c>
      <c r="L25">
        <v>498.63222222222203</v>
      </c>
      <c r="M25">
        <v>35.642850896437871</v>
      </c>
    </row>
    <row r="26" spans="1:13">
      <c r="A26" t="s">
        <v>15</v>
      </c>
      <c r="B26">
        <v>45</v>
      </c>
      <c r="C26">
        <v>4</v>
      </c>
      <c r="D26">
        <v>5927</v>
      </c>
      <c r="E26">
        <v>3827</v>
      </c>
      <c r="F26">
        <v>2400</v>
      </c>
      <c r="G26">
        <v>7.3170731707317076</v>
      </c>
      <c r="H26">
        <v>328</v>
      </c>
      <c r="I26">
        <v>0.13666666666666669</v>
      </c>
      <c r="J26">
        <v>22.8806351243161</v>
      </c>
      <c r="K26">
        <v>4.07287384583082</v>
      </c>
      <c r="L26">
        <v>516.15973301164502</v>
      </c>
      <c r="M26">
        <v>31.463911577186771</v>
      </c>
    </row>
    <row r="27" spans="1:13">
      <c r="A27" t="s">
        <v>15</v>
      </c>
      <c r="B27">
        <v>45</v>
      </c>
      <c r="C27">
        <v>5</v>
      </c>
      <c r="D27">
        <v>4920</v>
      </c>
      <c r="E27">
        <v>3247</v>
      </c>
      <c r="F27">
        <v>2055</v>
      </c>
      <c r="G27">
        <v>6.9661016949152543</v>
      </c>
      <c r="H27">
        <v>295</v>
      </c>
      <c r="I27">
        <v>0.14355231143552311</v>
      </c>
      <c r="J27">
        <v>26.455030201031629</v>
      </c>
      <c r="K27">
        <v>4.6341305318288404</v>
      </c>
      <c r="L27">
        <v>491.78787156917002</v>
      </c>
      <c r="M27">
        <v>43.094939315528848</v>
      </c>
    </row>
    <row r="28" spans="1:13">
      <c r="A28" t="s">
        <v>15</v>
      </c>
      <c r="B28">
        <v>45</v>
      </c>
      <c r="C28">
        <v>6</v>
      </c>
      <c r="D28">
        <v>5182</v>
      </c>
      <c r="E28">
        <v>3341</v>
      </c>
      <c r="F28">
        <v>2087</v>
      </c>
      <c r="G28">
        <v>6.6891025641025639</v>
      </c>
      <c r="H28">
        <v>312</v>
      </c>
      <c r="I28">
        <v>0.14949688548155249</v>
      </c>
      <c r="J28">
        <v>25.671015579754659</v>
      </c>
      <c r="K28">
        <v>4.55249491412137</v>
      </c>
      <c r="L28">
        <v>570.19831894754395</v>
      </c>
      <c r="M28">
        <v>40.067377094309627</v>
      </c>
    </row>
    <row r="29" spans="1:13">
      <c r="A29" t="s">
        <v>15</v>
      </c>
      <c r="B29">
        <v>45</v>
      </c>
      <c r="C29">
        <v>7</v>
      </c>
      <c r="D29">
        <v>5122</v>
      </c>
      <c r="E29">
        <v>3311</v>
      </c>
      <c r="F29">
        <v>2070</v>
      </c>
      <c r="G29">
        <v>6.993243243243243</v>
      </c>
      <c r="H29">
        <v>296</v>
      </c>
      <c r="I29">
        <v>0.14299516908212559</v>
      </c>
      <c r="J29">
        <v>25.855447749924981</v>
      </c>
      <c r="K29">
        <v>4.6156119063679402</v>
      </c>
      <c r="L29">
        <v>480.87685424949598</v>
      </c>
      <c r="M29">
        <v>40.728241676108901</v>
      </c>
    </row>
    <row r="30" spans="1:13">
      <c r="A30" t="s">
        <v>15</v>
      </c>
      <c r="B30">
        <v>45</v>
      </c>
      <c r="C30">
        <v>8</v>
      </c>
      <c r="D30">
        <v>4601</v>
      </c>
      <c r="E30">
        <v>2977</v>
      </c>
      <c r="F30">
        <v>1856</v>
      </c>
      <c r="G30">
        <v>6.6523297491039424</v>
      </c>
      <c r="H30">
        <v>279</v>
      </c>
      <c r="I30">
        <v>0.15032327586206901</v>
      </c>
      <c r="J30">
        <v>27.03015513309251</v>
      </c>
      <c r="K30">
        <v>4.8160306775186603</v>
      </c>
      <c r="L30">
        <v>503.79481961009799</v>
      </c>
      <c r="M30">
        <v>46.758816129194201</v>
      </c>
    </row>
    <row r="31" spans="1:13">
      <c r="A31" t="s">
        <v>15</v>
      </c>
      <c r="B31">
        <v>45</v>
      </c>
      <c r="C31">
        <v>9</v>
      </c>
      <c r="D31">
        <v>5999</v>
      </c>
      <c r="E31">
        <v>3935</v>
      </c>
      <c r="F31">
        <v>2490</v>
      </c>
      <c r="G31">
        <v>7.0538243626062327</v>
      </c>
      <c r="H31">
        <v>353</v>
      </c>
      <c r="I31">
        <v>0.14176706827309241</v>
      </c>
      <c r="J31">
        <v>23.992940165816439</v>
      </c>
      <c r="K31">
        <v>4.1818526855355103</v>
      </c>
      <c r="L31">
        <v>444.89027418129803</v>
      </c>
      <c r="M31">
        <v>30.570100316967199</v>
      </c>
    </row>
    <row r="32" spans="1:13">
      <c r="A32" t="s">
        <v>16</v>
      </c>
      <c r="B32">
        <v>45</v>
      </c>
      <c r="C32">
        <v>0</v>
      </c>
      <c r="D32">
        <v>8328</v>
      </c>
      <c r="E32">
        <v>5381</v>
      </c>
      <c r="F32">
        <v>3409</v>
      </c>
      <c r="G32">
        <v>7.4758771929824563</v>
      </c>
      <c r="H32">
        <v>456</v>
      </c>
      <c r="I32">
        <v>0.1337635670284541</v>
      </c>
      <c r="J32">
        <v>20.777516014337479</v>
      </c>
      <c r="K32">
        <v>3.62290037798555</v>
      </c>
      <c r="L32">
        <v>381.92491340152202</v>
      </c>
      <c r="M32">
        <v>3.6891342240970459</v>
      </c>
    </row>
    <row r="33" spans="1:13">
      <c r="A33" t="s">
        <v>16</v>
      </c>
      <c r="B33">
        <v>45</v>
      </c>
      <c r="C33">
        <v>1</v>
      </c>
      <c r="D33">
        <v>8316</v>
      </c>
      <c r="E33">
        <v>5405</v>
      </c>
      <c r="F33">
        <v>3324</v>
      </c>
      <c r="G33">
        <v>7.6064073226544622</v>
      </c>
      <c r="H33">
        <v>437</v>
      </c>
      <c r="I33">
        <v>0.13146811070998801</v>
      </c>
      <c r="J33">
        <v>20.25337948345717</v>
      </c>
      <c r="K33">
        <v>3.6466145182048701</v>
      </c>
      <c r="L33">
        <v>412.02314575051702</v>
      </c>
      <c r="M33">
        <v>3.8320109822279629</v>
      </c>
    </row>
    <row r="34" spans="1:13">
      <c r="A34" t="s">
        <v>16</v>
      </c>
      <c r="B34">
        <v>45</v>
      </c>
      <c r="C34">
        <v>2</v>
      </c>
      <c r="D34">
        <v>8324</v>
      </c>
      <c r="E34">
        <v>5371</v>
      </c>
      <c r="F34">
        <v>3380</v>
      </c>
      <c r="G34">
        <v>7.7168949771689501</v>
      </c>
      <c r="H34">
        <v>438</v>
      </c>
      <c r="I34">
        <v>0.12958579881656801</v>
      </c>
      <c r="J34">
        <v>20.70861694183634</v>
      </c>
      <c r="K34">
        <v>3.6464953569353198</v>
      </c>
      <c r="L34">
        <v>402.07129869396101</v>
      </c>
      <c r="M34">
        <v>3.7022262137774171</v>
      </c>
    </row>
    <row r="35" spans="1:13">
      <c r="A35" t="s">
        <v>16</v>
      </c>
      <c r="B35">
        <v>45</v>
      </c>
      <c r="C35">
        <v>3</v>
      </c>
      <c r="D35">
        <v>8332</v>
      </c>
      <c r="E35">
        <v>5397</v>
      </c>
      <c r="F35">
        <v>3441</v>
      </c>
      <c r="G35">
        <v>7.6636971046770599</v>
      </c>
      <c r="H35">
        <v>449</v>
      </c>
      <c r="I35">
        <v>0.1304853240337111</v>
      </c>
      <c r="J35">
        <v>20.256725259566242</v>
      </c>
      <c r="K35">
        <v>3.49217952698026</v>
      </c>
      <c r="L35">
        <v>376.89028137424202</v>
      </c>
      <c r="M35">
        <v>3.6058670362805039</v>
      </c>
    </row>
    <row r="36" spans="1:13">
      <c r="A36" t="s">
        <v>16</v>
      </c>
      <c r="B36">
        <v>45</v>
      </c>
      <c r="C36">
        <v>4</v>
      </c>
      <c r="D36">
        <v>8298</v>
      </c>
      <c r="E36">
        <v>5357</v>
      </c>
      <c r="F36">
        <v>3340</v>
      </c>
      <c r="G36">
        <v>7.5225225225225234</v>
      </c>
      <c r="H36">
        <v>444</v>
      </c>
      <c r="I36">
        <v>0.13293413173652691</v>
      </c>
      <c r="J36">
        <v>20.386417143956511</v>
      </c>
      <c r="K36">
        <v>3.5784393916667199</v>
      </c>
      <c r="L36">
        <v>414.97870849900102</v>
      </c>
      <c r="M36">
        <v>4.015729166666735</v>
      </c>
    </row>
    <row r="37" spans="1:13">
      <c r="A37" t="s">
        <v>16</v>
      </c>
      <c r="B37">
        <v>45</v>
      </c>
      <c r="C37">
        <v>5</v>
      </c>
      <c r="D37">
        <v>8329</v>
      </c>
      <c r="E37">
        <v>5479</v>
      </c>
      <c r="F37">
        <v>3451</v>
      </c>
      <c r="G37">
        <v>7.634955752212389</v>
      </c>
      <c r="H37">
        <v>452</v>
      </c>
      <c r="I37">
        <v>0.13097652854245151</v>
      </c>
      <c r="J37">
        <v>20.329890075804158</v>
      </c>
      <c r="K37">
        <v>3.5526807515351599</v>
      </c>
      <c r="L37">
        <v>386.33694804091999</v>
      </c>
      <c r="M37">
        <v>3.6676713224782902</v>
      </c>
    </row>
    <row r="38" spans="1:13">
      <c r="A38" t="s">
        <v>16</v>
      </c>
      <c r="B38">
        <v>45</v>
      </c>
      <c r="C38">
        <v>6</v>
      </c>
      <c r="D38">
        <v>8289</v>
      </c>
      <c r="E38">
        <v>5420</v>
      </c>
      <c r="F38">
        <v>3405</v>
      </c>
      <c r="G38">
        <v>7.6862302483069973</v>
      </c>
      <c r="H38">
        <v>443</v>
      </c>
      <c r="I38">
        <v>0.13010279001468431</v>
      </c>
      <c r="J38">
        <v>20.33808467334207</v>
      </c>
      <c r="K38">
        <v>3.5732713590898899</v>
      </c>
      <c r="L38">
        <v>403.588708499002</v>
      </c>
      <c r="M38">
        <v>4.1389554513199176</v>
      </c>
    </row>
    <row r="39" spans="1:13">
      <c r="A39" t="s">
        <v>16</v>
      </c>
      <c r="B39">
        <v>45</v>
      </c>
      <c r="C39">
        <v>7</v>
      </c>
      <c r="D39">
        <v>8325</v>
      </c>
      <c r="E39">
        <v>5409</v>
      </c>
      <c r="F39">
        <v>3369</v>
      </c>
      <c r="G39">
        <v>7.4370860927152318</v>
      </c>
      <c r="H39">
        <v>453</v>
      </c>
      <c r="I39">
        <v>0.13446126447016921</v>
      </c>
      <c r="J39">
        <v>20.991225874092439</v>
      </c>
      <c r="K39">
        <v>3.7265996726082999</v>
      </c>
      <c r="L39">
        <v>395.85156568238898</v>
      </c>
      <c r="M39">
        <v>3.6889030429773508</v>
      </c>
    </row>
    <row r="40" spans="1:13">
      <c r="A40" t="s">
        <v>16</v>
      </c>
      <c r="B40">
        <v>45</v>
      </c>
      <c r="C40">
        <v>8</v>
      </c>
      <c r="D40">
        <v>8250</v>
      </c>
      <c r="E40">
        <v>5336</v>
      </c>
      <c r="F40">
        <v>3326</v>
      </c>
      <c r="G40">
        <v>7.9190476190476193</v>
      </c>
      <c r="H40">
        <v>420</v>
      </c>
      <c r="I40">
        <v>0.1262778111846061</v>
      </c>
      <c r="J40">
        <v>20.161375774736129</v>
      </c>
      <c r="K40">
        <v>3.55217150256256</v>
      </c>
      <c r="L40">
        <v>407.94629869395601</v>
      </c>
      <c r="M40">
        <v>4.5790955263151556</v>
      </c>
    </row>
    <row r="41" spans="1:13">
      <c r="A41" t="s">
        <v>16</v>
      </c>
      <c r="B41">
        <v>45</v>
      </c>
      <c r="C41">
        <v>9</v>
      </c>
      <c r="D41">
        <v>8343</v>
      </c>
      <c r="E41">
        <v>5393</v>
      </c>
      <c r="F41">
        <v>3390</v>
      </c>
      <c r="G41">
        <v>7.617977528089888</v>
      </c>
      <c r="H41">
        <v>445</v>
      </c>
      <c r="I41">
        <v>0.13126843657817111</v>
      </c>
      <c r="J41">
        <v>20.40824645247821</v>
      </c>
      <c r="K41">
        <v>3.6211016582943398</v>
      </c>
      <c r="L41">
        <v>371.95342712475099</v>
      </c>
      <c r="M41">
        <v>3.502566362629723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8318.2000000000007</v>
      </c>
      <c r="E2">
        <v>8318.2000000000007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17.548662500474375</v>
      </c>
      <c r="E3">
        <v>17.548662500474379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5396.9</v>
      </c>
      <c r="E4">
        <v>5396.9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35.914868477801477</v>
      </c>
      <c r="E5">
        <v>35.914868477801477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3385.3</v>
      </c>
      <c r="E6">
        <v>3385.3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42.426537816690995</v>
      </c>
      <c r="E7">
        <v>42.426537816691003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7.6248441194160161</v>
      </c>
      <c r="E8">
        <v>7.6248441194160126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0.12943095229030302</v>
      </c>
      <c r="E9">
        <v>0.1294309522903031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444.1</v>
      </c>
      <c r="E10">
        <v>444.1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9.4333922259645746</v>
      </c>
      <c r="E11">
        <v>9.4333922259645746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0.13118402103039301</v>
      </c>
      <c r="E12">
        <v>0.13118402103039301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2.2128343840324737E-3</v>
      </c>
      <c r="E13">
        <v>2.2128343840324628E-3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20.448192865359768</v>
      </c>
      <c r="E14">
        <v>20.448192865359768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0.28880278869695281</v>
      </c>
      <c r="E15">
        <v>0.28880278869695442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3.600961801530759</v>
      </c>
      <c r="E16">
        <v>3.600961801530759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6.5771669471154939E-2</v>
      </c>
      <c r="E17">
        <v>6.5771669471154939E-2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395.17806637329932</v>
      </c>
      <c r="E18">
        <v>395.17806637329932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15.065815399218005</v>
      </c>
      <c r="E19">
        <v>15.06581539921801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3.7882129617377891</v>
      </c>
      <c r="E20">
        <v>3.7882129617377891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0.20978200802083008</v>
      </c>
      <c r="E21">
        <v>0.20978200802083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2079.1999999999998</v>
      </c>
      <c r="E22">
        <v>2079.1999999999998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123.84470562406416</v>
      </c>
      <c r="E23">
        <v>123.8447056240642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1358</v>
      </c>
      <c r="E24">
        <v>1358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88.061846953654609</v>
      </c>
      <c r="E25">
        <v>88.061846953654609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885.1</v>
      </c>
      <c r="E26">
        <v>885.1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58.665624990752086</v>
      </c>
      <c r="E27">
        <v>58.665624990752079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5.0021005708969239</v>
      </c>
      <c r="E28">
        <v>5.0021005708969239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0.23676315554097779</v>
      </c>
      <c r="E29">
        <v>0.23676315554097771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177.4</v>
      </c>
      <c r="E30">
        <v>177.4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16.160308027867401</v>
      </c>
      <c r="E31">
        <v>16.160308027867401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0.20033192401068037</v>
      </c>
      <c r="E32">
        <v>0.2003319240106804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9.7788202947781816E-3</v>
      </c>
      <c r="E33">
        <v>9.7788202947781573E-3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46.843733049013267</v>
      </c>
      <c r="E34">
        <v>46.843733049013267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2.5294837697462804</v>
      </c>
      <c r="E35">
        <v>2.52948376974628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8.0133811130690713</v>
      </c>
      <c r="E36">
        <v>8.0133811130690731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0.37466964120168716</v>
      </c>
      <c r="E37">
        <v>0.37466964120168722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651.7835634961192</v>
      </c>
      <c r="E38">
        <v>651.7835634961192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66.052267573200055</v>
      </c>
      <c r="E39">
        <v>66.052267573200055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75.944295803505639</v>
      </c>
      <c r="E40">
        <v>75.944295803505639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1.4257235726419955</v>
      </c>
      <c r="E41">
        <v>1.425723572641995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5371.3</v>
      </c>
      <c r="E42">
        <v>5371.3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759.99430553422383</v>
      </c>
      <c r="E43">
        <v>759.99430553422212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3494.6</v>
      </c>
      <c r="E44">
        <v>3494.6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493.72106384971011</v>
      </c>
      <c r="E45">
        <v>493.72106384970948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2198.8000000000002</v>
      </c>
      <c r="E46">
        <v>2198.8000000000002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326.52813389082172</v>
      </c>
      <c r="E47">
        <v>326.52813389082138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7.0061371713725169</v>
      </c>
      <c r="E48">
        <v>7.0061371713725178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0.21054209542895413</v>
      </c>
      <c r="E49">
        <v>0.210542095428954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313.39999999999998</v>
      </c>
      <c r="E50">
        <v>313.39999999999998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41.652530935506618</v>
      </c>
      <c r="E51">
        <v>41.65253093550659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0.1428494642157265</v>
      </c>
      <c r="E52">
        <v>0.1428494642157265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4.3453010800075685E-3</v>
      </c>
      <c r="E53">
        <v>4.3453010800075633E-3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25.152615580539212</v>
      </c>
      <c r="E54">
        <v>25.152615580539209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2.043262300179884</v>
      </c>
      <c r="E55">
        <v>2.0432623001798831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4.437015998435065</v>
      </c>
      <c r="E56">
        <v>4.437015998435065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0.38461508254388366</v>
      </c>
      <c r="E57">
        <v>0.38461508254388371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497.62733477192359</v>
      </c>
      <c r="E58">
        <v>497.62733477192359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36.855583181255554</v>
      </c>
      <c r="E59">
        <v>36.855583181255547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37.863466847628345</v>
      </c>
      <c r="E60">
        <v>37.863466847628352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8.7854678624341886</v>
      </c>
      <c r="E61">
        <v>8.7854678624341709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8313.4</v>
      </c>
      <c r="E62">
        <v>8313.4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27.455823102253234</v>
      </c>
      <c r="E63">
        <v>27.45582310225323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5394.8</v>
      </c>
      <c r="E64">
        <v>5394.8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38.989457264468015</v>
      </c>
      <c r="E65">
        <v>38.989457264468022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3383.5</v>
      </c>
      <c r="E66">
        <v>3383.5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44.694642980016198</v>
      </c>
      <c r="E67">
        <v>44.694642980016198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7.6280696360377593</v>
      </c>
      <c r="E68">
        <v>7.6280696360377558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0.13687223277333477</v>
      </c>
      <c r="E69">
        <v>0.1368722327733348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443.7</v>
      </c>
      <c r="E70">
        <v>443.7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10.414199707877488</v>
      </c>
      <c r="E71">
        <v>10.41419970787749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0.13113237631153304</v>
      </c>
      <c r="E72">
        <v>0.13113237631153299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2.3296144458068223E-3</v>
      </c>
      <c r="E73">
        <v>2.3296144458068119E-3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20.461147769360675</v>
      </c>
      <c r="E74">
        <v>20.461147769360679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0.27036774343090653</v>
      </c>
      <c r="E75">
        <v>0.27036774343090758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3.6012454115862971</v>
      </c>
      <c r="E76">
        <v>3.6012454115862971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6.5529990033577318E-2</v>
      </c>
      <c r="E77">
        <v>6.5529990033577304E-2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395.35652957602605</v>
      </c>
      <c r="E78">
        <v>395.35652957602622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15.220158171290425</v>
      </c>
      <c r="E79">
        <v>15.22015817129042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3.8422159328770107</v>
      </c>
      <c r="E80">
        <v>3.8422159328770098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0.32136536598394738</v>
      </c>
      <c r="E81">
        <v>0.3213653659839476</v>
      </c>
    </row>
    <row r="82" spans="1:5">
      <c r="A82" t="s">
        <v>24</v>
      </c>
      <c r="B82" t="s">
        <v>25</v>
      </c>
      <c r="C82" t="s">
        <v>3</v>
      </c>
      <c r="D82">
        <f>(AVERAGE(per_seed!$D$12:$D$21)-AVERAGE(per_seed!$D$2:$D$11))/AVERAGE(per_seed!$D$2:$D$11)*100</f>
        <v>-75.004207641076206</v>
      </c>
      <c r="E82">
        <v>-75.004207641076206</v>
      </c>
    </row>
    <row r="83" spans="1:5">
      <c r="A83" t="s">
        <v>26</v>
      </c>
      <c r="B83" t="s">
        <v>25</v>
      </c>
      <c r="C83" t="s">
        <v>3</v>
      </c>
      <c r="D83">
        <f>_xlfn.T.TEST(per_seed!$D$2:$D$11,per_seed!$D$12:$D$21,2,1)</f>
        <v>1.3791652257146453E-16</v>
      </c>
      <c r="E83">
        <v>1.3791652257146561E-16</v>
      </c>
    </row>
    <row r="84" spans="1:5">
      <c r="A84" t="s">
        <v>24</v>
      </c>
      <c r="B84" t="s">
        <v>25</v>
      </c>
      <c r="C84" t="s">
        <v>4</v>
      </c>
      <c r="D84">
        <f>(AVERAGE(per_seed!$E$12:$E$21)-AVERAGE(per_seed!$E$2:$E$11))/AVERAGE(per_seed!$E$2:$E$11)*100</f>
        <v>-74.83740665937853</v>
      </c>
      <c r="E84">
        <v>-74.83740665937853</v>
      </c>
    </row>
    <row r="85" spans="1:5">
      <c r="A85" t="s">
        <v>26</v>
      </c>
      <c r="B85" t="s">
        <v>25</v>
      </c>
      <c r="C85" t="s">
        <v>4</v>
      </c>
      <c r="D85">
        <f>_xlfn.T.TEST(per_seed!$E$2:$E$11,per_seed!$E$12:$E$21,2,1)</f>
        <v>2.3273170457427581E-16</v>
      </c>
      <c r="E85">
        <v>2.327317045742761E-16</v>
      </c>
    </row>
    <row r="86" spans="1:5">
      <c r="A86" t="s">
        <v>24</v>
      </c>
      <c r="B86" t="s">
        <v>25</v>
      </c>
      <c r="C86" t="s">
        <v>5</v>
      </c>
      <c r="D86">
        <f>(AVERAGE(per_seed!$F$12:$F$21)-AVERAGE(per_seed!$F$2:$F$11))/AVERAGE(per_seed!$F$2:$F$11)*100</f>
        <v>-73.854606681830276</v>
      </c>
      <c r="E86">
        <v>-73.854606681830276</v>
      </c>
    </row>
    <row r="87" spans="1:5">
      <c r="A87" t="s">
        <v>26</v>
      </c>
      <c r="B87" t="s">
        <v>25</v>
      </c>
      <c r="C87" t="s">
        <v>5</v>
      </c>
      <c r="D87">
        <f>_xlfn.T.TEST(per_seed!$F$2:$F$11,per_seed!$F$12:$F$21,2,1)</f>
        <v>2.4773726666546797E-15</v>
      </c>
      <c r="E87">
        <v>2.4773726666546821E-15</v>
      </c>
    </row>
    <row r="88" spans="1:5">
      <c r="A88" t="s">
        <v>24</v>
      </c>
      <c r="B88" t="s">
        <v>25</v>
      </c>
      <c r="C88" t="s">
        <v>6</v>
      </c>
      <c r="D88">
        <f>(AVERAGE(per_seed!$G$12:$G$21)-AVERAGE(per_seed!$G$2:$G$11))/AVERAGE(per_seed!$G$2:$G$11)*100</f>
        <v>-34.397339898929857</v>
      </c>
      <c r="E88">
        <v>-34.397339898929843</v>
      </c>
    </row>
    <row r="89" spans="1:5">
      <c r="A89" t="s">
        <v>26</v>
      </c>
      <c r="B89" t="s">
        <v>25</v>
      </c>
      <c r="C89" t="s">
        <v>6</v>
      </c>
      <c r="D89">
        <f>_xlfn.T.TEST(per_seed!$G$2:$G$11,per_seed!$G$12:$G$21,2,1)</f>
        <v>5.4549905071635148E-10</v>
      </c>
      <c r="E89">
        <v>5.454990507163521E-10</v>
      </c>
    </row>
    <row r="90" spans="1:5">
      <c r="A90" t="s">
        <v>24</v>
      </c>
      <c r="B90" t="s">
        <v>25</v>
      </c>
      <c r="C90" t="s">
        <v>7</v>
      </c>
      <c r="D90">
        <f>(AVERAGE(per_seed!$H$12:$H$21)-AVERAGE(per_seed!$H$2:$H$11))/AVERAGE(per_seed!$H$2:$H$11)*100</f>
        <v>-60.054041882458911</v>
      </c>
      <c r="E90">
        <v>-60.054041882458911</v>
      </c>
    </row>
    <row r="91" spans="1:5">
      <c r="A91" t="s">
        <v>26</v>
      </c>
      <c r="B91" t="s">
        <v>25</v>
      </c>
      <c r="C91" t="s">
        <v>7</v>
      </c>
      <c r="D91">
        <f>_xlfn.T.TEST(per_seed!$H$2:$H$11,per_seed!$H$12:$H$21,2,1)</f>
        <v>1.9091571084457381E-11</v>
      </c>
      <c r="E91">
        <v>1.9091571084457462E-11</v>
      </c>
    </row>
    <row r="92" spans="1:5">
      <c r="A92" t="s">
        <v>24</v>
      </c>
      <c r="B92" t="s">
        <v>25</v>
      </c>
      <c r="C92" t="s">
        <v>8</v>
      </c>
      <c r="D92">
        <f>(AVERAGE(per_seed!$I$12:$I$21)-AVERAGE(per_seed!$I$2:$I$11))/AVERAGE(per_seed!$I$2:$I$11)*100</f>
        <v>52.710614019269173</v>
      </c>
      <c r="E92">
        <v>52.710614019269173</v>
      </c>
    </row>
    <row r="93" spans="1:5">
      <c r="A93" t="s">
        <v>26</v>
      </c>
      <c r="B93" t="s">
        <v>25</v>
      </c>
      <c r="C93" t="s">
        <v>8</v>
      </c>
      <c r="D93">
        <f>_xlfn.T.TEST(per_seed!$I$2:$I$11,per_seed!$I$12:$I$21,2,1)</f>
        <v>7.2501462249227499E-9</v>
      </c>
      <c r="E93">
        <v>7.2501462249225753E-9</v>
      </c>
    </row>
    <row r="94" spans="1:5">
      <c r="A94" t="s">
        <v>24</v>
      </c>
      <c r="B94" t="s">
        <v>25</v>
      </c>
      <c r="C94" t="s">
        <v>9</v>
      </c>
      <c r="D94">
        <f>(AVERAGE(per_seed!$J$12:$J$21)-AVERAGE(per_seed!$J$2:$J$11))/AVERAGE(per_seed!$J$2:$J$11)*100</f>
        <v>129.08495316654034</v>
      </c>
      <c r="E94">
        <v>129.08495316654029</v>
      </c>
    </row>
    <row r="95" spans="1:5">
      <c r="A95" t="s">
        <v>26</v>
      </c>
      <c r="B95" t="s">
        <v>25</v>
      </c>
      <c r="C95" t="s">
        <v>9</v>
      </c>
      <c r="D95">
        <f>_xlfn.T.TEST(per_seed!$J$2:$J$11,per_seed!$J$12:$J$21,2,1)</f>
        <v>1.4097972564914271E-10</v>
      </c>
      <c r="E95">
        <v>1.4097972564914281E-10</v>
      </c>
    </row>
    <row r="96" spans="1:5">
      <c r="A96" t="s">
        <v>24</v>
      </c>
      <c r="B96" t="s">
        <v>25</v>
      </c>
      <c r="C96" t="s">
        <v>10</v>
      </c>
      <c r="D96">
        <f>(AVERAGE(per_seed!$K$12:$K$21)-AVERAGE(per_seed!$K$2:$K$11))/AVERAGE(per_seed!$K$2:$K$11)*100</f>
        <v>122.53446592137148</v>
      </c>
      <c r="E96">
        <v>122.53446592137151</v>
      </c>
    </row>
    <row r="97" spans="1:5">
      <c r="A97" t="s">
        <v>26</v>
      </c>
      <c r="B97" t="s">
        <v>25</v>
      </c>
      <c r="C97" t="s">
        <v>10</v>
      </c>
      <c r="D97">
        <f>_xlfn.T.TEST(per_seed!$K$2:$K$11,per_seed!$K$12:$K$21,2,1)</f>
        <v>7.4932715863690701E-11</v>
      </c>
      <c r="E97">
        <v>7.4932715863689964E-11</v>
      </c>
    </row>
    <row r="98" spans="1:5">
      <c r="A98" t="s">
        <v>24</v>
      </c>
      <c r="B98" t="s">
        <v>25</v>
      </c>
      <c r="C98" t="s">
        <v>11</v>
      </c>
      <c r="D98">
        <f>(AVERAGE(per_seed!$L$12:$L$21)-AVERAGE(per_seed!$L$2:$L$11))/AVERAGE(per_seed!$L$2:$L$11)*100</f>
        <v>64.934144619357795</v>
      </c>
      <c r="E98">
        <v>64.934144619357795</v>
      </c>
    </row>
    <row r="99" spans="1:5">
      <c r="A99" t="s">
        <v>26</v>
      </c>
      <c r="B99" t="s">
        <v>25</v>
      </c>
      <c r="C99" t="s">
        <v>11</v>
      </c>
      <c r="D99">
        <f>_xlfn.T.TEST(per_seed!$L$2:$L$11,per_seed!$L$12:$L$21,2,1)</f>
        <v>8.493933180742367E-7</v>
      </c>
      <c r="E99">
        <v>8.4939331807423564E-7</v>
      </c>
    </row>
    <row r="100" spans="1:5">
      <c r="A100" t="s">
        <v>24</v>
      </c>
      <c r="B100" t="s">
        <v>25</v>
      </c>
      <c r="C100" t="s">
        <v>12</v>
      </c>
      <c r="D100">
        <f>(AVERAGE(per_seed!$M$12:$M$21)-AVERAGE(per_seed!$M$2:$M$11))/AVERAGE(per_seed!$M$2:$M$11)*100</f>
        <v>1904.7525461363523</v>
      </c>
      <c r="E100">
        <v>1904.7525461363521</v>
      </c>
    </row>
    <row r="101" spans="1:5">
      <c r="A101" t="s">
        <v>26</v>
      </c>
      <c r="B101" t="s">
        <v>25</v>
      </c>
      <c r="C101" t="s">
        <v>12</v>
      </c>
      <c r="D101">
        <f>_xlfn.T.TEST(per_seed!$M$2:$M$11,per_seed!$M$12:$M$21,2,1)</f>
        <v>1.3222624680777827E-16</v>
      </c>
      <c r="E101">
        <v>1.3222624680778029E-16</v>
      </c>
    </row>
    <row r="102" spans="1:5">
      <c r="A102" t="s">
        <v>24</v>
      </c>
      <c r="B102" t="s">
        <v>27</v>
      </c>
      <c r="C102" t="s">
        <v>3</v>
      </c>
      <c r="D102">
        <f>(AVERAGE(per_seed!$D$22:$D$31)-AVERAGE(per_seed!$D$2:$D$11))/AVERAGE(per_seed!$D$2:$D$11)*100</f>
        <v>-35.427135678391963</v>
      </c>
      <c r="E102">
        <v>-35.427135678391963</v>
      </c>
    </row>
    <row r="103" spans="1:5">
      <c r="A103" t="s">
        <v>26</v>
      </c>
      <c r="B103" t="s">
        <v>27</v>
      </c>
      <c r="C103" t="s">
        <v>3</v>
      </c>
      <c r="D103">
        <f>_xlfn.T.TEST(per_seed!$D$2:$D$11,per_seed!$D$22:$D$31,2,1)</f>
        <v>6.159538492426852E-7</v>
      </c>
      <c r="E103">
        <v>6.1595384924268552E-7</v>
      </c>
    </row>
    <row r="104" spans="1:5">
      <c r="A104" t="s">
        <v>24</v>
      </c>
      <c r="B104" t="s">
        <v>27</v>
      </c>
      <c r="C104" t="s">
        <v>4</v>
      </c>
      <c r="D104">
        <f>(AVERAGE(per_seed!$E$22:$E$31)-AVERAGE(per_seed!$E$2:$E$11))/AVERAGE(per_seed!$E$2:$E$11)*100</f>
        <v>-35.248012748059068</v>
      </c>
      <c r="E104">
        <v>-35.248012748059068</v>
      </c>
    </row>
    <row r="105" spans="1:5">
      <c r="A105" t="s">
        <v>26</v>
      </c>
      <c r="B105" t="s">
        <v>27</v>
      </c>
      <c r="C105" t="s">
        <v>4</v>
      </c>
      <c r="D105">
        <f>_xlfn.T.TEST(per_seed!$E$2:$E$11,per_seed!$E$22:$E$31,2,1)</f>
        <v>7.1431124575000279E-7</v>
      </c>
      <c r="E105">
        <v>7.1431124575000226E-7</v>
      </c>
    </row>
    <row r="106" spans="1:5">
      <c r="A106" t="s">
        <v>24</v>
      </c>
      <c r="B106" t="s">
        <v>27</v>
      </c>
      <c r="C106" t="s">
        <v>5</v>
      </c>
      <c r="D106">
        <f>(AVERAGE(per_seed!$F$22:$F$31)-AVERAGE(per_seed!$F$2:$F$11))/AVERAGE(per_seed!$F$2:$F$11)*100</f>
        <v>-35.048592443801141</v>
      </c>
      <c r="E106">
        <v>-35.048592443801141</v>
      </c>
    </row>
    <row r="107" spans="1:5">
      <c r="A107" t="s">
        <v>26</v>
      </c>
      <c r="B107" t="s">
        <v>27</v>
      </c>
      <c r="C107" t="s">
        <v>5</v>
      </c>
      <c r="D107">
        <f>_xlfn.T.TEST(per_seed!$F$2:$F$11,per_seed!$F$22:$F$31,2,1)</f>
        <v>1.0850158662918617E-6</v>
      </c>
      <c r="E107">
        <v>1.0850158662918629E-6</v>
      </c>
    </row>
    <row r="108" spans="1:5">
      <c r="A108" t="s">
        <v>24</v>
      </c>
      <c r="B108" t="s">
        <v>27</v>
      </c>
      <c r="C108" t="s">
        <v>6</v>
      </c>
      <c r="D108">
        <f>(AVERAGE(per_seed!$G$22:$G$31)-AVERAGE(per_seed!$G$2:$G$11))/AVERAGE(per_seed!$G$2:$G$11)*100</f>
        <v>-8.1143553671873061</v>
      </c>
      <c r="E108">
        <v>-8.1143553671872635</v>
      </c>
    </row>
    <row r="109" spans="1:5">
      <c r="A109" t="s">
        <v>26</v>
      </c>
      <c r="B109" t="s">
        <v>27</v>
      </c>
      <c r="C109" t="s">
        <v>6</v>
      </c>
      <c r="D109">
        <f>_xlfn.T.TEST(per_seed!$G$2:$G$11,per_seed!$G$22:$G$31,2,1)</f>
        <v>1.5577156077484463E-4</v>
      </c>
      <c r="E109">
        <v>1.557715607748487E-4</v>
      </c>
    </row>
    <row r="110" spans="1:5">
      <c r="A110" t="s">
        <v>24</v>
      </c>
      <c r="B110" t="s">
        <v>27</v>
      </c>
      <c r="C110" t="s">
        <v>7</v>
      </c>
      <c r="D110">
        <f>(AVERAGE(per_seed!$H$22:$H$31)-AVERAGE(per_seed!$H$2:$H$11))/AVERAGE(per_seed!$H$2:$H$11)*100</f>
        <v>-29.430308489079042</v>
      </c>
      <c r="E110">
        <v>-29.430308489079039</v>
      </c>
    </row>
    <row r="111" spans="1:5">
      <c r="A111" t="s">
        <v>26</v>
      </c>
      <c r="B111" t="s">
        <v>27</v>
      </c>
      <c r="C111" t="s">
        <v>7</v>
      </c>
      <c r="D111">
        <f>_xlfn.T.TEST(per_seed!$H$2:$H$11,per_seed!$H$22:$H$31,2,1)</f>
        <v>1.8594075620538953E-6</v>
      </c>
      <c r="E111">
        <v>1.8594075620539069E-6</v>
      </c>
    </row>
    <row r="112" spans="1:5">
      <c r="A112" t="s">
        <v>24</v>
      </c>
      <c r="B112" t="s">
        <v>27</v>
      </c>
      <c r="C112" t="s">
        <v>8</v>
      </c>
      <c r="D112">
        <f>(AVERAGE(per_seed!$I$22:$I$31)-AVERAGE(per_seed!$I$2:$I$11))/AVERAGE(per_seed!$I$2:$I$11)*100</f>
        <v>8.8924269081756684</v>
      </c>
      <c r="E112">
        <v>8.8924269081756471</v>
      </c>
    </row>
    <row r="113" spans="1:5">
      <c r="A113" t="s">
        <v>26</v>
      </c>
      <c r="B113" t="s">
        <v>27</v>
      </c>
      <c r="C113" t="s">
        <v>8</v>
      </c>
      <c r="D113">
        <f>_xlfn.T.TEST(per_seed!$I$2:$I$11,per_seed!$I$22:$I$31,2,1)</f>
        <v>1.9042315601276258E-4</v>
      </c>
      <c r="E113">
        <v>1.904231560127583E-4</v>
      </c>
    </row>
    <row r="114" spans="1:5">
      <c r="A114" t="s">
        <v>24</v>
      </c>
      <c r="B114" t="s">
        <v>27</v>
      </c>
      <c r="C114" t="s">
        <v>9</v>
      </c>
      <c r="D114">
        <f>(AVERAGE(per_seed!$J$22:$J$31)-AVERAGE(per_seed!$J$2:$J$11))/AVERAGE(per_seed!$J$2:$J$11)*100</f>
        <v>23.006545107215633</v>
      </c>
      <c r="E114">
        <v>23.006545107215629</v>
      </c>
    </row>
    <row r="115" spans="1:5">
      <c r="A115" t="s">
        <v>26</v>
      </c>
      <c r="B115" t="s">
        <v>27</v>
      </c>
      <c r="C115" t="s">
        <v>9</v>
      </c>
      <c r="D115">
        <f>_xlfn.T.TEST(per_seed!$J$2:$J$11,per_seed!$J$22:$J$31,2,1)</f>
        <v>4.9156517917297545E-5</v>
      </c>
      <c r="E115">
        <v>4.9156517917297538E-5</v>
      </c>
    </row>
    <row r="116" spans="1:5">
      <c r="A116" t="s">
        <v>24</v>
      </c>
      <c r="B116" t="s">
        <v>27</v>
      </c>
      <c r="C116" t="s">
        <v>10</v>
      </c>
      <c r="D116">
        <f>(AVERAGE(per_seed!$K$22:$K$31)-AVERAGE(per_seed!$K$2:$K$11))/AVERAGE(per_seed!$K$2:$K$11)*100</f>
        <v>23.21752473322271</v>
      </c>
      <c r="E116">
        <v>23.21752473322271</v>
      </c>
    </row>
    <row r="117" spans="1:5">
      <c r="A117" t="s">
        <v>26</v>
      </c>
      <c r="B117" t="s">
        <v>27</v>
      </c>
      <c r="C117" t="s">
        <v>10</v>
      </c>
      <c r="D117">
        <f>_xlfn.T.TEST(per_seed!$K$2:$K$11,per_seed!$K$22:$K$31,2,1)</f>
        <v>6.9581279605329853E-5</v>
      </c>
      <c r="E117">
        <v>6.9581279605329175E-5</v>
      </c>
    </row>
    <row r="118" spans="1:5">
      <c r="A118" t="s">
        <v>24</v>
      </c>
      <c r="B118" t="s">
        <v>27</v>
      </c>
      <c r="C118" t="s">
        <v>11</v>
      </c>
      <c r="D118">
        <f>(AVERAGE(per_seed!$L$22:$L$31)-AVERAGE(per_seed!$L$2:$L$11))/AVERAGE(per_seed!$L$2:$L$11)*100</f>
        <v>25.924836704334453</v>
      </c>
      <c r="E118">
        <v>25.924836704334449</v>
      </c>
    </row>
    <row r="119" spans="1:5">
      <c r="A119" t="s">
        <v>26</v>
      </c>
      <c r="B119" t="s">
        <v>27</v>
      </c>
      <c r="C119" t="s">
        <v>11</v>
      </c>
      <c r="D119">
        <f>_xlfn.T.TEST(per_seed!$L$2:$L$11,per_seed!$L$22:$L$31,2,1)</f>
        <v>1.2735006326830471E-6</v>
      </c>
      <c r="E119">
        <v>1.2735006326830439E-6</v>
      </c>
    </row>
    <row r="120" spans="1:5">
      <c r="A120" t="s">
        <v>24</v>
      </c>
      <c r="B120" t="s">
        <v>27</v>
      </c>
      <c r="C120" t="s">
        <v>12</v>
      </c>
      <c r="D120">
        <f>(AVERAGE(per_seed!$M$22:$M$31)-AVERAGE(per_seed!$M$2:$M$11))/AVERAGE(per_seed!$M$2:$M$11)*100</f>
        <v>899.50734634145317</v>
      </c>
      <c r="E120">
        <v>899.50734634145329</v>
      </c>
    </row>
    <row r="121" spans="1:5">
      <c r="A121" t="s">
        <v>26</v>
      </c>
      <c r="B121" t="s">
        <v>27</v>
      </c>
      <c r="C121" t="s">
        <v>12</v>
      </c>
      <c r="D121">
        <f>_xlfn.T.TEST(per_seed!$M$2:$M$11,per_seed!$M$22:$M$31,2,1)</f>
        <v>6.1717337462775186E-7</v>
      </c>
      <c r="E121">
        <v>6.1717337462775229E-7</v>
      </c>
    </row>
    <row r="122" spans="1:5">
      <c r="A122" t="s">
        <v>24</v>
      </c>
      <c r="B122" t="s">
        <v>28</v>
      </c>
      <c r="C122" t="s">
        <v>3</v>
      </c>
      <c r="D122">
        <f>(AVERAGE(per_seed!$D$32:$D$41)-AVERAGE(per_seed!$D$2:$D$11))/AVERAGE(per_seed!$D$2:$D$11)*100</f>
        <v>-5.7704791902107325E-2</v>
      </c>
      <c r="E122">
        <v>-5.7704791902107318E-2</v>
      </c>
    </row>
    <row r="123" spans="1:5">
      <c r="A123" t="s">
        <v>26</v>
      </c>
      <c r="B123" t="s">
        <v>28</v>
      </c>
      <c r="C123" t="s">
        <v>3</v>
      </c>
      <c r="D123">
        <f>_xlfn.T.TEST(per_seed!$D$2:$D$11,per_seed!$D$32:$D$41,2,1)</f>
        <v>0.3434363961378093</v>
      </c>
      <c r="E123">
        <v>0.34343639613791371</v>
      </c>
    </row>
    <row r="124" spans="1:5">
      <c r="A124" t="s">
        <v>24</v>
      </c>
      <c r="B124" t="s">
        <v>28</v>
      </c>
      <c r="C124" t="s">
        <v>4</v>
      </c>
      <c r="D124">
        <f>(AVERAGE(per_seed!$E$32:$E$41)-AVERAGE(per_seed!$E$2:$E$11))/AVERAGE(per_seed!$E$2:$E$11)*100</f>
        <v>-3.8911226815383913E-2</v>
      </c>
      <c r="E124">
        <v>-3.8911226815383913E-2</v>
      </c>
    </row>
    <row r="125" spans="1:5">
      <c r="A125" t="s">
        <v>26</v>
      </c>
      <c r="B125" t="s">
        <v>28</v>
      </c>
      <c r="C125" t="s">
        <v>4</v>
      </c>
      <c r="D125">
        <f>_xlfn.T.TEST(per_seed!$E$2:$E$11,per_seed!$E$32:$E$41,2,1)</f>
        <v>0.34343639613803312</v>
      </c>
      <c r="E125">
        <v>0.34343639613791349</v>
      </c>
    </row>
    <row r="126" spans="1:5">
      <c r="A126" t="s">
        <v>24</v>
      </c>
      <c r="B126" t="s">
        <v>28</v>
      </c>
      <c r="C126" t="s">
        <v>5</v>
      </c>
      <c r="D126">
        <f>(AVERAGE(per_seed!$F$32:$F$41)-AVERAGE(per_seed!$F$2:$F$11))/AVERAGE(per_seed!$F$2:$F$11)*100</f>
        <v>-5.3171063125873094E-2</v>
      </c>
      <c r="E126">
        <v>-5.3171063125873087E-2</v>
      </c>
    </row>
    <row r="127" spans="1:5">
      <c r="A127" t="s">
        <v>26</v>
      </c>
      <c r="B127" t="s">
        <v>28</v>
      </c>
      <c r="C127" t="s">
        <v>5</v>
      </c>
      <c r="D127">
        <f>_xlfn.T.TEST(per_seed!$F$2:$F$11,per_seed!$F$32:$F$41,2,1)</f>
        <v>0.34343639613786808</v>
      </c>
      <c r="E127">
        <v>0.34343639613791349</v>
      </c>
    </row>
    <row r="128" spans="1:5">
      <c r="A128" t="s">
        <v>24</v>
      </c>
      <c r="B128" t="s">
        <v>28</v>
      </c>
      <c r="C128" t="s">
        <v>6</v>
      </c>
      <c r="D128">
        <f>(AVERAGE(per_seed!$G$32:$G$41)-AVERAGE(per_seed!$G$2:$G$11))/AVERAGE(per_seed!$G$2:$G$11)*100</f>
        <v>4.2302722143914957E-2</v>
      </c>
      <c r="E128">
        <v>4.2302722143903321E-2</v>
      </c>
    </row>
    <row r="129" spans="1:5">
      <c r="A129" t="s">
        <v>26</v>
      </c>
      <c r="B129" t="s">
        <v>28</v>
      </c>
      <c r="C129" t="s">
        <v>6</v>
      </c>
      <c r="D129">
        <f>_xlfn.T.TEST(per_seed!$G$2:$G$11,per_seed!$G$32:$G$41,2,1)</f>
        <v>0.34343639613790194</v>
      </c>
      <c r="E129">
        <v>0.34343639613791349</v>
      </c>
    </row>
    <row r="130" spans="1:5">
      <c r="A130" t="s">
        <v>24</v>
      </c>
      <c r="B130" t="s">
        <v>28</v>
      </c>
      <c r="C130" t="s">
        <v>7</v>
      </c>
      <c r="D130">
        <f>(AVERAGE(per_seed!$H$32:$H$41)-AVERAGE(per_seed!$H$2:$H$11))/AVERAGE(per_seed!$H$2:$H$11)*100</f>
        <v>-9.0069804098183756E-2</v>
      </c>
      <c r="E130">
        <v>-9.0069804098183756E-2</v>
      </c>
    </row>
    <row r="131" spans="1:5">
      <c r="A131" t="s">
        <v>26</v>
      </c>
      <c r="B131" t="s">
        <v>28</v>
      </c>
      <c r="C131" t="s">
        <v>7</v>
      </c>
      <c r="D131">
        <f>_xlfn.T.TEST(per_seed!$H$2:$H$11,per_seed!$H$32:$H$41,2,1)</f>
        <v>0.34343639613787375</v>
      </c>
      <c r="E131">
        <v>0.34343639613791349</v>
      </c>
    </row>
    <row r="132" spans="1:5">
      <c r="A132" t="s">
        <v>24</v>
      </c>
      <c r="B132" t="s">
        <v>28</v>
      </c>
      <c r="C132" t="s">
        <v>8</v>
      </c>
      <c r="D132">
        <f>(AVERAGE(per_seed!$I$32:$I$41)-AVERAGE(per_seed!$I$2:$I$11))/AVERAGE(per_seed!$I$2:$I$11)*100</f>
        <v>-3.9368147472774888E-2</v>
      </c>
      <c r="E132">
        <v>-3.9368147472796038E-2</v>
      </c>
    </row>
    <row r="133" spans="1:5">
      <c r="A133" t="s">
        <v>26</v>
      </c>
      <c r="B133" t="s">
        <v>28</v>
      </c>
      <c r="C133" t="s">
        <v>8</v>
      </c>
      <c r="D133">
        <f>_xlfn.T.TEST(per_seed!$I$2:$I$11,per_seed!$I$32:$I$41,2,1)</f>
        <v>0.34343639613790511</v>
      </c>
      <c r="E133">
        <v>0.34343639613791349</v>
      </c>
    </row>
    <row r="134" spans="1:5">
      <c r="A134" t="s">
        <v>24</v>
      </c>
      <c r="B134" t="s">
        <v>28</v>
      </c>
      <c r="C134" t="s">
        <v>9</v>
      </c>
      <c r="D134">
        <f>(AVERAGE(per_seed!$J$32:$J$41)-AVERAGE(per_seed!$J$2:$J$11))/AVERAGE(per_seed!$J$2:$J$11)*100</f>
        <v>6.3354762380263663E-2</v>
      </c>
      <c r="E134">
        <v>6.3354762380263663E-2</v>
      </c>
    </row>
    <row r="135" spans="1:5">
      <c r="A135" t="s">
        <v>26</v>
      </c>
      <c r="B135" t="s">
        <v>28</v>
      </c>
      <c r="C135" t="s">
        <v>9</v>
      </c>
      <c r="D135">
        <f>_xlfn.T.TEST(per_seed!$J$2:$J$11,per_seed!$J$32:$J$41,2,1)</f>
        <v>0.34343639613781185</v>
      </c>
      <c r="E135">
        <v>0.34343639613791349</v>
      </c>
    </row>
    <row r="136" spans="1:5">
      <c r="A136" t="s">
        <v>24</v>
      </c>
      <c r="B136" t="s">
        <v>28</v>
      </c>
      <c r="C136" t="s">
        <v>10</v>
      </c>
      <c r="D136">
        <f>(AVERAGE(per_seed!$K$32:$K$41)-AVERAGE(per_seed!$K$2:$K$11))/AVERAGE(per_seed!$K$2:$K$11)*100</f>
        <v>7.8759529028482739E-3</v>
      </c>
      <c r="E136">
        <v>7.8759529028482739E-3</v>
      </c>
    </row>
    <row r="137" spans="1:5">
      <c r="A137" t="s">
        <v>26</v>
      </c>
      <c r="B137" t="s">
        <v>28</v>
      </c>
      <c r="C137" t="s">
        <v>10</v>
      </c>
      <c r="D137">
        <f>_xlfn.T.TEST(per_seed!$K$2:$K$11,per_seed!$K$32:$K$41,2,1)</f>
        <v>0.34343639613877874</v>
      </c>
      <c r="E137">
        <v>0.34343639613791349</v>
      </c>
    </row>
    <row r="138" spans="1:5">
      <c r="A138" t="s">
        <v>24</v>
      </c>
      <c r="B138" t="s">
        <v>28</v>
      </c>
      <c r="C138" t="s">
        <v>11</v>
      </c>
      <c r="D138">
        <f>(AVERAGE(per_seed!$L$32:$L$41)-AVERAGE(per_seed!$L$2:$L$11))/AVERAGE(per_seed!$L$2:$L$11)*100</f>
        <v>4.5160199391772265E-2</v>
      </c>
      <c r="E138">
        <v>4.5160199391801027E-2</v>
      </c>
    </row>
    <row r="139" spans="1:5">
      <c r="A139" t="s">
        <v>26</v>
      </c>
      <c r="B139" t="s">
        <v>28</v>
      </c>
      <c r="C139" t="s">
        <v>11</v>
      </c>
      <c r="D139">
        <f>_xlfn.T.TEST(per_seed!$L$2:$L$11,per_seed!$L$32:$L$41,2,1)</f>
        <v>0.34343639613806687</v>
      </c>
      <c r="E139">
        <v>0.34343639613791349</v>
      </c>
    </row>
    <row r="140" spans="1:5">
      <c r="A140" t="s">
        <v>24</v>
      </c>
      <c r="B140" t="s">
        <v>28</v>
      </c>
      <c r="C140" t="s">
        <v>12</v>
      </c>
      <c r="D140">
        <f>(AVERAGE(per_seed!$M$32:$M$41)-AVERAGE(per_seed!$M$2:$M$11))/AVERAGE(per_seed!$M$2:$M$11)*100</f>
        <v>1.4255526731118224</v>
      </c>
      <c r="E140">
        <v>1.4255526731118111</v>
      </c>
    </row>
    <row r="141" spans="1:5">
      <c r="A141" t="s">
        <v>26</v>
      </c>
      <c r="B141" t="s">
        <v>28</v>
      </c>
      <c r="C141" t="s">
        <v>12</v>
      </c>
      <c r="D141">
        <f>_xlfn.T.TEST(per_seed!$M$2:$M$11,per_seed!$M$32:$M$41,2,1)</f>
        <v>0.34343639613790944</v>
      </c>
      <c r="E141">
        <v>0.34343639613791349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2026-09-16T01:10:59Z</dcterms:created>
  <dcterms:modified xsi:type="dcterms:W3CDTF">2026-09-16T01:11:02Z</dcterms:modified>
</cp:coreProperties>
</file>